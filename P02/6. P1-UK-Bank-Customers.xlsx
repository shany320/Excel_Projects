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Route academy\Data Analysis (Alaa Essam Academy)\Excel\Tasks\Task 4\P02\"/>
    </mc:Choice>
  </mc:AlternateContent>
  <xr:revisionPtr revIDLastSave="0" documentId="13_ncr:1_{DCB81E3D-62B5-43CF-ADCF-7D22797F24DE}" xr6:coauthVersionLast="47" xr6:coauthVersionMax="47" xr10:uidLastSave="{00000000-0000-0000-0000-000000000000}"/>
  <bookViews>
    <workbookView xWindow="-108" yWindow="-108" windowWidth="23256" windowHeight="12576" activeTab="2" xr2:uid="{75762C81-E822-4DA6-BBA5-864B1CCD88FF}"/>
  </bookViews>
  <sheets>
    <sheet name="DashBoards" sheetId="3" r:id="rId1"/>
    <sheet name="Data Insights" sheetId="2" r:id="rId2"/>
    <sheet name="6. P1-UK-Bank-Customers" sheetId="1" r:id="rId3"/>
  </sheets>
  <definedNames>
    <definedName name="_xlcn.WorksheetConnection_6.P1UKBankCustomers.xlsxAccount_Data1" hidden="1">Account_Data[]</definedName>
  </definedNames>
  <calcPr calcId="191029"/>
  <pivotCaches>
    <pivotCache cacheId="0" r:id="rId4"/>
    <pivotCache cacheId="1" r:id="rId5"/>
  </pivotCaches>
  <extLst>
    <ext xmlns:x15="http://schemas.microsoft.com/office/spreadsheetml/2010/11/main" uri="{FCE2AD5D-F65C-4FA6-A056-5C36A1767C68}">
      <x15:dataModel>
        <x15:modelTables>
          <x15:modelTable id="Account_Data" name="Account_Data" connection="WorksheetConnection_6. P1-UK-Bank-Customers.xlsx!Account_Data"/>
        </x15:modelTables>
        <x15:extLst>
          <ext xmlns:x16="http://schemas.microsoft.com/office/spreadsheetml/2014/11/main" uri="{9835A34E-60A6-4A7C-AAB8-D5F71C897F49}">
            <x16:modelTimeGroupings>
              <x16:modelTimeGrouping tableName="Account_Data" columnName="Date Joined" columnId="Date Joined">
                <x16:calculatedTimeColumn columnName="Date Joined (Month Index)" columnId="Date Joined (Month Index)" contentType="monthsindex" isSelected="1"/>
                <x16:calculatedTimeColumn columnName="Date Joined (Month)" columnId="Date Joined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1" i="3" l="1"/>
  <c r="T121" i="3"/>
  <c r="J157" i="3"/>
  <c r="T157" i="3"/>
  <c r="W157" i="3"/>
  <c r="O39" i="2"/>
  <c r="G39" i="2"/>
  <c r="N39" i="2"/>
  <c r="N11" i="1"/>
  <c r="N22" i="2"/>
  <c r="G22" i="2"/>
  <c r="I401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0411BE-8A8F-45AD-B909-921D46C57E5D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8B0BB47-A737-4A34-B3BB-3D66B2BFED49}" name="WorksheetConnection_6. P1-UK-Bank-Customers.xlsx!Account_Data" type="102" refreshedVersion="7" minRefreshableVersion="5">
    <extLst>
      <ext xmlns:x15="http://schemas.microsoft.com/office/spreadsheetml/2010/11/main" uri="{DE250136-89BD-433C-8126-D09CA5730AF9}">
        <x15:connection id="Account_Data" autoDelete="1">
          <x15:rangePr sourceName="_xlcn.WorksheetConnection_6.P1UKBankCustomers.xlsxAccount_Data1"/>
        </x15:connection>
      </ext>
    </extLst>
  </connection>
</connections>
</file>

<file path=xl/sharedStrings.xml><?xml version="1.0" encoding="utf-8"?>
<sst xmlns="http://schemas.openxmlformats.org/spreadsheetml/2006/main" count="20123" uniqueCount="363">
  <si>
    <t>Customer ID</t>
  </si>
  <si>
    <t>Name</t>
  </si>
  <si>
    <t>Surname</t>
  </si>
  <si>
    <t>Gender</t>
  </si>
  <si>
    <t>Age</t>
  </si>
  <si>
    <t>Region</t>
  </si>
  <si>
    <t>Job Classification</t>
  </si>
  <si>
    <t>Date Joined</t>
  </si>
  <si>
    <t>Balance</t>
  </si>
  <si>
    <t>Simon</t>
  </si>
  <si>
    <t>Walsh</t>
  </si>
  <si>
    <t>Male</t>
  </si>
  <si>
    <t>England</t>
  </si>
  <si>
    <t>White Collar</t>
  </si>
  <si>
    <t>Jasmine</t>
  </si>
  <si>
    <t>Miller</t>
  </si>
  <si>
    <t>Female</t>
  </si>
  <si>
    <t>Northern Ireland</t>
  </si>
  <si>
    <t>Blue Collar</t>
  </si>
  <si>
    <t>Liam</t>
  </si>
  <si>
    <t>Brown</t>
  </si>
  <si>
    <t>Trevor</t>
  </si>
  <si>
    <t>Parr</t>
  </si>
  <si>
    <t>Wales</t>
  </si>
  <si>
    <t>Deirdre</t>
  </si>
  <si>
    <t>Pullman</t>
  </si>
  <si>
    <t>Ava</t>
  </si>
  <si>
    <t>Coleman</t>
  </si>
  <si>
    <t>Dorothy</t>
  </si>
  <si>
    <t>Thomson</t>
  </si>
  <si>
    <t>Lisa</t>
  </si>
  <si>
    <t>Knox</t>
  </si>
  <si>
    <t>Scotland</t>
  </si>
  <si>
    <t>Other</t>
  </si>
  <si>
    <t>Ruth</t>
  </si>
  <si>
    <t>Campbell</t>
  </si>
  <si>
    <t>Dominic</t>
  </si>
  <si>
    <t>Lewis</t>
  </si>
  <si>
    <t>Benjamin</t>
  </si>
  <si>
    <t>Grant</t>
  </si>
  <si>
    <t>Ryan</t>
  </si>
  <si>
    <t>MacDonald</t>
  </si>
  <si>
    <t>Thomas</t>
  </si>
  <si>
    <t>Lawrence</t>
  </si>
  <si>
    <t>Madeleine</t>
  </si>
  <si>
    <t>Marshall</t>
  </si>
  <si>
    <t>Nicholas</t>
  </si>
  <si>
    <t>Newman</t>
  </si>
  <si>
    <t>Grace</t>
  </si>
  <si>
    <t>Hill</t>
  </si>
  <si>
    <t>Samantha</t>
  </si>
  <si>
    <t>William</t>
  </si>
  <si>
    <t>Ince</t>
  </si>
  <si>
    <t>Audrey</t>
  </si>
  <si>
    <t>Jones</t>
  </si>
  <si>
    <t>Boris</t>
  </si>
  <si>
    <t>Johnston</t>
  </si>
  <si>
    <t>Jason</t>
  </si>
  <si>
    <t>Butler</t>
  </si>
  <si>
    <t>McDonald</t>
  </si>
  <si>
    <t>Carl</t>
  </si>
  <si>
    <t>Quinn</t>
  </si>
  <si>
    <t>Jennifer</t>
  </si>
  <si>
    <t>Hughes</t>
  </si>
  <si>
    <t>Richard</t>
  </si>
  <si>
    <t>Fraser</t>
  </si>
  <si>
    <t>Rachel</t>
  </si>
  <si>
    <t>McGrath</t>
  </si>
  <si>
    <t>Alison</t>
  </si>
  <si>
    <t>Fisher</t>
  </si>
  <si>
    <t>Lucas</t>
  </si>
  <si>
    <t>Mackenzie</t>
  </si>
  <si>
    <t>Luke</t>
  </si>
  <si>
    <t>Wilkins</t>
  </si>
  <si>
    <t>Megan</t>
  </si>
  <si>
    <t>Bell</t>
  </si>
  <si>
    <t>Warren</t>
  </si>
  <si>
    <t>Edmunds</t>
  </si>
  <si>
    <t>Chapman</t>
  </si>
  <si>
    <t>Jake</t>
  </si>
  <si>
    <t>Wilson</t>
  </si>
  <si>
    <t>Karen</t>
  </si>
  <si>
    <t>Dyer</t>
  </si>
  <si>
    <t>Yvonne</t>
  </si>
  <si>
    <t>Sophie</t>
  </si>
  <si>
    <t>Gill</t>
  </si>
  <si>
    <t>Robert</t>
  </si>
  <si>
    <t>Cornish</t>
  </si>
  <si>
    <t>Martin</t>
  </si>
  <si>
    <t>Gavin</t>
  </si>
  <si>
    <t>Edward</t>
  </si>
  <si>
    <t>Terry</t>
  </si>
  <si>
    <t>Diane</t>
  </si>
  <si>
    <t>Black</t>
  </si>
  <si>
    <t>Morgan</t>
  </si>
  <si>
    <t>Churchill</t>
  </si>
  <si>
    <t>Berry</t>
  </si>
  <si>
    <t>Leah</t>
  </si>
  <si>
    <t>Nolan</t>
  </si>
  <si>
    <t>Carolyn</t>
  </si>
  <si>
    <t>Ball</t>
  </si>
  <si>
    <t>Charles</t>
  </si>
  <si>
    <t>Kimberly</t>
  </si>
  <si>
    <t>James</t>
  </si>
  <si>
    <t>Ellison</t>
  </si>
  <si>
    <t>Irene</t>
  </si>
  <si>
    <t>MacLeod</t>
  </si>
  <si>
    <t>Cameron</t>
  </si>
  <si>
    <t>Taylor</t>
  </si>
  <si>
    <t>Gibson</t>
  </si>
  <si>
    <t>Donna</t>
  </si>
  <si>
    <t>Piers</t>
  </si>
  <si>
    <t>Phil</t>
  </si>
  <si>
    <t>Randall</t>
  </si>
  <si>
    <t>White</t>
  </si>
  <si>
    <t>Kylie</t>
  </si>
  <si>
    <t>Howard</t>
  </si>
  <si>
    <t>Fiona</t>
  </si>
  <si>
    <t>Kevin</t>
  </si>
  <si>
    <t>Bernadette</t>
  </si>
  <si>
    <t>Maria</t>
  </si>
  <si>
    <t>Burgess</t>
  </si>
  <si>
    <t>Dan</t>
  </si>
  <si>
    <t>Piper</t>
  </si>
  <si>
    <t>Sharp</t>
  </si>
  <si>
    <t>Mills</t>
  </si>
  <si>
    <t>Angela</t>
  </si>
  <si>
    <t>Roberts</t>
  </si>
  <si>
    <t>Hannah</t>
  </si>
  <si>
    <t>Oliver</t>
  </si>
  <si>
    <t>Simpson</t>
  </si>
  <si>
    <t>Olivia</t>
  </si>
  <si>
    <t>Dowd</t>
  </si>
  <si>
    <t>Michael</t>
  </si>
  <si>
    <t>Hemmings</t>
  </si>
  <si>
    <t>Frank</t>
  </si>
  <si>
    <t>Mathis</t>
  </si>
  <si>
    <t>David</t>
  </si>
  <si>
    <t>Peters</t>
  </si>
  <si>
    <t>Joan</t>
  </si>
  <si>
    <t>Buckland</t>
  </si>
  <si>
    <t>Neil</t>
  </si>
  <si>
    <t>Robertson</t>
  </si>
  <si>
    <t>Paul</t>
  </si>
  <si>
    <t>Mackay</t>
  </si>
  <si>
    <t>Dylan</t>
  </si>
  <si>
    <t>Pippa</t>
  </si>
  <si>
    <t>Matt</t>
  </si>
  <si>
    <t>Jack</t>
  </si>
  <si>
    <t>Michelle</t>
  </si>
  <si>
    <t>Wanda</t>
  </si>
  <si>
    <t>Henderson</t>
  </si>
  <si>
    <t>Blake</t>
  </si>
  <si>
    <t>Reid</t>
  </si>
  <si>
    <t>Jane</t>
  </si>
  <si>
    <t>Forsyth</t>
  </si>
  <si>
    <t>Peake</t>
  </si>
  <si>
    <t>Davies</t>
  </si>
  <si>
    <t>Rebecca</t>
  </si>
  <si>
    <t>Joshua</t>
  </si>
  <si>
    <t>Slater</t>
  </si>
  <si>
    <t>Heather</t>
  </si>
  <si>
    <t>Wallace</t>
  </si>
  <si>
    <t>May</t>
  </si>
  <si>
    <t>Stewart</t>
  </si>
  <si>
    <t>Emma</t>
  </si>
  <si>
    <t>Nicola</t>
  </si>
  <si>
    <t>Powell</t>
  </si>
  <si>
    <t>Diana</t>
  </si>
  <si>
    <t>Stephen</t>
  </si>
  <si>
    <t>Ross</t>
  </si>
  <si>
    <t>Ella</t>
  </si>
  <si>
    <t>Bond</t>
  </si>
  <si>
    <t>Ian</t>
  </si>
  <si>
    <t>Joe</t>
  </si>
  <si>
    <t>Tim</t>
  </si>
  <si>
    <t>Sonia</t>
  </si>
  <si>
    <t>Nathan</t>
  </si>
  <si>
    <t>Paterson</t>
  </si>
  <si>
    <t>Hardacre</t>
  </si>
  <si>
    <t>Amy</t>
  </si>
  <si>
    <t>Adam</t>
  </si>
  <si>
    <t>Vanessa</t>
  </si>
  <si>
    <t>Lyman</t>
  </si>
  <si>
    <t>Andrea</t>
  </si>
  <si>
    <t>Dickens</t>
  </si>
  <si>
    <t>Jacob</t>
  </si>
  <si>
    <t>Payne</t>
  </si>
  <si>
    <t>Harry</t>
  </si>
  <si>
    <t>Short</t>
  </si>
  <si>
    <t>John</t>
  </si>
  <si>
    <t>Jonathan</t>
  </si>
  <si>
    <t>Virginia</t>
  </si>
  <si>
    <t>Peter</t>
  </si>
  <si>
    <t>Anna</t>
  </si>
  <si>
    <t>Wright</t>
  </si>
  <si>
    <t>Bower</t>
  </si>
  <si>
    <t>Owen</t>
  </si>
  <si>
    <t>King</t>
  </si>
  <si>
    <t>Christopher</t>
  </si>
  <si>
    <t>Sarah</t>
  </si>
  <si>
    <t>Rampling</t>
  </si>
  <si>
    <t>Keith</t>
  </si>
  <si>
    <t>Harris</t>
  </si>
  <si>
    <t>Sam</t>
  </si>
  <si>
    <t>Russell</t>
  </si>
  <si>
    <t>Sean</t>
  </si>
  <si>
    <t>Steven</t>
  </si>
  <si>
    <t>Andrew</t>
  </si>
  <si>
    <t>Gray</t>
  </si>
  <si>
    <t>Metcalfe</t>
  </si>
  <si>
    <t>Ogden</t>
  </si>
  <si>
    <t>Lee</t>
  </si>
  <si>
    <t>Connor</t>
  </si>
  <si>
    <t>Justin</t>
  </si>
  <si>
    <t>Elizabeth</t>
  </si>
  <si>
    <t>Arnold</t>
  </si>
  <si>
    <t>Anthony</t>
  </si>
  <si>
    <t>Alexander</t>
  </si>
  <si>
    <t>Walker</t>
  </si>
  <si>
    <t>Amanda</t>
  </si>
  <si>
    <t>Claire</t>
  </si>
  <si>
    <t>Mitchell</t>
  </si>
  <si>
    <t>Natalie</t>
  </si>
  <si>
    <t>Morrison</t>
  </si>
  <si>
    <t>Greene</t>
  </si>
  <si>
    <t>Penelope</t>
  </si>
  <si>
    <t>Glover</t>
  </si>
  <si>
    <t>Max</t>
  </si>
  <si>
    <t>Wendy</t>
  </si>
  <si>
    <t>Bailey</t>
  </si>
  <si>
    <t>Eric</t>
  </si>
  <si>
    <t>Mary</t>
  </si>
  <si>
    <t>Watson</t>
  </si>
  <si>
    <t>Austin</t>
  </si>
  <si>
    <t>Christian</t>
  </si>
  <si>
    <t>Sue</t>
  </si>
  <si>
    <t>Avery</t>
  </si>
  <si>
    <t>Young</t>
  </si>
  <si>
    <t>North</t>
  </si>
  <si>
    <t>Underwood</t>
  </si>
  <si>
    <t>Vance</t>
  </si>
  <si>
    <t>Rutherford</t>
  </si>
  <si>
    <t>Tracey</t>
  </si>
  <si>
    <t>Faith</t>
  </si>
  <si>
    <t>Alan</t>
  </si>
  <si>
    <t>Murray</t>
  </si>
  <si>
    <t>Turner</t>
  </si>
  <si>
    <t>Hart</t>
  </si>
  <si>
    <t>Theresa</t>
  </si>
  <si>
    <t>Sally</t>
  </si>
  <si>
    <t>Jessica</t>
  </si>
  <si>
    <t>Langdon</t>
  </si>
  <si>
    <t>Baker</t>
  </si>
  <si>
    <t>Gordon</t>
  </si>
  <si>
    <t>Brian</t>
  </si>
  <si>
    <t>Carol</t>
  </si>
  <si>
    <t>Hudson</t>
  </si>
  <si>
    <t>Welch</t>
  </si>
  <si>
    <t>Rees</t>
  </si>
  <si>
    <t>Graham</t>
  </si>
  <si>
    <t>Brandon</t>
  </si>
  <si>
    <t>Amelia</t>
  </si>
  <si>
    <t>Lauren</t>
  </si>
  <si>
    <t>Julian</t>
  </si>
  <si>
    <t>Zoe</t>
  </si>
  <si>
    <t>Clarkson</t>
  </si>
  <si>
    <t>Gabrielle</t>
  </si>
  <si>
    <t>Lily</t>
  </si>
  <si>
    <t>Sanderson</t>
  </si>
  <si>
    <t>Abraham</t>
  </si>
  <si>
    <t>Rose</t>
  </si>
  <si>
    <t>Skinner</t>
  </si>
  <si>
    <t>Victor</t>
  </si>
  <si>
    <t>Vaughan</t>
  </si>
  <si>
    <t>Alsop</t>
  </si>
  <si>
    <t>Stephanie</t>
  </si>
  <si>
    <t>Parsons</t>
  </si>
  <si>
    <t>Smith</t>
  </si>
  <si>
    <t>Lambert</t>
  </si>
  <si>
    <t>Joseph</t>
  </si>
  <si>
    <t>Jackson</t>
  </si>
  <si>
    <t>Springer</t>
  </si>
  <si>
    <t>Adrian</t>
  </si>
  <si>
    <t>Felicity</t>
  </si>
  <si>
    <t>Hodges</t>
  </si>
  <si>
    <t>Carr</t>
  </si>
  <si>
    <t>Joanne</t>
  </si>
  <si>
    <t>Tucker</t>
  </si>
  <si>
    <t>Manning</t>
  </si>
  <si>
    <t>Nash</t>
  </si>
  <si>
    <t>Anderson</t>
  </si>
  <si>
    <t>Duncan</t>
  </si>
  <si>
    <t>Isaac</t>
  </si>
  <si>
    <t>Kelly</t>
  </si>
  <si>
    <t>Kerr</t>
  </si>
  <si>
    <t>Sebastian</t>
  </si>
  <si>
    <t>Hamilton</t>
  </si>
  <si>
    <t>Katherine</t>
  </si>
  <si>
    <t>Paige</t>
  </si>
  <si>
    <t>Molly</t>
  </si>
  <si>
    <t>Melanie</t>
  </si>
  <si>
    <t>Bella</t>
  </si>
  <si>
    <t>Leonard</t>
  </si>
  <si>
    <t>Julia</t>
  </si>
  <si>
    <t>Scott</t>
  </si>
  <si>
    <t>Ferguson</t>
  </si>
  <si>
    <t>McLean</t>
  </si>
  <si>
    <t>Jan</t>
  </si>
  <si>
    <t>Abigail</t>
  </si>
  <si>
    <t>Poole</t>
  </si>
  <si>
    <t>Colin</t>
  </si>
  <si>
    <t>Evan</t>
  </si>
  <si>
    <t>Clark</t>
  </si>
  <si>
    <t>Una</t>
  </si>
  <si>
    <t>Allan</t>
  </si>
  <si>
    <t>Chloe</t>
  </si>
  <si>
    <t>Victoria</t>
  </si>
  <si>
    <t>Sutherland</t>
  </si>
  <si>
    <t>Anne</t>
  </si>
  <si>
    <t>Emily</t>
  </si>
  <si>
    <t>Lillian</t>
  </si>
  <si>
    <t>Davidson</t>
  </si>
  <si>
    <t>Caroline</t>
  </si>
  <si>
    <t>Alexandra</t>
  </si>
  <si>
    <t>Hunter</t>
  </si>
  <si>
    <t>Brew</t>
  </si>
  <si>
    <t>Alberto</t>
  </si>
  <si>
    <t>Ludwig</t>
  </si>
  <si>
    <t>Hans</t>
  </si>
  <si>
    <t>Samuel</t>
  </si>
  <si>
    <t>Samson</t>
  </si>
  <si>
    <t>Ivan</t>
  </si>
  <si>
    <t>Min.</t>
  </si>
  <si>
    <t>Max.</t>
  </si>
  <si>
    <t xml:space="preserve">Total Balance </t>
  </si>
  <si>
    <t xml:space="preserve">Total Customers </t>
  </si>
  <si>
    <t xml:space="preserve">Avg. Balance </t>
  </si>
  <si>
    <t>Grand Total</t>
  </si>
  <si>
    <t>Count of Customers</t>
  </si>
  <si>
    <t>Oldest of Age</t>
  </si>
  <si>
    <t>Average of Age</t>
  </si>
  <si>
    <t>Age Phases</t>
  </si>
  <si>
    <t>Sum of Balance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</si>
  <si>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</si>
  <si>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</si>
  <si>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</si>
  <si>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</si>
  <si>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</si>
  <si>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</si>
  <si>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</si>
  <si>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</si>
  <si>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</si>
  <si>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</si>
  <si>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Row Labels</t>
  </si>
  <si>
    <t>15-24</t>
  </si>
  <si>
    <t>25-34</t>
  </si>
  <si>
    <t>35-44</t>
  </si>
  <si>
    <t>45-54</t>
  </si>
  <si>
    <t>55-64</t>
  </si>
  <si>
    <t>Average of Balance</t>
  </si>
  <si>
    <t>Youngest of Age</t>
  </si>
  <si>
    <t>Age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</si>
</sst>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26"/>
      <color theme="0" tint="-0.499984740745262"/>
      <name val="Aptos Narrow"/>
      <scheme val="minor"/>
    </font>
    <font>
      <b/>
      <sz val="22"/>
      <color theme="0" tint="-0.499984740745262"/>
      <name val="Aptos Narrow"/>
      <scheme val="minor"/>
    </font>
    <font>
      <b/>
      <sz val="14"/>
      <color rgb="FF0070C0"/>
      <name val="Aptos Narrow"/>
      <scheme val="minor"/>
    </font>
    <font>
      <b/>
      <sz val="11"/>
      <color rgb="FF0070C0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sz val="14"/>
      <color rgb="FF0070C0"/>
      <name val="Aptos Narrow"/>
      <family val="2"/>
      <scheme val="minor"/>
    </font>
    <font>
      <b/>
      <sz val="16"/>
      <color rgb="FF0070C0"/>
      <name val="Aptos Narrow"/>
      <family val="2"/>
      <scheme val="minor"/>
    </font>
    <font>
      <sz val="16"/>
      <color rgb="FF0070C0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48"/>
      <color theme="0" tint="-0.499984740745262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/>
      <bottom/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/>
      <right/>
      <top/>
      <bottom style="medium">
        <color rgb="FF00B0F0"/>
      </bottom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 style="medium">
        <color rgb="FF00B0F0"/>
      </right>
      <top/>
      <bottom style="medium">
        <color rgb="FF00B0F0"/>
      </bottom>
      <diagonal/>
    </border>
    <border>
      <left/>
      <right/>
      <top style="medium">
        <color rgb="FF00B0F0"/>
      </top>
      <bottom/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/>
      <top/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/>
      <bottom style="medium">
        <color rgb="FF00B0F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3">
    <xf numFmtId="0" fontId="0" fillId="0" borderId="0" xfId="0"/>
    <xf numFmtId="0" fontId="18" fillId="34" borderId="0" xfId="0" applyFont="1" applyFill="1" applyBorder="1" applyAlignment="1"/>
    <xf numFmtId="0" fontId="0" fillId="0" borderId="0" xfId="0" applyBorder="1"/>
    <xf numFmtId="0" fontId="0" fillId="34" borderId="0" xfId="0" applyFill="1" applyAlignment="1"/>
    <xf numFmtId="0" fontId="0" fillId="34" borderId="0" xfId="0" applyFill="1"/>
    <xf numFmtId="1" fontId="19" fillId="0" borderId="0" xfId="0" applyNumberFormat="1" applyFont="1" applyAlignment="1">
      <alignment vertical="center"/>
    </xf>
    <xf numFmtId="0" fontId="0" fillId="0" borderId="12" xfId="0" applyBorder="1"/>
    <xf numFmtId="15" fontId="0" fillId="33" borderId="10" xfId="0" applyNumberFormat="1" applyFont="1" applyFill="1" applyBorder="1"/>
    <xf numFmtId="15" fontId="0" fillId="0" borderId="10" xfId="0" applyNumberFormat="1" applyFont="1" applyBorder="1"/>
    <xf numFmtId="1" fontId="0" fillId="0" borderId="0" xfId="0" applyNumberFormat="1"/>
    <xf numFmtId="0" fontId="0" fillId="34" borderId="0" xfId="0" applyFill="1" applyBorder="1"/>
    <xf numFmtId="0" fontId="0" fillId="34" borderId="12" xfId="0" applyFill="1" applyBorder="1"/>
    <xf numFmtId="0" fontId="0" fillId="34" borderId="14" xfId="0" applyFill="1" applyBorder="1"/>
    <xf numFmtId="0" fontId="21" fillId="34" borderId="0" xfId="0" applyFont="1" applyFill="1" applyBorder="1" applyAlignment="1">
      <alignment horizontal="center" vertical="center"/>
    </xf>
    <xf numFmtId="0" fontId="21" fillId="34" borderId="0" xfId="0" applyNumberFormat="1" applyFont="1" applyFill="1" applyBorder="1" applyAlignment="1">
      <alignment horizontal="center" vertical="center"/>
    </xf>
    <xf numFmtId="0" fontId="0" fillId="34" borderId="21" xfId="0" applyFill="1" applyBorder="1"/>
    <xf numFmtId="0" fontId="0" fillId="34" borderId="17" xfId="0" applyFill="1" applyBorder="1"/>
    <xf numFmtId="0" fontId="0" fillId="34" borderId="22" xfId="0" applyFill="1" applyBorder="1"/>
    <xf numFmtId="0" fontId="0" fillId="34" borderId="19" xfId="0" applyFill="1" applyBorder="1"/>
    <xf numFmtId="1" fontId="19" fillId="34" borderId="0" xfId="0" applyNumberFormat="1" applyFont="1" applyFill="1" applyBorder="1" applyAlignment="1">
      <alignment horizontal="center" vertical="center"/>
    </xf>
    <xf numFmtId="0" fontId="0" fillId="34" borderId="23" xfId="0" applyFill="1" applyBorder="1"/>
    <xf numFmtId="0" fontId="0" fillId="34" borderId="13" xfId="0" applyFill="1" applyBorder="1"/>
    <xf numFmtId="0" fontId="0" fillId="34" borderId="0" xfId="0" applyFill="1" applyBorder="1" applyAlignment="1"/>
    <xf numFmtId="1" fontId="19" fillId="34" borderId="0" xfId="0" applyNumberFormat="1" applyFont="1" applyFill="1" applyBorder="1" applyAlignment="1">
      <alignment horizontal="center" vertical="center"/>
    </xf>
    <xf numFmtId="0" fontId="0" fillId="35" borderId="21" xfId="0" applyFill="1" applyBorder="1"/>
    <xf numFmtId="0" fontId="0" fillId="35" borderId="17" xfId="0" applyFill="1" applyBorder="1"/>
    <xf numFmtId="0" fontId="0" fillId="35" borderId="22" xfId="0" applyFill="1" applyBorder="1"/>
    <xf numFmtId="0" fontId="0" fillId="35" borderId="19" xfId="0" applyFill="1" applyBorder="1"/>
    <xf numFmtId="0" fontId="0" fillId="35" borderId="0" xfId="0" applyFill="1" applyBorder="1"/>
    <xf numFmtId="0" fontId="0" fillId="35" borderId="12" xfId="0" applyFill="1" applyBorder="1"/>
    <xf numFmtId="0" fontId="23" fillId="35" borderId="18" xfId="0" applyFont="1" applyFill="1" applyBorder="1" applyAlignment="1">
      <alignment horizontal="center" vertical="center"/>
    </xf>
    <xf numFmtId="0" fontId="23" fillId="35" borderId="11" xfId="0" applyFont="1" applyFill="1" applyBorder="1" applyAlignment="1">
      <alignment horizontal="center" vertical="center"/>
    </xf>
    <xf numFmtId="0" fontId="26" fillId="35" borderId="11" xfId="0" applyFont="1" applyFill="1" applyBorder="1" applyAlignment="1">
      <alignment horizontal="center" vertical="center"/>
    </xf>
    <xf numFmtId="0" fontId="23" fillId="35" borderId="0" xfId="0" applyFont="1" applyFill="1" applyBorder="1" applyAlignment="1">
      <alignment horizontal="center" vertical="center"/>
    </xf>
    <xf numFmtId="164" fontId="23" fillId="35" borderId="17" xfId="0" applyNumberFormat="1" applyFont="1" applyFill="1" applyBorder="1" applyAlignment="1">
      <alignment horizontal="center" vertical="center"/>
    </xf>
    <xf numFmtId="1" fontId="23" fillId="35" borderId="22" xfId="0" applyNumberFormat="1" applyFont="1" applyFill="1" applyBorder="1" applyAlignment="1">
      <alignment horizontal="center" vertical="center"/>
    </xf>
    <xf numFmtId="0" fontId="23" fillId="35" borderId="15" xfId="0" applyFont="1" applyFill="1" applyBorder="1" applyAlignment="1">
      <alignment horizontal="center" vertical="center"/>
    </xf>
    <xf numFmtId="0" fontId="23" fillId="35" borderId="15" xfId="0" applyNumberFormat="1" applyFont="1" applyFill="1" applyBorder="1" applyAlignment="1">
      <alignment horizontal="center" vertical="center"/>
    </xf>
    <xf numFmtId="164" fontId="23" fillId="35" borderId="0" xfId="0" applyNumberFormat="1" applyFont="1" applyFill="1" applyBorder="1" applyAlignment="1">
      <alignment horizontal="center" vertical="center"/>
    </xf>
    <xf numFmtId="1" fontId="23" fillId="35" borderId="12" xfId="0" applyNumberFormat="1" applyFont="1" applyFill="1" applyBorder="1" applyAlignment="1">
      <alignment horizontal="center" vertical="center"/>
    </xf>
    <xf numFmtId="0" fontId="23" fillId="35" borderId="16" xfId="0" applyFont="1" applyFill="1" applyBorder="1" applyAlignment="1">
      <alignment horizontal="center" vertical="center"/>
    </xf>
    <xf numFmtId="0" fontId="23" fillId="35" borderId="16" xfId="0" applyNumberFormat="1" applyFont="1" applyFill="1" applyBorder="1" applyAlignment="1">
      <alignment horizontal="center" vertical="center"/>
    </xf>
    <xf numFmtId="0" fontId="24" fillId="35" borderId="11" xfId="0" applyFont="1" applyFill="1" applyBorder="1" applyAlignment="1">
      <alignment horizontal="center" vertical="center"/>
    </xf>
    <xf numFmtId="0" fontId="24" fillId="35" borderId="16" xfId="0" applyNumberFormat="1" applyFont="1" applyFill="1" applyBorder="1" applyAlignment="1">
      <alignment horizontal="center" vertical="center"/>
    </xf>
    <xf numFmtId="0" fontId="23" fillId="35" borderId="14" xfId="0" applyFont="1" applyFill="1" applyBorder="1" applyAlignment="1">
      <alignment horizontal="center" vertical="center"/>
    </xf>
    <xf numFmtId="164" fontId="23" fillId="35" borderId="14" xfId="0" applyNumberFormat="1" applyFont="1" applyFill="1" applyBorder="1" applyAlignment="1">
      <alignment horizontal="center" vertical="center"/>
    </xf>
    <xf numFmtId="1" fontId="23" fillId="35" borderId="13" xfId="0" applyNumberFormat="1" applyFont="1" applyFill="1" applyBorder="1" applyAlignment="1">
      <alignment horizontal="center" vertical="center"/>
    </xf>
    <xf numFmtId="1" fontId="19" fillId="35" borderId="0" xfId="0" applyNumberFormat="1" applyFont="1" applyFill="1" applyBorder="1" applyAlignment="1">
      <alignment horizontal="center" vertical="center"/>
    </xf>
    <xf numFmtId="164" fontId="20" fillId="35" borderId="0" xfId="0" applyNumberFormat="1" applyFont="1" applyFill="1" applyBorder="1" applyAlignment="1">
      <alignment horizontal="center" vertical="center"/>
    </xf>
    <xf numFmtId="0" fontId="23" fillId="35" borderId="21" xfId="0" applyFont="1" applyFill="1" applyBorder="1" applyAlignment="1">
      <alignment horizontal="center" vertical="center"/>
    </xf>
    <xf numFmtId="0" fontId="23" fillId="35" borderId="12" xfId="0" applyFont="1" applyFill="1" applyBorder="1" applyAlignment="1">
      <alignment horizontal="center" vertical="center"/>
    </xf>
    <xf numFmtId="0" fontId="23" fillId="35" borderId="19" xfId="0" applyFont="1" applyFill="1" applyBorder="1" applyAlignment="1">
      <alignment horizontal="center" vertical="center"/>
    </xf>
    <xf numFmtId="0" fontId="0" fillId="35" borderId="0" xfId="0" applyFill="1"/>
    <xf numFmtId="0" fontId="21" fillId="35" borderId="0" xfId="0" applyFont="1" applyFill="1" applyBorder="1" applyAlignment="1">
      <alignment horizontal="center" vertical="center"/>
    </xf>
    <xf numFmtId="0" fontId="21" fillId="35" borderId="0" xfId="0" applyNumberFormat="1" applyFont="1" applyFill="1" applyBorder="1" applyAlignment="1">
      <alignment horizontal="center" vertical="center"/>
    </xf>
    <xf numFmtId="1" fontId="19" fillId="35" borderId="0" xfId="0" applyNumberFormat="1" applyFont="1" applyFill="1" applyBorder="1" applyAlignment="1">
      <alignment horizontal="center" vertical="center"/>
    </xf>
    <xf numFmtId="164" fontId="19" fillId="35" borderId="0" xfId="0" applyNumberFormat="1" applyFont="1" applyFill="1" applyBorder="1" applyAlignment="1">
      <alignment horizontal="center" vertical="center"/>
    </xf>
    <xf numFmtId="165" fontId="19" fillId="35" borderId="0" xfId="0" applyNumberFormat="1" applyFont="1" applyFill="1" applyBorder="1" applyAlignment="1">
      <alignment horizontal="center" vertical="center"/>
    </xf>
    <xf numFmtId="0" fontId="23" fillId="35" borderId="20" xfId="0" applyFont="1" applyFill="1" applyBorder="1" applyAlignment="1">
      <alignment horizontal="center" vertical="center"/>
    </xf>
    <xf numFmtId="0" fontId="25" fillId="35" borderId="11" xfId="0" applyFont="1" applyFill="1" applyBorder="1" applyAlignment="1">
      <alignment horizontal="center" vertical="center"/>
    </xf>
    <xf numFmtId="0" fontId="22" fillId="35" borderId="11" xfId="0" applyFont="1" applyFill="1" applyBorder="1" applyAlignment="1">
      <alignment horizontal="center"/>
    </xf>
    <xf numFmtId="0" fontId="23" fillId="35" borderId="12" xfId="0" applyNumberFormat="1" applyFont="1" applyFill="1" applyBorder="1" applyAlignment="1">
      <alignment horizontal="center" vertical="center"/>
    </xf>
    <xf numFmtId="0" fontId="27" fillId="35" borderId="22" xfId="0" applyNumberFormat="1" applyFont="1" applyFill="1" applyBorder="1" applyAlignment="1">
      <alignment horizontal="center" vertical="center"/>
    </xf>
    <xf numFmtId="0" fontId="27" fillId="35" borderId="12" xfId="0" applyNumberFormat="1" applyFont="1" applyFill="1" applyBorder="1" applyAlignment="1">
      <alignment horizontal="center" vertical="center"/>
    </xf>
    <xf numFmtId="0" fontId="23" fillId="35" borderId="23" xfId="0" applyFont="1" applyFill="1" applyBorder="1" applyAlignment="1">
      <alignment horizontal="center" vertical="center"/>
    </xf>
    <xf numFmtId="1" fontId="27" fillId="35" borderId="13" xfId="0" applyNumberFormat="1" applyFont="1" applyFill="1" applyBorder="1" applyAlignment="1">
      <alignment horizontal="center" vertical="center"/>
    </xf>
    <xf numFmtId="0" fontId="23" fillId="35" borderId="13" xfId="0" applyNumberFormat="1" applyFont="1" applyFill="1" applyBorder="1" applyAlignment="1">
      <alignment horizontal="center" vertical="center"/>
    </xf>
    <xf numFmtId="0" fontId="0" fillId="35" borderId="23" xfId="0" applyFill="1" applyBorder="1"/>
    <xf numFmtId="0" fontId="0" fillId="35" borderId="14" xfId="0" applyFill="1" applyBorder="1"/>
    <xf numFmtId="0" fontId="0" fillId="35" borderId="13" xfId="0" applyFill="1" applyBorder="1"/>
    <xf numFmtId="1" fontId="19" fillId="35" borderId="0" xfId="0" applyNumberFormat="1" applyFont="1" applyFill="1" applyBorder="1" applyAlignment="1">
      <alignment vertical="center"/>
    </xf>
    <xf numFmtId="164" fontId="28" fillId="35" borderId="0" xfId="0" applyNumberFormat="1" applyFont="1" applyFill="1" applyBorder="1" applyAlignment="1">
      <alignment horizontal="center" vertical="center"/>
    </xf>
    <xf numFmtId="1" fontId="28" fillId="35" borderId="0" xfId="0" applyNumberFormat="1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6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0" tint="-4.9989318521683403E-2"/>
        </patternFill>
      </fill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border>
        <top style="medium">
          <color rgb="FF00B0F0"/>
        </top>
      </border>
    </dxf>
    <dxf>
      <border>
        <bottom style="medium">
          <color rgb="FF00B0F0"/>
        </bottom>
      </border>
    </dxf>
    <dxf>
      <border>
        <bottom style="medium">
          <color rgb="FF00B0F0"/>
        </bottom>
      </border>
    </dxf>
    <dxf>
      <border>
        <bottom style="medium">
          <color rgb="FF00B0F0"/>
        </bottom>
      </border>
    </dxf>
    <dxf>
      <border>
        <right style="medium">
          <color rgb="FF00B0F0"/>
        </right>
      </border>
    </dxf>
    <dxf>
      <border>
        <right style="medium">
          <color rgb="FF00B0F0"/>
        </right>
      </border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border>
        <top style="medium">
          <color rgb="FF00B0F0"/>
        </top>
      </border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4"/>
      </font>
    </dxf>
    <dxf>
      <font>
        <b/>
      </font>
    </dxf>
    <dxf>
      <border>
        <left style="medium">
          <color theme="3" tint="9.9978637043366805E-2"/>
        </left>
        <right style="medium">
          <color theme="3" tint="9.9978637043366805E-2"/>
        </right>
      </border>
    </dxf>
    <dxf>
      <border>
        <left style="medium">
          <color theme="3" tint="9.9978637043366805E-2"/>
        </left>
        <right style="medium">
          <color theme="3" tint="9.9978637043366805E-2"/>
        </right>
      </border>
    </dxf>
    <dxf>
      <border>
        <left style="medium">
          <color theme="3" tint="9.9978637043366805E-2"/>
        </left>
        <right style="medium">
          <color theme="3" tint="9.9978637043366805E-2"/>
        </right>
      </border>
    </dxf>
    <dxf>
      <border>
        <left style="medium">
          <color theme="3" tint="9.9978637043366805E-2"/>
        </left>
        <right style="medium">
          <color theme="3" tint="9.9978637043366805E-2"/>
        </right>
      </border>
    </dxf>
    <dxf>
      <border>
        <left style="medium">
          <color theme="3" tint="9.9978637043366805E-2"/>
        </left>
        <right style="medium">
          <color theme="3" tint="9.9978637043366805E-2"/>
        </right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medium">
          <color theme="3" tint="9.9978637043366805E-2"/>
        </left>
        <right style="medium">
          <color theme="3" tint="9.9978637043366805E-2"/>
        </right>
        <top style="medium">
          <color theme="3" tint="9.9978637043366805E-2"/>
        </top>
        <bottom style="medium">
          <color theme="3" tint="9.9978637043366805E-2"/>
        </bottom>
      </border>
    </dxf>
    <dxf>
      <border>
        <left style="medium">
          <color theme="3" tint="9.9978637043366805E-2"/>
        </left>
        <right style="medium">
          <color theme="3" tint="9.9978637043366805E-2"/>
        </right>
        <top style="medium">
          <color theme="3" tint="9.9978637043366805E-2"/>
        </top>
        <bottom style="medium">
          <color theme="3" tint="9.9978637043366805E-2"/>
        </bottom>
      </border>
    </dxf>
    <dxf>
      <border>
        <left style="medium">
          <color theme="3" tint="9.9978637043366805E-2"/>
        </left>
        <right style="medium">
          <color theme="3" tint="9.9978637043366805E-2"/>
        </right>
        <top style="medium">
          <color theme="3" tint="9.9978637043366805E-2"/>
        </top>
        <bottom style="medium">
          <color theme="3" tint="9.9978637043366805E-2"/>
        </bottom>
      </border>
    </dxf>
    <dxf>
      <border>
        <left style="medium">
          <color theme="3" tint="9.9978637043366805E-2"/>
        </left>
        <right style="medium">
          <color theme="3" tint="9.9978637043366805E-2"/>
        </right>
        <top style="medium">
          <color theme="3" tint="9.9978637043366805E-2"/>
        </top>
        <bottom style="medium">
          <color theme="3" tint="9.9978637043366805E-2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right/>
      </border>
    </dxf>
    <dxf>
      <font>
        <sz val="14"/>
      </font>
      <fill>
        <patternFill patternType="none">
          <fgColor indexed="64"/>
          <bgColor indexed="65"/>
        </patternFill>
      </fill>
      <alignment vertical="center"/>
    </dxf>
    <dxf>
      <border>
        <bottom style="medium">
          <color rgb="FF00B0F0"/>
        </bottom>
      </border>
    </dxf>
    <dxf>
      <border>
        <bottom style="medium">
          <color rgb="FF00B0F0"/>
        </bottom>
      </border>
    </dxf>
    <dxf>
      <border>
        <left/>
        <right/>
        <bottom/>
        <horizontal/>
      </border>
    </dxf>
    <dxf>
      <border>
        <bottom style="medium">
          <color rgb="FF00B0F0"/>
        </bottom>
      </border>
    </dxf>
    <dxf>
      <border>
        <top style="medium">
          <color rgb="FF00B0F0"/>
        </top>
      </border>
    </dxf>
    <dxf>
      <border>
        <top style="medium">
          <color rgb="FF00B0F0"/>
        </top>
        <bottom style="medium">
          <color rgb="FF00B0F0"/>
        </bottom>
      </border>
    </dxf>
    <dxf>
      <border>
        <top style="medium">
          <color rgb="FF00B0F0"/>
        </top>
        <bottom style="medium">
          <color rgb="FF00B0F0"/>
        </bottom>
      </border>
    </dxf>
    <dxf>
      <font>
        <b/>
        <sz val="14"/>
        <color rgb="FF0070C0"/>
      </font>
      <fill>
        <patternFill patternType="solid">
          <fgColor indexed="64"/>
          <bgColor theme="4" tint="0.79998168889431442"/>
        </patternFill>
      </fill>
    </dxf>
    <dxf>
      <font>
        <b/>
        <sz val="14"/>
        <color rgb="FF0070C0"/>
      </font>
      <fill>
        <patternFill patternType="solid">
          <fgColor indexed="64"/>
          <bgColor theme="4" tint="0.79998168889431442"/>
        </patternFill>
      </fill>
    </dxf>
    <dxf>
      <font>
        <b/>
        <sz val="14"/>
        <color rgb="FF0070C0"/>
      </font>
      <fill>
        <patternFill patternType="solid">
          <fgColor indexed="64"/>
          <bgColor theme="4" tint="0.79998168889431442"/>
        </patternFill>
      </fill>
    </dxf>
    <dxf>
      <font>
        <b/>
        <sz val="14"/>
        <color rgb="FF0070C0"/>
      </font>
      <fill>
        <patternFill patternType="solid">
          <fgColor indexed="64"/>
          <bgColor theme="4" tint="0.79998168889431442"/>
        </patternFill>
      </fill>
    </dxf>
    <dxf>
      <font>
        <b/>
        <sz val="14"/>
        <color rgb="FF0070C0"/>
      </font>
      <fill>
        <patternFill patternType="solid">
          <fgColor indexed="64"/>
          <bgColor theme="4" tint="0.79998168889431442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4" tint="0.79998168889431442"/>
        </patternFill>
      </fill>
    </dxf>
    <dxf>
      <border>
        <right/>
      </border>
    </dxf>
    <dxf>
      <border>
        <right style="medium">
          <color rgb="FF00B0F0"/>
        </right>
        <bottom style="medium">
          <color rgb="FF00B0F0"/>
        </bottom>
      </border>
    </dxf>
    <dxf>
      <border>
        <right style="medium">
          <color rgb="FF00B0F0"/>
        </right>
        <bottom style="medium">
          <color rgb="FF00B0F0"/>
        </bottom>
      </border>
    </dxf>
    <dxf>
      <border>
        <left style="medium">
          <color rgb="FF00B0F0"/>
        </left>
        <right style="medium">
          <color rgb="FF00B0F0"/>
        </right>
        <bottom style="medium">
          <color rgb="FF00B0F0"/>
        </bottom>
      </border>
    </dxf>
    <dxf>
      <border>
        <left style="medium">
          <color rgb="FF00B0F0"/>
        </left>
        <right style="medium">
          <color rgb="FF00B0F0"/>
        </right>
        <bottom style="medium">
          <color rgb="FF00B0F0"/>
        </bottom>
      </border>
    </dxf>
    <dxf>
      <border>
        <left style="medium">
          <color rgb="FF00B0F0"/>
        </left>
        <right style="medium">
          <color rgb="FF00B0F0"/>
        </right>
        <bottom style="medium">
          <color rgb="FF00B0F0"/>
        </bottom>
      </border>
    </dxf>
    <dxf>
      <font>
        <b/>
        <sz val="14"/>
        <color rgb="FF0070C0"/>
      </font>
      <alignment horizontal="center" vertical="center"/>
    </dxf>
    <dxf>
      <font>
        <b/>
        <sz val="14"/>
        <color rgb="FF0070C0"/>
      </font>
      <alignment horizontal="center" vertical="center"/>
    </dxf>
    <dxf>
      <font>
        <b/>
        <sz val="14"/>
        <color rgb="FF0070C0"/>
      </font>
      <alignment horizontal="center" vertical="center"/>
    </dxf>
    <dxf>
      <font>
        <b/>
        <sz val="14"/>
        <color rgb="FF0070C0"/>
      </font>
      <alignment horizontal="center" vertical="center"/>
    </dxf>
    <dxf>
      <font>
        <b/>
        <sz val="14"/>
        <color rgb="FF0070C0"/>
      </font>
      <alignment horizontal="center" vertical="center"/>
    </dxf>
    <dxf>
      <font>
        <b/>
        <sz val="14"/>
        <color rgb="FF0070C0"/>
      </font>
      <alignment horizontal="center" vertical="center"/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right style="medium">
          <color rgb="FF00B0F0"/>
        </right>
      </border>
    </dxf>
    <dxf>
      <border>
        <left style="medium">
          <color rgb="FF00B0F0"/>
        </left>
      </border>
    </dxf>
    <dxf>
      <border>
        <bottom style="medium">
          <color rgb="FF00B0F0"/>
        </bottom>
      </border>
    </dxf>
    <dxf>
      <border>
        <top style="medium">
          <color rgb="FF00B0F0"/>
        </top>
      </border>
    </dxf>
    <dxf>
      <border>
        <left/>
        <top/>
        <bottom/>
      </border>
    </dxf>
    <dxf>
      <border>
        <right style="medium">
          <color rgb="FF00B0F0"/>
        </right>
      </border>
    </dxf>
    <dxf>
      <border>
        <bottom style="medium">
          <color rgb="FF00B0F0"/>
        </bottom>
      </border>
    </dxf>
    <dxf>
      <border>
        <top style="medium">
          <color rgb="FF00B0F0"/>
        </top>
      </border>
    </dxf>
    <dxf>
      <border>
        <right style="medium">
          <color rgb="FF00B0F0"/>
        </right>
      </border>
    </dxf>
    <dxf>
      <border>
        <right style="medium">
          <color rgb="FF00B0F0"/>
        </right>
      </border>
    </dxf>
    <dxf>
      <border>
        <top style="medium">
          <color rgb="FF00B0F0"/>
        </top>
      </border>
    </dxf>
    <dxf>
      <border>
        <top style="medium">
          <color rgb="FF00B0F0"/>
        </top>
      </border>
    </dxf>
    <dxf>
      <numFmt numFmtId="1" formatCode="0"/>
    </dxf>
    <dxf>
      <border>
        <bottom style="medium">
          <color rgb="FF00B0F0"/>
        </bottom>
      </border>
    </dxf>
    <dxf>
      <border>
        <bottom style="medium">
          <color rgb="FF00B0F0"/>
        </bottom>
      </border>
    </dxf>
    <dxf>
      <border>
        <top style="medium">
          <color rgb="FF00B0F0"/>
        </top>
      </border>
    </dxf>
    <dxf>
      <border>
        <bottom style="medium">
          <color rgb="FF00B0F0"/>
        </bottom>
      </border>
    </dxf>
    <dxf>
      <border>
        <bottom style="medium">
          <color rgb="FF00B0F0"/>
        </bottom>
      </border>
    </dxf>
    <dxf>
      <border>
        <top style="medium">
          <color rgb="FF00B0F0"/>
        </top>
      </border>
    </dxf>
    <dxf>
      <font>
        <sz val="14"/>
      </font>
      <alignment vertical="center"/>
    </dxf>
    <dxf>
      <font>
        <sz val="14"/>
      </font>
      <alignment vertical="center"/>
    </dxf>
    <dxf>
      <font>
        <sz val="14"/>
      </font>
      <alignment vertical="center"/>
    </dxf>
    <dxf>
      <font>
        <sz val="14"/>
      </font>
      <alignment vertical="center"/>
    </dxf>
    <dxf>
      <font>
        <sz val="14"/>
      </font>
      <alignment vertical="center"/>
    </dxf>
    <dxf>
      <font>
        <sz val="14"/>
      </font>
      <alignment vertical="center"/>
    </dxf>
    <dxf>
      <numFmt numFmtId="164" formatCode="&quot;$&quot;#,##0.00"/>
    </dxf>
    <dxf>
      <font>
        <sz val="14"/>
      </font>
    </dxf>
    <dxf>
      <border>
        <left style="medium">
          <color rgb="FF00B0F0"/>
        </left>
      </border>
    </dxf>
    <dxf>
      <border>
        <bottom style="medium">
          <color rgb="FF00B0F0"/>
        </bottom>
      </border>
    </dxf>
    <dxf>
      <border>
        <bottom style="medium">
          <color rgb="FF00B0F0"/>
        </bottom>
      </border>
    </dxf>
    <dxf>
      <border>
        <right style="medium">
          <color rgb="FF00B0F0"/>
        </right>
      </border>
    </dxf>
    <dxf>
      <border>
        <right style="medium">
          <color rgb="FF00B0F0"/>
        </right>
      </border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border>
        <left style="medium">
          <color theme="3" tint="9.9978637043366805E-2"/>
        </left>
        <top style="medium">
          <color theme="3" tint="9.9978637043366805E-2"/>
        </top>
        <bottom style="medium">
          <color theme="3" tint="9.9978637043366805E-2"/>
        </bottom>
      </border>
    </dxf>
    <dxf>
      <border>
        <left style="medium">
          <color theme="3" tint="9.9978637043366805E-2"/>
        </left>
        <top style="medium">
          <color theme="3" tint="9.9978637043366805E-2"/>
        </top>
        <bottom style="medium">
          <color theme="3" tint="9.9978637043366805E-2"/>
        </bottom>
      </border>
    </dxf>
    <dxf>
      <border>
        <left style="medium">
          <color theme="3" tint="9.9978637043366805E-2"/>
        </left>
        <top style="medium">
          <color theme="3" tint="9.9978637043366805E-2"/>
        </top>
        <bottom style="medium">
          <color theme="3" tint="9.9978637043366805E-2"/>
        </bottom>
      </border>
    </dxf>
    <dxf>
      <border>
        <left style="medium">
          <color theme="3" tint="9.9978637043366805E-2"/>
        </left>
        <top style="medium">
          <color theme="3" tint="9.9978637043366805E-2"/>
        </top>
        <bottom style="medium">
          <color theme="3" tint="9.9978637043366805E-2"/>
        </bottom>
      </border>
    </dxf>
    <dxf>
      <border>
        <left/>
        <right/>
        <top/>
      </border>
    </dxf>
    <dxf>
      <font>
        <sz val="16"/>
      </font>
      <alignment vertical="center"/>
    </dxf>
    <dxf>
      <border>
        <left style="medium">
          <color theme="3" tint="9.9978637043366805E-2"/>
        </left>
        <right style="medium">
          <color theme="3" tint="9.9978637043366805E-2"/>
        </right>
        <top style="medium">
          <color theme="3" tint="9.9978637043366805E-2"/>
        </top>
        <bottom style="medium">
          <color theme="3" tint="9.9978637043366805E-2"/>
        </bottom>
      </border>
    </dxf>
    <dxf>
      <border>
        <left style="medium">
          <color theme="3" tint="9.9978637043366805E-2"/>
        </left>
        <right style="medium">
          <color theme="3" tint="9.9978637043366805E-2"/>
        </right>
        <top style="medium">
          <color theme="3" tint="9.9978637043366805E-2"/>
        </top>
        <bottom style="medium">
          <color theme="3" tint="9.9978637043366805E-2"/>
        </bottom>
      </border>
    </dxf>
    <dxf>
      <border>
        <left style="medium">
          <color theme="3" tint="9.9978637043366805E-2"/>
        </left>
        <right style="medium">
          <color theme="3" tint="9.9978637043366805E-2"/>
        </right>
        <top style="medium">
          <color theme="3" tint="9.9978637043366805E-2"/>
        </top>
        <bottom style="medium">
          <color theme="3" tint="9.9978637043366805E-2"/>
        </bottom>
      </border>
    </dxf>
    <dxf>
      <border>
        <left style="medium">
          <color theme="3" tint="9.9978637043366805E-2"/>
        </left>
        <right style="medium">
          <color theme="3" tint="9.9978637043366805E-2"/>
        </right>
        <top style="medium">
          <color theme="3" tint="9.9978637043366805E-2"/>
        </top>
        <bottom style="medium">
          <color theme="3" tint="9.9978637043366805E-2"/>
        </bottom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border>
        <left style="medium">
          <color rgb="FF00B0F0"/>
        </left>
        <right style="medium">
          <color rgb="FF00B0F0"/>
        </right>
        <top style="medium">
          <color rgb="FF00B0F0"/>
        </top>
        <bottom style="medium">
          <color rgb="FF00B0F0"/>
        </bottom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right/>
      </border>
    </dxf>
    <dxf>
      <border>
        <bottom style="medium">
          <color rgb="FF00B0F0"/>
        </bottom>
      </border>
    </dxf>
    <dxf>
      <font>
        <sz val="14"/>
      </font>
    </dxf>
    <dxf>
      <font>
        <sz val="16"/>
      </font>
    </dxf>
    <dxf>
      <font>
        <sz val="12"/>
      </font>
    </dxf>
    <dxf>
      <border>
        <bottom style="medium">
          <color rgb="FF00B0F0"/>
        </bottom>
      </border>
    </dxf>
    <dxf>
      <border>
        <right/>
      </border>
    </dxf>
    <dxf>
      <border>
        <top style="medium">
          <color rgb="FF00B0F0"/>
        </top>
      </border>
    </dxf>
    <dxf>
      <border>
        <top style="medium">
          <color rgb="FF00B0F0"/>
        </top>
      </border>
    </dxf>
    <dxf>
      <border>
        <left style="medium">
          <color rgb="FF00B0F0"/>
        </left>
      </border>
    </dxf>
    <dxf>
      <border>
        <left style="medium">
          <color rgb="FF00B0F0"/>
        </left>
      </border>
    </dxf>
    <dxf>
      <border>
        <left style="medium">
          <color rgb="FF00B0F0"/>
        </left>
      </border>
    </dxf>
    <dxf>
      <border>
        <bottom style="medium">
          <color rgb="FF00B0F0"/>
        </bottom>
      </border>
    </dxf>
    <dxf>
      <border>
        <bottom style="medium">
          <color rgb="FF00B0F0"/>
        </bottom>
      </border>
    </dxf>
    <dxf>
      <border>
        <left style="medium">
          <color rgb="FF00B0F0"/>
        </left>
        <bottom style="medium">
          <color rgb="FF00B0F0"/>
        </bottom>
      </border>
    </dxf>
    <dxf>
      <border>
        <left style="medium">
          <color rgb="FF00B0F0"/>
        </left>
        <bottom style="medium">
          <color rgb="FF00B0F0"/>
        </bottom>
      </border>
    </dxf>
    <dxf>
      <font>
        <sz val="14"/>
      </font>
    </dxf>
    <dxf>
      <border>
        <bottom style="medium">
          <color rgb="FF00B0F0"/>
        </bottom>
      </border>
    </dxf>
    <dxf>
      <border>
        <right style="medium">
          <color rgb="FF00B0F0"/>
        </right>
      </border>
    </dxf>
    <dxf>
      <border>
        <right style="medium">
          <color rgb="FF00B0F0"/>
        </right>
      </border>
    </dxf>
    <dxf>
      <font>
        <b/>
      </font>
    </dxf>
    <dxf>
      <font>
        <sz val="14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border>
        <left style="medium">
          <color theme="3" tint="9.9978637043366805E-2"/>
        </left>
        <top style="medium">
          <color theme="3" tint="9.9978637043366805E-2"/>
        </top>
        <bottom style="medium">
          <color theme="3" tint="9.9978637043366805E-2"/>
        </bottom>
      </border>
    </dxf>
    <dxf>
      <border>
        <left style="medium">
          <color theme="3" tint="9.9978637043366805E-2"/>
        </left>
        <top style="medium">
          <color theme="3" tint="9.9978637043366805E-2"/>
        </top>
        <bottom style="medium">
          <color theme="3" tint="9.9978637043366805E-2"/>
        </bottom>
      </border>
    </dxf>
    <dxf>
      <border>
        <left style="medium">
          <color theme="3" tint="9.9978637043366805E-2"/>
        </left>
        <top style="medium">
          <color theme="3" tint="9.9978637043366805E-2"/>
        </top>
        <bottom style="medium">
          <color theme="3" tint="9.9978637043366805E-2"/>
        </bottom>
      </border>
    </dxf>
    <dxf>
      <border>
        <left style="medium">
          <color theme="3" tint="9.9978637043366805E-2"/>
        </left>
        <top style="medium">
          <color theme="3" tint="9.9978637043366805E-2"/>
        </top>
        <bottom style="medium">
          <color theme="3" tint="9.9978637043366805E-2"/>
        </bottom>
      </border>
    </dxf>
    <dxf>
      <border>
        <left style="medium">
          <color theme="3" tint="9.9978637043366805E-2"/>
        </left>
        <top style="medium">
          <color theme="3" tint="9.9978637043366805E-2"/>
        </top>
        <bottom style="medium">
          <color theme="3" tint="9.9978637043366805E-2"/>
        </bottom>
      </border>
    </dxf>
    <dxf>
      <border>
        <left/>
        <right/>
        <top/>
      </border>
    </dxf>
    <dxf>
      <border>
        <left/>
        <right/>
        <top/>
      </border>
    </dxf>
    <dxf>
      <font>
        <b/>
      </font>
    </dxf>
    <dxf>
      <font>
        <sz val="16"/>
      </font>
      <alignment vertical="center"/>
    </dxf>
    <dxf>
      <font>
        <sz val="16"/>
      </font>
      <alignment vertical="center"/>
    </dxf>
    <dxf>
      <font>
        <sz val="16"/>
      </font>
      <alignment vertical="center"/>
    </dxf>
    <dxf>
      <border>
        <left style="medium">
          <color theme="3" tint="9.9978637043366805E-2"/>
        </left>
        <right style="medium">
          <color theme="3" tint="9.9978637043366805E-2"/>
        </right>
        <top style="medium">
          <color theme="3" tint="9.9978637043366805E-2"/>
        </top>
        <bottom style="medium">
          <color theme="3" tint="9.9978637043366805E-2"/>
        </bottom>
      </border>
    </dxf>
    <dxf>
      <border>
        <left style="medium">
          <color theme="3" tint="9.9978637043366805E-2"/>
        </left>
        <right style="medium">
          <color theme="3" tint="9.9978637043366805E-2"/>
        </right>
        <top style="medium">
          <color theme="3" tint="9.9978637043366805E-2"/>
        </top>
        <bottom style="medium">
          <color theme="3" tint="9.9978637043366805E-2"/>
        </bottom>
      </border>
    </dxf>
    <dxf>
      <border>
        <left style="medium">
          <color theme="3" tint="9.9978637043366805E-2"/>
        </left>
        <right style="medium">
          <color theme="3" tint="9.9978637043366805E-2"/>
        </right>
        <top style="medium">
          <color theme="3" tint="9.9978637043366805E-2"/>
        </top>
        <bottom style="medium">
          <color theme="3" tint="9.9978637043366805E-2"/>
        </bottom>
      </border>
    </dxf>
    <dxf>
      <border>
        <left style="medium">
          <color theme="3" tint="9.9978637043366805E-2"/>
        </left>
        <right style="medium">
          <color theme="3" tint="9.9978637043366805E-2"/>
        </right>
        <top style="medium">
          <color theme="3" tint="9.9978637043366805E-2"/>
        </top>
        <bottom style="medium">
          <color theme="3" tint="9.9978637043366805E-2"/>
        </bottom>
      </border>
    </dxf>
    <dxf>
      <border>
        <left style="medium">
          <color theme="3" tint="9.9978637043366805E-2"/>
        </left>
        <right style="medium">
          <color theme="3" tint="9.9978637043366805E-2"/>
        </right>
        <top style="medium">
          <color theme="3" tint="9.9978637043366805E-2"/>
        </top>
        <bottom style="medium">
          <color theme="3" tint="9.9978637043366805E-2"/>
        </bottom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00B0F0"/>
        </patternFill>
      </fill>
    </dxf>
    <dxf>
      <numFmt numFmtId="1" formatCode="0"/>
    </dxf>
    <dxf>
      <alignment vertical="center"/>
    </dxf>
    <dxf>
      <alignment horizontal="center"/>
    </dxf>
    <dxf>
      <alignment vertical="center"/>
    </dxf>
    <dxf>
      <numFmt numFmtId="20" formatCode="d\-mmm\-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6000" b="1">
                <a:solidFill>
                  <a:srgbClr val="00B0F0"/>
                </a:solidFill>
              </a:rPr>
              <a:t>Sum of Balance based on</a:t>
            </a:r>
            <a:r>
              <a:rPr lang="en-US" sz="6000" b="1" baseline="0">
                <a:solidFill>
                  <a:srgbClr val="00B0F0"/>
                </a:solidFill>
              </a:rPr>
              <a:t> the region</a:t>
            </a:r>
            <a:endParaRPr lang="en-US" sz="6000" b="1">
              <a:solidFill>
                <a:srgbClr val="00B0F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3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1">
                  <a:avLst/>
                </a:prstGeom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2044455858516894E-2"/>
          <c:y val="0.15105165399911119"/>
          <c:w val="0.50126344887047747"/>
          <c:h val="0.73633693038731951"/>
        </c:manualLayout>
      </c:layout>
      <c:pieChart>
        <c:varyColors val="1"/>
        <c:ser>
          <c:idx val="0"/>
          <c:order val="0"/>
          <c:tx>
            <c:v>Sum of Balance</c:v>
          </c:tx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11-4A66-BF36-D56F78FE41AA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B11-4A66-BF36-D56F78FE41AA}"/>
              </c:ext>
            </c:extLst>
          </c:dPt>
          <c:dPt>
            <c:idx val="2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11-4A66-BF36-D56F78FE41AA}"/>
              </c:ext>
            </c:extLst>
          </c:dPt>
          <c:dPt>
            <c:idx val="3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B11-4A66-BF36-D56F78FE41AA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 w="63500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36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-2015"/>
                        <a:gd name="adj2" fmla="val -1212"/>
                        <a:gd name="adj3" fmla="val -143994"/>
                        <a:gd name="adj4" fmla="val -178592"/>
                      </a:avLst>
                    </a:prstGeom>
                  </c15:spPr>
                </c:ext>
                <c:ext xmlns:c16="http://schemas.microsoft.com/office/drawing/2014/chart" uri="{C3380CC4-5D6E-409C-BE32-E72D297353CC}">
                  <c16:uniqueId val="{00000003-1B11-4A66-BF36-D56F78FE41AA}"/>
                </c:ext>
              </c:extLst>
            </c:dLbl>
            <c:dLbl>
              <c:idx val="1"/>
              <c:layout>
                <c:manualLayout>
                  <c:x val="2.5976852164535991E-2"/>
                  <c:y val="4.0838603568186395E-2"/>
                </c:manualLayout>
              </c:layout>
              <c:spPr>
                <a:solidFill>
                  <a:sysClr val="window" lastClr="FFFFFF"/>
                </a:solidFill>
                <a:ln w="63500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36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-6052"/>
                        <a:gd name="adj2" fmla="val 49062"/>
                        <a:gd name="adj3" fmla="val -322754"/>
                        <a:gd name="adj4" fmla="val 142649"/>
                      </a:avLst>
                    </a:prstGeom>
                  </c15:spPr>
                </c:ext>
                <c:ext xmlns:c16="http://schemas.microsoft.com/office/drawing/2014/chart" uri="{C3380CC4-5D6E-409C-BE32-E72D297353CC}">
                  <c16:uniqueId val="{00000006-1B11-4A66-BF36-D56F78FE41AA}"/>
                </c:ext>
              </c:extLst>
            </c:dLbl>
            <c:dLbl>
              <c:idx val="2"/>
              <c:layout>
                <c:manualLayout>
                  <c:x val="4.7395941920077098E-3"/>
                  <c:y val="0.22124799161320449"/>
                </c:manualLayout>
              </c:layout>
              <c:spPr>
                <a:solidFill>
                  <a:sysClr val="window" lastClr="FFFFFF"/>
                </a:solidFill>
                <a:ln w="63500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36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-6629"/>
                        <a:gd name="adj2" fmla="val 51147"/>
                        <a:gd name="adj3" fmla="val -363476"/>
                        <a:gd name="adj4" fmla="val 380441"/>
                      </a:avLst>
                    </a:prstGeom>
                  </c15:spPr>
                </c:ext>
                <c:ext xmlns:c16="http://schemas.microsoft.com/office/drawing/2014/chart" uri="{C3380CC4-5D6E-409C-BE32-E72D297353CC}">
                  <c16:uniqueId val="{00000005-1B11-4A66-BF36-D56F78FE41AA}"/>
                </c:ext>
              </c:extLst>
            </c:dLbl>
            <c:dLbl>
              <c:idx val="3"/>
              <c:layout>
                <c:manualLayout>
                  <c:x val="-2.9301246734586384E-2"/>
                  <c:y val="-1.3159064234192162E-2"/>
                </c:manualLayout>
              </c:layout>
              <c:spPr>
                <a:solidFill>
                  <a:sysClr val="window" lastClr="FFFFFF"/>
                </a:solidFill>
                <a:ln w="63500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36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91716"/>
                        <a:gd name="adj2" fmla="val 102345"/>
                        <a:gd name="adj3" fmla="val 335795"/>
                        <a:gd name="adj4" fmla="val 125224"/>
                      </a:avLst>
                    </a:prstGeom>
                  </c15:spPr>
                </c:ext>
                <c:ext xmlns:c16="http://schemas.microsoft.com/office/drawing/2014/chart" uri="{C3380CC4-5D6E-409C-BE32-E72D297353CC}">
                  <c16:uniqueId val="{00000004-1B11-4A66-BF36-D56F78FE41A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3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borderCallout1">
                    <a:avLst/>
                  </a:prstGeom>
                </c15:spPr>
              </c:ext>
            </c:extLst>
          </c:dLbls>
          <c:cat>
            <c:strLit>
              <c:ptCount val="4"/>
              <c:pt idx="0">
                <c:v>England</c:v>
              </c:pt>
              <c:pt idx="1">
                <c:v>Northern Ireland</c:v>
              </c:pt>
              <c:pt idx="2">
                <c:v>Scotland</c:v>
              </c:pt>
              <c:pt idx="3">
                <c:v>Wales</c:v>
              </c:pt>
            </c:strLit>
          </c:cat>
          <c:val>
            <c:numLit>
              <c:formatCode>General</c:formatCode>
              <c:ptCount val="4"/>
              <c:pt idx="0">
                <c:v>84833396.999999821</c:v>
              </c:pt>
              <c:pt idx="1">
                <c:v>8335566.3899999987</c:v>
              </c:pt>
              <c:pt idx="2">
                <c:v>44410730.719999932</c:v>
              </c:pt>
              <c:pt idx="3">
                <c:v>22042829.259999987</c:v>
              </c:pt>
            </c:numLit>
          </c:val>
          <c:extLst>
            <c:ext xmlns:c16="http://schemas.microsoft.com/office/drawing/2014/chart" uri="{C3380CC4-5D6E-409C-BE32-E72D297353CC}">
              <c16:uniqueId val="{00000000-1B11-4A66-BF36-D56F78FE41AA}"/>
            </c:ext>
          </c:extLst>
        </c:ser>
        <c:ser>
          <c:idx val="1"/>
          <c:order val="1"/>
          <c:tx>
            <c:v>Series2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CE1-4680-A0D1-B16AC54DB1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CE1-4680-A0D1-B16AC54DB15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CE1-4680-A0D1-B16AC54DB15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CE1-4680-A0D1-B16AC54DB15D}"/>
              </c:ext>
            </c:extLst>
          </c:dPt>
          <c:cat>
            <c:strLit>
              <c:ptCount val="4"/>
              <c:pt idx="0">
                <c:v>England</c:v>
              </c:pt>
              <c:pt idx="1">
                <c:v>Northern Ireland</c:v>
              </c:pt>
              <c:pt idx="2">
                <c:v>Scotland</c:v>
              </c:pt>
              <c:pt idx="3">
                <c:v>Wales</c:v>
              </c:pt>
            </c:strLit>
          </c:cat>
          <c:val>
            <c:numLit>
              <c:formatCode>General</c:formatCode>
              <c:ptCount val="4"/>
              <c:pt idx="0">
                <c:v>34.787864752200093</c:v>
              </c:pt>
              <c:pt idx="1">
                <c:v>30.279620853080569</c:v>
              </c:pt>
              <c:pt idx="2">
                <c:v>49.195729537366546</c:v>
              </c:pt>
              <c:pt idx="3">
                <c:v>34.986538461538458</c:v>
              </c:pt>
            </c:numLit>
          </c:val>
          <c:extLst>
            <c:ext xmlns:c16="http://schemas.microsoft.com/office/drawing/2014/chart" uri="{C3380CC4-5D6E-409C-BE32-E72D297353CC}">
              <c16:uniqueId val="{00000001-1B11-4A66-BF36-D56F78FE4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77265750689322898"/>
          <c:y val="0.19093913314637312"/>
          <c:w val="0.21379483368732755"/>
          <c:h val="0.30482759792630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0" b="1" i="0" u="none" strike="noStrike" kern="1200" spc="0" baseline="0"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r>
              <a:rPr lang="en-US" sz="6000" b="1">
                <a:solidFill>
                  <a:srgbClr val="00B0F0"/>
                </a:solidFill>
              </a:rPr>
              <a:t>Total balance based on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0" b="1" i="0" u="none" strike="noStrike" kern="1200" spc="0" baseline="0">
              <a:solidFill>
                <a:srgbClr val="00B0F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27000" cap="sq">
            <a:solidFill>
              <a:srgbClr val="00B0F0"/>
            </a:solidFill>
            <a:miter lim="800000"/>
          </a:ln>
          <a:effectLst/>
        </c:spPr>
        <c:marker>
          <c:spPr>
            <a:solidFill>
              <a:schemeClr val="bg1">
                <a:lumMod val="50000"/>
              </a:schemeClr>
            </a:solidFill>
            <a:ln w="127000">
              <a:solidFill>
                <a:schemeClr val="bg1">
                  <a:lumMod val="50000"/>
                </a:schemeClr>
              </a:solidFill>
              <a:beve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1485693678162677E-2"/>
          <c:y val="0.18119469049046763"/>
          <c:w val="0.79184212399597043"/>
          <c:h val="0.74046296010681656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127000" cap="sq">
              <a:solidFill>
                <a:srgbClr val="00B0F0"/>
              </a:solidFill>
              <a:miter lim="800000"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127000">
                <a:solidFill>
                  <a:schemeClr val="bg1">
                    <a:lumMod val="50000"/>
                  </a:schemeClr>
                </a:solidFill>
                <a:bevel/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bg1">
                    <a:lumMod val="50000"/>
                  </a:schemeClr>
                </a:solidFill>
                <a:ln w="127000">
                  <a:solidFill>
                    <a:schemeClr val="bg1">
                      <a:lumMod val="50000"/>
                    </a:schemeClr>
                  </a:solidFill>
                  <a:bevel/>
                </a:ln>
                <a:effectLst/>
              </c:spPr>
            </c:marker>
            <c:bubble3D val="0"/>
            <c:spPr>
              <a:ln w="127000" cap="sq">
                <a:solidFill>
                  <a:srgbClr val="00B0F0"/>
                </a:solidFill>
                <a:miter lim="800000"/>
                <a:headEnd w="lg" len="lg"/>
              </a:ln>
              <a:effectLst/>
            </c:spPr>
            <c:extLst>
              <c:ext xmlns:c16="http://schemas.microsoft.com/office/drawing/2014/chart" uri="{C3380CC4-5D6E-409C-BE32-E72D297353CC}">
                <c16:uniqueId val="{00000002-4079-43DA-8C05-BECB4E2A648D}"/>
              </c:ext>
            </c:extLst>
          </c:dPt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1410718.48</c:v>
              </c:pt>
              <c:pt idx="1">
                <c:v>1205743.3</c:v>
              </c:pt>
              <c:pt idx="2">
                <c:v>1860165.57</c:v>
              </c:pt>
              <c:pt idx="3">
                <c:v>8148492.8899999997</c:v>
              </c:pt>
              <c:pt idx="4">
                <c:v>16847597.850000001</c:v>
              </c:pt>
              <c:pt idx="5">
                <c:v>11258576.15</c:v>
              </c:pt>
              <c:pt idx="6">
                <c:v>16303081.949999999</c:v>
              </c:pt>
              <c:pt idx="7">
                <c:v>17155057.41</c:v>
              </c:pt>
              <c:pt idx="8">
                <c:v>22767097.07</c:v>
              </c:pt>
              <c:pt idx="9">
                <c:v>21354252.699999999</c:v>
              </c:pt>
              <c:pt idx="10">
                <c:v>19801095.760000002</c:v>
              </c:pt>
              <c:pt idx="11">
                <c:v>21510644.239999998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079-43DA-8C05-BECB4E2A6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9844127"/>
        <c:axId val="1109837055"/>
      </c:lineChart>
      <c:catAx>
        <c:axId val="110984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837055"/>
        <c:crosses val="autoZero"/>
        <c:auto val="1"/>
        <c:lblAlgn val="ctr"/>
        <c:lblOffset val="100"/>
        <c:noMultiLvlLbl val="0"/>
      </c:catAx>
      <c:valAx>
        <c:axId val="110983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844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6000" b="1">
                <a:solidFill>
                  <a:srgbClr val="00B0F0"/>
                </a:solidFill>
              </a:rPr>
              <a:t>Averae Balances</a:t>
            </a:r>
            <a:r>
              <a:rPr lang="en-US" sz="6000" b="1" baseline="0">
                <a:solidFill>
                  <a:srgbClr val="00B0F0"/>
                </a:solidFill>
              </a:rPr>
              <a:t> by ages</a:t>
            </a:r>
            <a:endParaRPr lang="en-US" sz="6000" b="1">
              <a:solidFill>
                <a:srgbClr val="00B0F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>
                  <a:lumMod val="5000"/>
                  <a:lumOff val="95000"/>
                </a:schemeClr>
              </a:gs>
              <a:gs pos="33000">
                <a:schemeClr val="accent1">
                  <a:lumMod val="45000"/>
                  <a:lumOff val="55000"/>
                </a:schemeClr>
              </a:gs>
              <a:gs pos="0">
                <a:schemeClr val="accent1">
                  <a:lumMod val="45000"/>
                  <a:lumOff val="55000"/>
                </a:schemeClr>
              </a:gs>
              <a:gs pos="62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>
              <a:gsLst>
                <a:gs pos="100000">
                  <a:schemeClr val="accent1">
                    <a:lumMod val="5000"/>
                    <a:lumOff val="95000"/>
                  </a:schemeClr>
                </a:gs>
                <a:gs pos="33000">
                  <a:schemeClr val="accent1">
                    <a:lumMod val="45000"/>
                    <a:lumOff val="55000"/>
                  </a:schemeClr>
                </a:gs>
                <a:gs pos="0">
                  <a:schemeClr val="accent1">
                    <a:lumMod val="45000"/>
                    <a:lumOff val="55000"/>
                  </a:schemeClr>
                </a:gs>
                <a:gs pos="62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15-24</c:v>
              </c:pt>
              <c:pt idx="1">
                <c:v>25-34</c:v>
              </c:pt>
              <c:pt idx="2">
                <c:v>35-44</c:v>
              </c:pt>
              <c:pt idx="3">
                <c:v>45-54</c:v>
              </c:pt>
              <c:pt idx="4">
                <c:v>55-64</c:v>
              </c:pt>
            </c:strLit>
          </c:cat>
          <c:val>
            <c:numLit>
              <c:formatCode>General</c:formatCode>
              <c:ptCount val="5"/>
              <c:pt idx="0">
                <c:v>38490.602076271185</c:v>
              </c:pt>
              <c:pt idx="1">
                <c:v>40040.801465315701</c:v>
              </c:pt>
              <c:pt idx="2">
                <c:v>39533.825668789825</c:v>
              </c:pt>
              <c:pt idx="3">
                <c:v>39692.491262755124</c:v>
              </c:pt>
              <c:pt idx="4">
                <c:v>40893.235503355667</c:v>
              </c:pt>
            </c:numLit>
          </c:val>
          <c:extLst>
            <c:ext xmlns:c16="http://schemas.microsoft.com/office/drawing/2014/chart" uri="{C3380CC4-5D6E-409C-BE32-E72D297353CC}">
              <c16:uniqueId val="{00000000-0641-4A63-83CF-E3A369FA4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9838719"/>
        <c:axId val="1109829983"/>
      </c:barChart>
      <c:catAx>
        <c:axId val="110983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829983"/>
        <c:crosses val="autoZero"/>
        <c:auto val="1"/>
        <c:lblAlgn val="ctr"/>
        <c:lblOffset val="100"/>
        <c:noMultiLvlLbl val="0"/>
      </c:catAx>
      <c:valAx>
        <c:axId val="110982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83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0" b="0" i="0" u="none" strike="noStrike" kern="1200" spc="0" baseline="0"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r>
              <a:rPr lang="en-US" sz="6000" b="1">
                <a:solidFill>
                  <a:srgbClr val="00B0F0"/>
                </a:solidFill>
              </a:rPr>
              <a:t>Customers</a:t>
            </a:r>
            <a:r>
              <a:rPr lang="en-US" sz="6000" b="1" baseline="0">
                <a:solidFill>
                  <a:srgbClr val="00B0F0"/>
                </a:solidFill>
              </a:rPr>
              <a:t> by genders</a:t>
            </a:r>
            <a:endParaRPr lang="en-US" sz="6000" b="1">
              <a:solidFill>
                <a:srgbClr val="00B0F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0" b="0" i="0" u="none" strike="noStrike" kern="1200" spc="0" baseline="0">
              <a:solidFill>
                <a:srgbClr val="00B0F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22-41AE-ADEC-9573FAB2B6A1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C22-41AE-ADEC-9573FAB2B6A1}"/>
              </c:ext>
            </c:extLst>
          </c:dPt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1849</c:v>
              </c:pt>
              <c:pt idx="1">
                <c:v>2165</c:v>
              </c:pt>
            </c:numLit>
          </c:val>
          <c:extLst>
            <c:ext xmlns:c16="http://schemas.microsoft.com/office/drawing/2014/chart" uri="{C3380CC4-5D6E-409C-BE32-E72D297353CC}">
              <c16:uniqueId val="{00000000-7C22-41AE-ADEC-9573FAB2B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4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4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609600</xdr:colOff>
      <xdr:row>3</xdr:row>
      <xdr:rowOff>87630</xdr:rowOff>
    </xdr:from>
    <xdr:to>
      <xdr:col>13</xdr:col>
      <xdr:colOff>457200</xdr:colOff>
      <xdr:row>20</xdr:row>
      <xdr:rowOff>30480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F841DD06-E7B4-4057-83B0-B4A8DA3AD528}"/>
            </a:ext>
          </a:extLst>
        </xdr:cNvPr>
        <xdr:cNvSpPr/>
      </xdr:nvSpPr>
      <xdr:spPr>
        <a:xfrm>
          <a:off x="15300960" y="636270"/>
          <a:ext cx="3200400" cy="305181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11</xdr:col>
      <xdr:colOff>247650</xdr:colOff>
      <xdr:row>5</xdr:row>
      <xdr:rowOff>0</xdr:rowOff>
    </xdr:from>
    <xdr:to>
      <xdr:col>12</xdr:col>
      <xdr:colOff>1219200</xdr:colOff>
      <xdr:row>17</xdr:row>
      <xdr:rowOff>69416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00C638-7DB8-4400-BA46-5894C9671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53410" y="914400"/>
          <a:ext cx="2160270" cy="2263976"/>
        </a:xfrm>
        <a:prstGeom prst="rect">
          <a:avLst/>
        </a:prstGeom>
      </xdr:spPr>
    </xdr:pic>
    <xdr:clientData/>
  </xdr:twoCellAnchor>
  <xdr:twoCellAnchor>
    <xdr:from>
      <xdr:col>14</xdr:col>
      <xdr:colOff>426028</xdr:colOff>
      <xdr:row>6</xdr:row>
      <xdr:rowOff>76200</xdr:rowOff>
    </xdr:from>
    <xdr:to>
      <xdr:col>23</xdr:col>
      <xdr:colOff>69273</xdr:colOff>
      <xdr:row>16</xdr:row>
      <xdr:rowOff>152400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FCE6104-6955-4AA8-83C5-AC747D406B22}"/>
            </a:ext>
          </a:extLst>
        </xdr:cNvPr>
        <xdr:cNvSpPr txBox="1"/>
      </xdr:nvSpPr>
      <xdr:spPr>
        <a:xfrm>
          <a:off x="19963708" y="1173480"/>
          <a:ext cx="12170525" cy="1905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500" b="1">
              <a:solidFill>
                <a:srgbClr val="00B0F0"/>
              </a:solidFill>
              <a:latin typeface="Agency FB" panose="020B0503020202020204" pitchFamily="34" charset="0"/>
            </a:rPr>
            <a:t>P1-UK Bank Customers</a:t>
          </a:r>
        </a:p>
        <a:p>
          <a:endParaRPr lang="en-US" sz="9600">
            <a:solidFill>
              <a:srgbClr val="00B0F0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8</xdr:col>
      <xdr:colOff>621031</xdr:colOff>
      <xdr:row>118</xdr:row>
      <xdr:rowOff>105076</xdr:rowOff>
    </xdr:from>
    <xdr:to>
      <xdr:col>24</xdr:col>
      <xdr:colOff>274321</xdr:colOff>
      <xdr:row>155</xdr:row>
      <xdr:rowOff>60960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1BF18648-C4C9-4B46-A8A2-CCF1AF9FA0AF}"/>
            </a:ext>
          </a:extLst>
        </xdr:cNvPr>
        <xdr:cNvGrpSpPr/>
      </xdr:nvGrpSpPr>
      <xdr:grpSpPr>
        <a:xfrm>
          <a:off x="12051031" y="18469276"/>
          <a:ext cx="21065490" cy="6204284"/>
          <a:chOff x="11794641" y="4803322"/>
          <a:chExt cx="10980450" cy="3828130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980D89B2-E7A6-4A30-8FF8-7F94FF8683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268358" y="5534096"/>
            <a:ext cx="2088519" cy="2174619"/>
          </a:xfrm>
          <a:prstGeom prst="rect">
            <a:avLst/>
          </a:prstGeom>
        </xdr:spPr>
      </xdr:pic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A1AF8962-C8F0-454F-BA46-B6828BC7E69C}"/>
              </a:ext>
            </a:extLst>
          </xdr:cNvPr>
          <xdr:cNvGrpSpPr/>
        </xdr:nvGrpSpPr>
        <xdr:grpSpPr>
          <a:xfrm flipH="1">
            <a:off x="11838183" y="4803322"/>
            <a:ext cx="4724592" cy="1109859"/>
            <a:chOff x="18073971" y="4592064"/>
            <a:chExt cx="4711980" cy="1118398"/>
          </a:xfrm>
        </xdr:grpSpPr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AA3F7E46-8B15-47A6-9EAC-7E5DD76EE829}"/>
                </a:ext>
              </a:extLst>
            </xdr:cNvPr>
            <xdr:cNvCxnSpPr/>
          </xdr:nvCxnSpPr>
          <xdr:spPr>
            <a:xfrm flipV="1">
              <a:off x="18073971" y="4596364"/>
              <a:ext cx="1359178" cy="1114098"/>
            </a:xfrm>
            <a:prstGeom prst="line">
              <a:avLst/>
            </a:prstGeom>
            <a:ln w="28575"/>
          </xdr:spPr>
          <xdr:style>
            <a:lnRef idx="3">
              <a:schemeClr val="accent4"/>
            </a:lnRef>
            <a:fillRef idx="0">
              <a:schemeClr val="accent4"/>
            </a:fillRef>
            <a:effectRef idx="2">
              <a:schemeClr val="accent4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E73086A1-A57B-4B6E-9FFE-34AF7A25C2D3}"/>
                </a:ext>
              </a:extLst>
            </xdr:cNvPr>
            <xdr:cNvCxnSpPr/>
          </xdr:nvCxnSpPr>
          <xdr:spPr>
            <a:xfrm flipV="1">
              <a:off x="19422639" y="4592064"/>
              <a:ext cx="3363312" cy="0"/>
            </a:xfrm>
            <a:prstGeom prst="line">
              <a:avLst/>
            </a:prstGeom>
            <a:ln w="28575"/>
          </xdr:spPr>
          <xdr:style>
            <a:lnRef idx="3">
              <a:schemeClr val="accent4"/>
            </a:lnRef>
            <a:fillRef idx="0">
              <a:schemeClr val="accent4"/>
            </a:fillRef>
            <a:effectRef idx="2">
              <a:schemeClr val="accent4"/>
            </a:effectRef>
            <a:fontRef idx="minor">
              <a:schemeClr val="tx1"/>
            </a:fontRef>
          </xdr:style>
        </xdr:cxn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5CE0DBE2-5208-4920-BA6B-ADC6758D1F63}"/>
              </a:ext>
            </a:extLst>
          </xdr:cNvPr>
          <xdr:cNvGrpSpPr/>
        </xdr:nvGrpSpPr>
        <xdr:grpSpPr>
          <a:xfrm flipH="1" flipV="1">
            <a:off x="11794641" y="7357110"/>
            <a:ext cx="4793010" cy="1260022"/>
            <a:chOff x="18073971" y="4592064"/>
            <a:chExt cx="4711980" cy="1118398"/>
          </a:xfrm>
        </xdr:grpSpPr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5BDEC0B7-3098-465D-8C4A-9C03AF64921D}"/>
                </a:ext>
              </a:extLst>
            </xdr:cNvPr>
            <xdr:cNvCxnSpPr/>
          </xdr:nvCxnSpPr>
          <xdr:spPr>
            <a:xfrm flipV="1">
              <a:off x="18073971" y="4596364"/>
              <a:ext cx="1359178" cy="1114098"/>
            </a:xfrm>
            <a:prstGeom prst="line">
              <a:avLst/>
            </a:prstGeom>
            <a:ln w="28575"/>
          </xdr:spPr>
          <xdr:style>
            <a:lnRef idx="3">
              <a:schemeClr val="accent4"/>
            </a:lnRef>
            <a:fillRef idx="0">
              <a:schemeClr val="accent4"/>
            </a:fillRef>
            <a:effectRef idx="2">
              <a:schemeClr val="accent4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200729CB-CD82-4617-A30A-FBB98A7C7FA2}"/>
                </a:ext>
              </a:extLst>
            </xdr:cNvPr>
            <xdr:cNvCxnSpPr/>
          </xdr:nvCxnSpPr>
          <xdr:spPr>
            <a:xfrm flipV="1">
              <a:off x="19422639" y="4592064"/>
              <a:ext cx="3363312" cy="0"/>
            </a:xfrm>
            <a:prstGeom prst="line">
              <a:avLst/>
            </a:prstGeom>
            <a:ln w="28575"/>
          </xdr:spPr>
          <xdr:style>
            <a:lnRef idx="3">
              <a:schemeClr val="accent4"/>
            </a:lnRef>
            <a:fillRef idx="0">
              <a:schemeClr val="accent4"/>
            </a:fillRef>
            <a:effectRef idx="2">
              <a:schemeClr val="accent4"/>
            </a:effectRef>
            <a:fontRef idx="minor">
              <a:schemeClr val="tx1"/>
            </a:fontRef>
          </xdr:style>
        </xdr:cxnSp>
      </xdr:grp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20A52540-0534-454E-9797-CFB98E028EC0}"/>
              </a:ext>
            </a:extLst>
          </xdr:cNvPr>
          <xdr:cNvGrpSpPr/>
        </xdr:nvGrpSpPr>
        <xdr:grpSpPr>
          <a:xfrm>
            <a:off x="18033243" y="4829992"/>
            <a:ext cx="4716972" cy="1102239"/>
            <a:chOff x="18073971" y="4592064"/>
            <a:chExt cx="4711980" cy="1118398"/>
          </a:xfrm>
        </xdr:grpSpPr>
        <xdr:cxnSp macro="">
          <xdr:nvCxnSpPr>
            <xdr:cNvPr id="13" name="Straight Connector 12">
              <a:extLst>
                <a:ext uri="{FF2B5EF4-FFF2-40B4-BE49-F238E27FC236}">
                  <a16:creationId xmlns:a16="http://schemas.microsoft.com/office/drawing/2014/main" id="{76AB9AA3-A038-468B-8200-BE48D462A08D}"/>
                </a:ext>
              </a:extLst>
            </xdr:cNvPr>
            <xdr:cNvCxnSpPr/>
          </xdr:nvCxnSpPr>
          <xdr:spPr>
            <a:xfrm flipV="1">
              <a:off x="18073971" y="4596364"/>
              <a:ext cx="1359178" cy="1114098"/>
            </a:xfrm>
            <a:prstGeom prst="line">
              <a:avLst/>
            </a:prstGeom>
            <a:ln w="28575"/>
          </xdr:spPr>
          <xdr:style>
            <a:lnRef idx="3">
              <a:schemeClr val="accent4"/>
            </a:lnRef>
            <a:fillRef idx="0">
              <a:schemeClr val="accent4"/>
            </a:fillRef>
            <a:effectRef idx="2">
              <a:schemeClr val="accent4"/>
            </a:effectRef>
            <a:fontRef idx="minor">
              <a:schemeClr val="tx1"/>
            </a:fontRef>
          </xdr:style>
        </xdr:cxnSp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11DFFC4-891D-4F61-B2BA-A7C53FD10201}"/>
                </a:ext>
              </a:extLst>
            </xdr:cNvPr>
            <xdr:cNvCxnSpPr/>
          </xdr:nvCxnSpPr>
          <xdr:spPr>
            <a:xfrm flipV="1">
              <a:off x="19422639" y="4592064"/>
              <a:ext cx="3363312" cy="0"/>
            </a:xfrm>
            <a:prstGeom prst="line">
              <a:avLst/>
            </a:prstGeom>
            <a:ln w="28575"/>
          </xdr:spPr>
          <xdr:style>
            <a:lnRef idx="3">
              <a:schemeClr val="accent4"/>
            </a:lnRef>
            <a:fillRef idx="0">
              <a:schemeClr val="accent4"/>
            </a:fillRef>
            <a:effectRef idx="2">
              <a:schemeClr val="accent4"/>
            </a:effectRef>
            <a:fontRef idx="minor">
              <a:schemeClr val="tx1"/>
            </a:fontRef>
          </xdr:style>
        </xdr:cxnSp>
      </xdr:grp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2368BD93-2BDD-477F-A9D7-65BD0D1FFC23}"/>
              </a:ext>
            </a:extLst>
          </xdr:cNvPr>
          <xdr:cNvGrpSpPr/>
        </xdr:nvGrpSpPr>
        <xdr:grpSpPr>
          <a:xfrm flipV="1">
            <a:off x="17989701" y="7387592"/>
            <a:ext cx="4785390" cy="1243860"/>
            <a:chOff x="18073971" y="4596364"/>
            <a:chExt cx="4711980" cy="1114098"/>
          </a:xfrm>
        </xdr:grpSpPr>
        <xdr:cxnSp macro="">
          <xdr:nvCxnSpPr>
            <xdr:cNvPr id="11" name="Straight Connector 10">
              <a:extLst>
                <a:ext uri="{FF2B5EF4-FFF2-40B4-BE49-F238E27FC236}">
                  <a16:creationId xmlns:a16="http://schemas.microsoft.com/office/drawing/2014/main" id="{A2470710-1932-4AF0-A4E1-ABCB19F2E76F}"/>
                </a:ext>
              </a:extLst>
            </xdr:cNvPr>
            <xdr:cNvCxnSpPr/>
          </xdr:nvCxnSpPr>
          <xdr:spPr>
            <a:xfrm flipV="1">
              <a:off x="18073971" y="4596364"/>
              <a:ext cx="1359178" cy="1114098"/>
            </a:xfrm>
            <a:prstGeom prst="line">
              <a:avLst/>
            </a:prstGeom>
            <a:ln w="28575"/>
          </xdr:spPr>
          <xdr:style>
            <a:lnRef idx="3">
              <a:schemeClr val="accent4"/>
            </a:lnRef>
            <a:fillRef idx="0">
              <a:schemeClr val="accent4"/>
            </a:fillRef>
            <a:effectRef idx="2">
              <a:schemeClr val="accent4"/>
            </a:effectRef>
            <a:fontRef idx="minor">
              <a:schemeClr val="tx1"/>
            </a:fontRef>
          </xdr:style>
        </xdr:cxnSp>
        <xdr:cxnSp macro="">
          <xdr:nvCxnSpPr>
            <xdr:cNvPr id="12" name="Straight Connector 11">
              <a:extLst>
                <a:ext uri="{FF2B5EF4-FFF2-40B4-BE49-F238E27FC236}">
                  <a16:creationId xmlns:a16="http://schemas.microsoft.com/office/drawing/2014/main" id="{F68E57AB-708D-4734-8886-65D295481385}"/>
                </a:ext>
              </a:extLst>
            </xdr:cNvPr>
            <xdr:cNvCxnSpPr/>
          </xdr:nvCxnSpPr>
          <xdr:spPr>
            <a:xfrm flipV="1">
              <a:off x="19422639" y="4600211"/>
              <a:ext cx="3363312" cy="0"/>
            </a:xfrm>
            <a:prstGeom prst="line">
              <a:avLst/>
            </a:prstGeom>
            <a:ln w="28575"/>
          </xdr:spPr>
          <xdr:style>
            <a:lnRef idx="3">
              <a:schemeClr val="accent4"/>
            </a:lnRef>
            <a:fillRef idx="0">
              <a:schemeClr val="accent4"/>
            </a:fillRef>
            <a:effectRef idx="2">
              <a:schemeClr val="accent4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17</xdr:col>
      <xdr:colOff>1600200</xdr:colOff>
      <xdr:row>29</xdr:row>
      <xdr:rowOff>0</xdr:rowOff>
    </xdr:from>
    <xdr:to>
      <xdr:col>39</xdr:col>
      <xdr:colOff>248655</xdr:colOff>
      <xdr:row>104</xdr:row>
      <xdr:rowOff>38100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0B6372B-12D4-458F-81DD-DBC3B39A7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533173</xdr:colOff>
      <xdr:row>29</xdr:row>
      <xdr:rowOff>76200</xdr:rowOff>
    </xdr:from>
    <xdr:to>
      <xdr:col>17</xdr:col>
      <xdr:colOff>533400</xdr:colOff>
      <xdr:row>103</xdr:row>
      <xdr:rowOff>76200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524ECEB6-DD0A-4B9B-B723-0552F14D3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457200</xdr:colOff>
      <xdr:row>170</xdr:row>
      <xdr:rowOff>76200</xdr:rowOff>
    </xdr:from>
    <xdr:to>
      <xdr:col>39</xdr:col>
      <xdr:colOff>0</xdr:colOff>
      <xdr:row>258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75F2538-3E6A-449D-9ABA-E670B94CF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171</xdr:row>
      <xdr:rowOff>0</xdr:rowOff>
    </xdr:from>
    <xdr:to>
      <xdr:col>15</xdr:col>
      <xdr:colOff>457200</xdr:colOff>
      <xdr:row>257</xdr:row>
      <xdr:rowOff>76200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B19940FF-3CEE-4927-99CB-794CB1EE2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1302328</xdr:colOff>
      <xdr:row>109</xdr:row>
      <xdr:rowOff>80010</xdr:rowOff>
    </xdr:from>
    <xdr:to>
      <xdr:col>13</xdr:col>
      <xdr:colOff>243840</xdr:colOff>
      <xdr:row>117</xdr:row>
      <xdr:rowOff>121920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E21AAFED-EF2B-4977-B5C5-B4F785E697CE}"/>
            </a:ext>
          </a:extLst>
        </xdr:cNvPr>
        <xdr:cNvSpPr txBox="1"/>
      </xdr:nvSpPr>
      <xdr:spPr>
        <a:xfrm>
          <a:off x="12732328" y="20288250"/>
          <a:ext cx="5220392" cy="15049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0" b="1">
              <a:solidFill>
                <a:srgbClr val="00B0F0"/>
              </a:solidFill>
              <a:latin typeface="Agency FB" panose="020B0503020202020204" pitchFamily="34" charset="0"/>
            </a:rPr>
            <a:t>Total Balance</a:t>
          </a:r>
        </a:p>
        <a:p>
          <a:endParaRPr lang="en-US" sz="8000">
            <a:solidFill>
              <a:srgbClr val="00B0F0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18</xdr:col>
      <xdr:colOff>989908</xdr:colOff>
      <xdr:row>110</xdr:row>
      <xdr:rowOff>167640</xdr:rowOff>
    </xdr:from>
    <xdr:to>
      <xdr:col>24</xdr:col>
      <xdr:colOff>335280</xdr:colOff>
      <xdr:row>118</xdr:row>
      <xdr:rowOff>152400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D4BE69E0-B9AA-4850-B40B-B034AB41A480}"/>
            </a:ext>
          </a:extLst>
        </xdr:cNvPr>
        <xdr:cNvSpPr txBox="1"/>
      </xdr:nvSpPr>
      <xdr:spPr>
        <a:xfrm>
          <a:off x="26836948" y="20558760"/>
          <a:ext cx="6325292" cy="1447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0" b="1">
              <a:solidFill>
                <a:srgbClr val="00B0F0"/>
              </a:solidFill>
              <a:latin typeface="Agency FB" panose="020B0503020202020204" pitchFamily="34" charset="0"/>
            </a:rPr>
            <a:t>Total Customers</a:t>
          </a:r>
        </a:p>
        <a:p>
          <a:endParaRPr lang="en-US" sz="9600">
            <a:solidFill>
              <a:srgbClr val="00B0F0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20</xdr:col>
      <xdr:colOff>304108</xdr:colOff>
      <xdr:row>148</xdr:row>
      <xdr:rowOff>19050</xdr:rowOff>
    </xdr:from>
    <xdr:to>
      <xdr:col>21</xdr:col>
      <xdr:colOff>499110</xdr:colOff>
      <xdr:row>154</xdr:row>
      <xdr:rowOff>91440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E258E30-98E7-4672-9F21-6E35D18765FC}"/>
            </a:ext>
          </a:extLst>
        </xdr:cNvPr>
        <xdr:cNvSpPr txBox="1"/>
      </xdr:nvSpPr>
      <xdr:spPr>
        <a:xfrm>
          <a:off x="28162828" y="27938730"/>
          <a:ext cx="2115242" cy="11696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0" b="1">
              <a:solidFill>
                <a:srgbClr val="00B0F0"/>
              </a:solidFill>
              <a:latin typeface="Agency FB" panose="020B0503020202020204" pitchFamily="34" charset="0"/>
            </a:rPr>
            <a:t>Max.</a:t>
          </a:r>
        </a:p>
        <a:p>
          <a:endParaRPr lang="en-US" sz="9600">
            <a:solidFill>
              <a:srgbClr val="00B0F0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22</xdr:col>
      <xdr:colOff>479368</xdr:colOff>
      <xdr:row>148</xdr:row>
      <xdr:rowOff>0</xdr:rowOff>
    </xdr:from>
    <xdr:to>
      <xdr:col>25</xdr:col>
      <xdr:colOff>274320</xdr:colOff>
      <xdr:row>155</xdr:row>
      <xdr:rowOff>30480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2D8AEC6-2964-40C9-B4A0-DB8497613CC2}"/>
            </a:ext>
          </a:extLst>
        </xdr:cNvPr>
        <xdr:cNvSpPr txBox="1"/>
      </xdr:nvSpPr>
      <xdr:spPr>
        <a:xfrm>
          <a:off x="31721368" y="27919680"/>
          <a:ext cx="2080952" cy="1310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0" b="1">
              <a:solidFill>
                <a:srgbClr val="00B0F0"/>
              </a:solidFill>
              <a:latin typeface="Agency FB" panose="020B0503020202020204" pitchFamily="34" charset="0"/>
            </a:rPr>
            <a:t>Min.</a:t>
          </a:r>
        </a:p>
        <a:p>
          <a:endParaRPr lang="en-US" sz="9600">
            <a:solidFill>
              <a:srgbClr val="00B0F0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20</xdr:col>
      <xdr:colOff>1283278</xdr:colOff>
      <xdr:row>141</xdr:row>
      <xdr:rowOff>15240</xdr:rowOff>
    </xdr:from>
    <xdr:to>
      <xdr:col>25</xdr:col>
      <xdr:colOff>125730</xdr:colOff>
      <xdr:row>149</xdr:row>
      <xdr:rowOff>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6D2E7415-3D91-4794-9827-47142CFA804B}"/>
            </a:ext>
          </a:extLst>
        </xdr:cNvPr>
        <xdr:cNvSpPr txBox="1"/>
      </xdr:nvSpPr>
      <xdr:spPr>
        <a:xfrm>
          <a:off x="29141998" y="26654760"/>
          <a:ext cx="4511732" cy="1447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0" b="1">
              <a:solidFill>
                <a:srgbClr val="00B0F0"/>
              </a:solidFill>
              <a:latin typeface="Agency FB" panose="020B0503020202020204" pitchFamily="34" charset="0"/>
            </a:rPr>
            <a:t>Balance</a:t>
          </a:r>
        </a:p>
        <a:p>
          <a:endParaRPr lang="en-US" sz="9600">
            <a:solidFill>
              <a:srgbClr val="00B0F0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8</xdr:col>
      <xdr:colOff>875608</xdr:colOff>
      <xdr:row>146</xdr:row>
      <xdr:rowOff>80010</xdr:rowOff>
    </xdr:from>
    <xdr:to>
      <xdr:col>13</xdr:col>
      <xdr:colOff>365760</xdr:colOff>
      <xdr:row>153</xdr:row>
      <xdr:rowOff>152400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1CA988E-972A-4459-992B-9F7F89A685DC}"/>
            </a:ext>
          </a:extLst>
        </xdr:cNvPr>
        <xdr:cNvSpPr txBox="1"/>
      </xdr:nvSpPr>
      <xdr:spPr>
        <a:xfrm>
          <a:off x="12267508" y="26007060"/>
          <a:ext cx="6081452" cy="12725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0" b="1">
              <a:solidFill>
                <a:srgbClr val="00B0F0"/>
              </a:solidFill>
              <a:latin typeface="Agency FB" panose="020B0503020202020204" pitchFamily="34" charset="0"/>
            </a:rPr>
            <a:t>Average Balance</a:t>
          </a:r>
        </a:p>
        <a:p>
          <a:endParaRPr lang="en-US" sz="8000">
            <a:solidFill>
              <a:srgbClr val="00B0F0"/>
            </a:solidFill>
            <a:latin typeface="Agency FB" panose="020B0503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1</xdr:row>
      <xdr:rowOff>87630</xdr:rowOff>
    </xdr:from>
    <xdr:to>
      <xdr:col>2</xdr:col>
      <xdr:colOff>590550</xdr:colOff>
      <xdr:row>11</xdr:row>
      <xdr:rowOff>57150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F7D540C-4D80-4F3D-8243-BFCDD7DBF5C3}"/>
            </a:ext>
          </a:extLst>
        </xdr:cNvPr>
        <xdr:cNvSpPr/>
      </xdr:nvSpPr>
      <xdr:spPr>
        <a:xfrm>
          <a:off x="60960" y="278130"/>
          <a:ext cx="1863090" cy="168402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400050</xdr:colOff>
      <xdr:row>2</xdr:row>
      <xdr:rowOff>152400</xdr:rowOff>
    </xdr:from>
    <xdr:to>
      <xdr:col>2</xdr:col>
      <xdr:colOff>189563</xdr:colOff>
      <xdr:row>9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DA842A-A33C-4F41-949D-3CD82DFA1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514350"/>
          <a:ext cx="1123013" cy="1104900"/>
        </a:xfrm>
        <a:prstGeom prst="rect">
          <a:avLst/>
        </a:prstGeom>
      </xdr:spPr>
    </xdr:pic>
    <xdr:clientData/>
  </xdr:twoCellAnchor>
  <xdr:twoCellAnchor>
    <xdr:from>
      <xdr:col>2</xdr:col>
      <xdr:colOff>974668</xdr:colOff>
      <xdr:row>3</xdr:row>
      <xdr:rowOff>106680</xdr:rowOff>
    </xdr:from>
    <xdr:to>
      <xdr:col>7</xdr:col>
      <xdr:colOff>1047750</xdr:colOff>
      <xdr:row>8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C65513A-EA94-4640-8620-96D6FCA45889}"/>
            </a:ext>
          </a:extLst>
        </xdr:cNvPr>
        <xdr:cNvSpPr txBox="1"/>
      </xdr:nvSpPr>
      <xdr:spPr>
        <a:xfrm>
          <a:off x="2308168" y="640080"/>
          <a:ext cx="8321732" cy="8267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5400" b="1">
              <a:solidFill>
                <a:srgbClr val="00B0F0"/>
              </a:solidFill>
              <a:latin typeface="Agency FB" panose="020B0503020202020204" pitchFamily="34" charset="0"/>
            </a:rPr>
            <a:t>P1-UK Bank Customers</a:t>
          </a:r>
        </a:p>
        <a:p>
          <a:endParaRPr lang="en-US" sz="2000">
            <a:solidFill>
              <a:srgbClr val="00B0F0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5</xdr:col>
      <xdr:colOff>1111400</xdr:colOff>
      <xdr:row>20</xdr:row>
      <xdr:rowOff>414202</xdr:rowOff>
    </xdr:from>
    <xdr:to>
      <xdr:col>15</xdr:col>
      <xdr:colOff>647700</xdr:colOff>
      <xdr:row>38</xdr:row>
      <xdr:rowOff>41563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FF349FAA-9A3D-418B-BC60-081E13E7C71F}"/>
            </a:ext>
          </a:extLst>
        </xdr:cNvPr>
        <xdr:cNvGrpSpPr/>
      </xdr:nvGrpSpPr>
      <xdr:grpSpPr>
        <a:xfrm>
          <a:off x="7774015" y="4243740"/>
          <a:ext cx="13623531" cy="4336131"/>
          <a:chOff x="11794641" y="4803322"/>
          <a:chExt cx="10980450" cy="3828130"/>
        </a:xfrm>
      </xdr:grpSpPr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7C4BE29B-A52B-4DA8-ADEC-D969A405FD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268358" y="5534096"/>
            <a:ext cx="2088519" cy="2174619"/>
          </a:xfrm>
          <a:prstGeom prst="rect">
            <a:avLst/>
          </a:prstGeom>
        </xdr:spPr>
      </xdr:pic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6B6B3BC-221A-47ED-A0AC-42D0262A4B9E}"/>
              </a:ext>
            </a:extLst>
          </xdr:cNvPr>
          <xdr:cNvGrpSpPr/>
        </xdr:nvGrpSpPr>
        <xdr:grpSpPr>
          <a:xfrm flipH="1">
            <a:off x="11838183" y="4803322"/>
            <a:ext cx="4724592" cy="1109859"/>
            <a:chOff x="18073971" y="4592064"/>
            <a:chExt cx="4711980" cy="1118398"/>
          </a:xfrm>
        </xdr:grpSpPr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A0FBAC5E-10AB-4FD0-8B63-93086107BD02}"/>
                </a:ext>
              </a:extLst>
            </xdr:cNvPr>
            <xdr:cNvCxnSpPr/>
          </xdr:nvCxnSpPr>
          <xdr:spPr>
            <a:xfrm flipV="1">
              <a:off x="18073971" y="4596364"/>
              <a:ext cx="1359178" cy="1114098"/>
            </a:xfrm>
            <a:prstGeom prst="line">
              <a:avLst/>
            </a:prstGeom>
            <a:ln w="28575"/>
          </xdr:spPr>
          <xdr:style>
            <a:lnRef idx="3">
              <a:schemeClr val="accent4"/>
            </a:lnRef>
            <a:fillRef idx="0">
              <a:schemeClr val="accent4"/>
            </a:fillRef>
            <a:effectRef idx="2">
              <a:schemeClr val="accent4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C5B57E46-8E86-4459-A41B-6244EB4B45B6}"/>
                </a:ext>
              </a:extLst>
            </xdr:cNvPr>
            <xdr:cNvCxnSpPr/>
          </xdr:nvCxnSpPr>
          <xdr:spPr>
            <a:xfrm flipV="1">
              <a:off x="19422639" y="4592064"/>
              <a:ext cx="3363312" cy="0"/>
            </a:xfrm>
            <a:prstGeom prst="line">
              <a:avLst/>
            </a:prstGeom>
            <a:ln w="28575"/>
          </xdr:spPr>
          <xdr:style>
            <a:lnRef idx="3">
              <a:schemeClr val="accent4"/>
            </a:lnRef>
            <a:fillRef idx="0">
              <a:schemeClr val="accent4"/>
            </a:fillRef>
            <a:effectRef idx="2">
              <a:schemeClr val="accent4"/>
            </a:effectRef>
            <a:fontRef idx="minor">
              <a:schemeClr val="tx1"/>
            </a:fontRef>
          </xdr:style>
        </xdr:cxnSp>
      </xdr:grpSp>
      <xdr:grpSp>
        <xdr:nvGrpSpPr>
          <xdr:cNvPr id="50" name="Group 49">
            <a:extLst>
              <a:ext uri="{FF2B5EF4-FFF2-40B4-BE49-F238E27FC236}">
                <a16:creationId xmlns:a16="http://schemas.microsoft.com/office/drawing/2014/main" id="{524AE5AF-BD16-44BF-86C8-17441E54533A}"/>
              </a:ext>
            </a:extLst>
          </xdr:cNvPr>
          <xdr:cNvGrpSpPr/>
        </xdr:nvGrpSpPr>
        <xdr:grpSpPr>
          <a:xfrm flipH="1" flipV="1">
            <a:off x="11794641" y="7357110"/>
            <a:ext cx="4793010" cy="1260022"/>
            <a:chOff x="18073971" y="4592064"/>
            <a:chExt cx="4711980" cy="1118398"/>
          </a:xfrm>
        </xdr:grpSpPr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A1398B41-CEF0-46AF-902A-AC54ECEC87E7}"/>
                </a:ext>
              </a:extLst>
            </xdr:cNvPr>
            <xdr:cNvCxnSpPr/>
          </xdr:nvCxnSpPr>
          <xdr:spPr>
            <a:xfrm flipV="1">
              <a:off x="18073971" y="4596364"/>
              <a:ext cx="1359178" cy="1114098"/>
            </a:xfrm>
            <a:prstGeom prst="line">
              <a:avLst/>
            </a:prstGeom>
            <a:ln w="28575"/>
          </xdr:spPr>
          <xdr:style>
            <a:lnRef idx="3">
              <a:schemeClr val="accent4"/>
            </a:lnRef>
            <a:fillRef idx="0">
              <a:schemeClr val="accent4"/>
            </a:fillRef>
            <a:effectRef idx="2">
              <a:schemeClr val="accent4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7BC91DC4-CAC8-4A87-A732-1489C4E6DDDC}"/>
                </a:ext>
              </a:extLst>
            </xdr:cNvPr>
            <xdr:cNvCxnSpPr/>
          </xdr:nvCxnSpPr>
          <xdr:spPr>
            <a:xfrm flipV="1">
              <a:off x="19422639" y="4592064"/>
              <a:ext cx="3363312" cy="0"/>
            </a:xfrm>
            <a:prstGeom prst="line">
              <a:avLst/>
            </a:prstGeom>
            <a:ln w="28575"/>
          </xdr:spPr>
          <xdr:style>
            <a:lnRef idx="3">
              <a:schemeClr val="accent4"/>
            </a:lnRef>
            <a:fillRef idx="0">
              <a:schemeClr val="accent4"/>
            </a:fillRef>
            <a:effectRef idx="2">
              <a:schemeClr val="accent4"/>
            </a:effectRef>
            <a:fontRef idx="minor">
              <a:schemeClr val="tx1"/>
            </a:fontRef>
          </xdr:style>
        </xdr:cxnSp>
      </xdr:grpSp>
      <xdr:grpSp>
        <xdr:nvGrpSpPr>
          <xdr:cNvPr id="60" name="Group 59">
            <a:extLst>
              <a:ext uri="{FF2B5EF4-FFF2-40B4-BE49-F238E27FC236}">
                <a16:creationId xmlns:a16="http://schemas.microsoft.com/office/drawing/2014/main" id="{0D335228-A80C-4264-9CA2-7534C62EB03F}"/>
              </a:ext>
            </a:extLst>
          </xdr:cNvPr>
          <xdr:cNvGrpSpPr/>
        </xdr:nvGrpSpPr>
        <xdr:grpSpPr>
          <a:xfrm>
            <a:off x="18033243" y="4829992"/>
            <a:ext cx="4716972" cy="1102239"/>
            <a:chOff x="18073971" y="4592064"/>
            <a:chExt cx="4711980" cy="1118398"/>
          </a:xfrm>
        </xdr:grpSpPr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06DC3DF4-FCC6-476B-9F06-62AF6B762AE5}"/>
                </a:ext>
              </a:extLst>
            </xdr:cNvPr>
            <xdr:cNvCxnSpPr/>
          </xdr:nvCxnSpPr>
          <xdr:spPr>
            <a:xfrm flipV="1">
              <a:off x="18073971" y="4596364"/>
              <a:ext cx="1359178" cy="1114098"/>
            </a:xfrm>
            <a:prstGeom prst="line">
              <a:avLst/>
            </a:prstGeom>
            <a:ln w="28575"/>
          </xdr:spPr>
          <xdr:style>
            <a:lnRef idx="3">
              <a:schemeClr val="accent4"/>
            </a:lnRef>
            <a:fillRef idx="0">
              <a:schemeClr val="accent4"/>
            </a:fillRef>
            <a:effectRef idx="2">
              <a:schemeClr val="accent4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19CC4D9-4BAF-44C3-8171-4300A187A037}"/>
                </a:ext>
              </a:extLst>
            </xdr:cNvPr>
            <xdr:cNvCxnSpPr/>
          </xdr:nvCxnSpPr>
          <xdr:spPr>
            <a:xfrm flipV="1">
              <a:off x="19422639" y="4592064"/>
              <a:ext cx="3363312" cy="0"/>
            </a:xfrm>
            <a:prstGeom prst="line">
              <a:avLst/>
            </a:prstGeom>
            <a:ln w="28575"/>
          </xdr:spPr>
          <xdr:style>
            <a:lnRef idx="3">
              <a:schemeClr val="accent4"/>
            </a:lnRef>
            <a:fillRef idx="0">
              <a:schemeClr val="accent4"/>
            </a:fillRef>
            <a:effectRef idx="2">
              <a:schemeClr val="accent4"/>
            </a:effectRef>
            <a:fontRef idx="minor">
              <a:schemeClr val="tx1"/>
            </a:fontRef>
          </xdr:style>
        </xdr:cxnSp>
      </xdr:grpSp>
      <xdr:grpSp>
        <xdr:nvGrpSpPr>
          <xdr:cNvPr id="63" name="Group 62">
            <a:extLst>
              <a:ext uri="{FF2B5EF4-FFF2-40B4-BE49-F238E27FC236}">
                <a16:creationId xmlns:a16="http://schemas.microsoft.com/office/drawing/2014/main" id="{047A1BDE-71BD-4BC3-9291-5624FB2466D9}"/>
              </a:ext>
            </a:extLst>
          </xdr:cNvPr>
          <xdr:cNvGrpSpPr/>
        </xdr:nvGrpSpPr>
        <xdr:grpSpPr>
          <a:xfrm flipV="1">
            <a:off x="17989701" y="7387592"/>
            <a:ext cx="4785390" cy="1243860"/>
            <a:chOff x="18073971" y="4596364"/>
            <a:chExt cx="4711980" cy="1114098"/>
          </a:xfrm>
        </xdr:grpSpPr>
        <xdr:cxnSp macro="">
          <xdr:nvCxnSpPr>
            <xdr:cNvPr id="64" name="Straight Connector 63">
              <a:extLst>
                <a:ext uri="{FF2B5EF4-FFF2-40B4-BE49-F238E27FC236}">
                  <a16:creationId xmlns:a16="http://schemas.microsoft.com/office/drawing/2014/main" id="{A81FAB95-CC5E-4363-A048-2A9777A84A1E}"/>
                </a:ext>
              </a:extLst>
            </xdr:cNvPr>
            <xdr:cNvCxnSpPr/>
          </xdr:nvCxnSpPr>
          <xdr:spPr>
            <a:xfrm flipV="1">
              <a:off x="18073971" y="4596364"/>
              <a:ext cx="1359178" cy="1114098"/>
            </a:xfrm>
            <a:prstGeom prst="line">
              <a:avLst/>
            </a:prstGeom>
            <a:ln w="28575"/>
          </xdr:spPr>
          <xdr:style>
            <a:lnRef idx="3">
              <a:schemeClr val="accent4"/>
            </a:lnRef>
            <a:fillRef idx="0">
              <a:schemeClr val="accent4"/>
            </a:fillRef>
            <a:effectRef idx="2">
              <a:schemeClr val="accent4"/>
            </a:effectRef>
            <a:fontRef idx="minor">
              <a:schemeClr val="tx1"/>
            </a:fontRef>
          </xdr:style>
        </xdr:cxnSp>
        <xdr:cxnSp macro="">
          <xdr:nvCxnSpPr>
            <xdr:cNvPr id="65" name="Straight Connector 64">
              <a:extLst>
                <a:ext uri="{FF2B5EF4-FFF2-40B4-BE49-F238E27FC236}">
                  <a16:creationId xmlns:a16="http://schemas.microsoft.com/office/drawing/2014/main" id="{EBF74C65-C593-42BA-A8AE-3BE2B0BB082B}"/>
                </a:ext>
              </a:extLst>
            </xdr:cNvPr>
            <xdr:cNvCxnSpPr/>
          </xdr:nvCxnSpPr>
          <xdr:spPr>
            <a:xfrm flipV="1">
              <a:off x="19422639" y="4600211"/>
              <a:ext cx="3363312" cy="0"/>
            </a:xfrm>
            <a:prstGeom prst="line">
              <a:avLst/>
            </a:prstGeom>
            <a:ln w="28575"/>
          </xdr:spPr>
          <xdr:style>
            <a:lnRef idx="3">
              <a:schemeClr val="accent4"/>
            </a:lnRef>
            <a:fillRef idx="0">
              <a:schemeClr val="accent4"/>
            </a:fillRef>
            <a:effectRef idx="2">
              <a:schemeClr val="accent4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if Hany" refreshedDate="46013.767256944448" backgroundQuery="1" createdVersion="7" refreshedVersion="7" minRefreshableVersion="3" recordCount="0" supportSubquery="1" supportAdvancedDrill="1" xr:uid="{A9A04C4C-9261-43C2-BFB5-3D968C8CEE7F}">
  <cacheSource type="external" connectionId="1"/>
  <cacheFields count="2">
    <cacheField name="[Measures].[Sum of Balance]" caption="Sum of Balance" numFmtId="0" hierarchy="13" level="32767"/>
    <cacheField name="[Account_Data].[Date Joined (Month)].[Date Joined (Month)]" caption="Date Joined (Month)" numFmtId="0" hierarchy="9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15">
    <cacheHierarchy uniqueName="[Account_Data].[Customer ID]" caption="Customer ID" attribute="1" defaultMemberUniqueName="[Account_Data].[Customer ID].[All]" allUniqueName="[Account_Data].[Customer ID].[All]" dimensionUniqueName="[Account_Data]" displayFolder="" count="0" memberValueDatatype="20" unbalanced="0"/>
    <cacheHierarchy uniqueName="[Account_Data].[Name]" caption="Name" attribute="1" defaultMemberUniqueName="[Account_Data].[Name].[All]" allUniqueName="[Account_Data].[Name].[All]" dimensionUniqueName="[Account_Data]" displayFolder="" count="0" memberValueDatatype="130" unbalanced="0"/>
    <cacheHierarchy uniqueName="[Account_Data].[Surname]" caption="Surname" attribute="1" defaultMemberUniqueName="[Account_Data].[Surname].[All]" allUniqueName="[Account_Data].[Surname].[All]" dimensionUniqueName="[Account_Data]" displayFolder="" count="0" memberValueDatatype="130" unbalanced="0"/>
    <cacheHierarchy uniqueName="[Account_Data].[Gender]" caption="Gender" attribute="1" defaultMemberUniqueName="[Account_Data].[Gender].[All]" allUniqueName="[Account_Data].[Gender].[All]" dimensionUniqueName="[Account_Data]" displayFolder="" count="0" memberValueDatatype="130" unbalanced="0"/>
    <cacheHierarchy uniqueName="[Account_Data].[Age]" caption="Age" attribute="1" defaultMemberUniqueName="[Account_Data].[Age].[All]" allUniqueName="[Account_Data].[Age].[All]" dimensionUniqueName="[Account_Data]" displayFolder="" count="0" memberValueDatatype="20" unbalanced="0"/>
    <cacheHierarchy uniqueName="[Account_Data].[Region]" caption="Region" attribute="1" defaultMemberUniqueName="[Account_Data].[Region].[All]" allUniqueName="[Account_Data].[Region].[All]" dimensionUniqueName="[Account_Data]" displayFolder="" count="0" memberValueDatatype="130" unbalanced="0"/>
    <cacheHierarchy uniqueName="[Account_Data].[Job Classification]" caption="Job Classification" attribute="1" defaultMemberUniqueName="[Account_Data].[Job Classification].[All]" allUniqueName="[Account_Data].[Job Classification].[All]" dimensionUniqueName="[Account_Data]" displayFolder="" count="0" memberValueDatatype="130" unbalanced="0"/>
    <cacheHierarchy uniqueName="[Account_Data].[Date Joined]" caption="Date Joined" attribute="1" time="1" defaultMemberUniqueName="[Account_Data].[Date Joined].[All]" allUniqueName="[Account_Data].[Date Joined].[All]" dimensionUniqueName="[Account_Data]" displayFolder="" count="0" memberValueDatatype="7" unbalanced="0"/>
    <cacheHierarchy uniqueName="[Account_Data].[Balance]" caption="Balance" attribute="1" defaultMemberUniqueName="[Account_Data].[Balance].[All]" allUniqueName="[Account_Data].[Balance].[All]" dimensionUniqueName="[Account_Data]" displayFolder="" count="0" memberValueDatatype="5" unbalanced="0"/>
    <cacheHierarchy uniqueName="[Account_Data].[Date Joined (Month)]" caption="Date Joined (Month)" attribute="1" defaultMemberUniqueName="[Account_Data].[Date Joined (Month)].[All]" allUniqueName="[Account_Data].[Date Joined (Month)].[All]" dimensionUniqueName="[Account_Data]" displayFolder="" count="2" memberValueDatatype="130" unbalanced="0">
      <fieldsUsage count="2">
        <fieldUsage x="-1"/>
        <fieldUsage x="1"/>
      </fieldsUsage>
    </cacheHierarchy>
    <cacheHierarchy uniqueName="[Account_Data].[Date Joined (Month Index)]" caption="Date Joined (Month Index)" attribute="1" defaultMemberUniqueName="[Account_Data].[Date Joined (Month Index)].[All]" allUniqueName="[Account_Data].[Date Joined (Month Index)].[All]" dimensionUniqueName="[Account_Data]" displayFolder="" count="0" memberValueDatatype="20" unbalanced="0" hidden="1"/>
    <cacheHierarchy uniqueName="[Measures].[__XL_Count Account_Data]" caption="__XL_Count Account_Data" measure="1" displayFolder="" measureGroup="Account_Data" count="0" hidden="1"/>
    <cacheHierarchy uniqueName="[Measures].[__No measures defined]" caption="__No measures defined" measure="1" displayFolder="" count="0" hidden="1"/>
    <cacheHierarchy uniqueName="[Measures].[Sum of Balance]" caption="Sum of Balance" measure="1" displayFolder="" measureGroup="Account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ge]" caption="Sum of Age" measure="1" displayFolder="" measureGroup="Account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name="Account_Data" uniqueName="[Account_Data]" caption="Account_Data"/>
    <dimension measure="1" name="Measures" uniqueName="[Measures]" caption="Measures"/>
  </dimensions>
  <measureGroups count="1">
    <measureGroup name="Account_Data" caption="Account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f Hany" refreshedDate="46014.720275810185" createdVersion="7" refreshedVersion="7" minRefreshableVersion="3" recordCount="4014" xr:uid="{9AB12761-06D1-4977-9381-191597569A33}">
  <cacheSource type="worksheet">
    <worksheetSource name="Account_Data"/>
  </cacheSource>
  <cacheFields count="10">
    <cacheField name="Customer ID" numFmtId="0">
      <sharedItems containsSemiMixedTypes="0" containsString="0" containsNumber="1" containsInteger="1" minValue="100000001" maxValue="400003848"/>
    </cacheField>
    <cacheField name="Name" numFmtId="0">
      <sharedItems/>
    </cacheField>
    <cacheField name="Surname" numFmtId="0">
      <sharedItems/>
    </cacheField>
    <cacheField name="Gender" numFmtId="0">
      <sharedItems count="2">
        <s v="Male"/>
        <s v="Female"/>
      </sharedItems>
    </cacheField>
    <cacheField name="Age" numFmtId="1">
      <sharedItems containsSemiMixedTypes="0" containsString="0" containsNumber="1" containsInteger="1" minValue="15" maxValue="64" count="49">
        <n v="21"/>
        <n v="34"/>
        <n v="46"/>
        <n v="32"/>
        <n v="38"/>
        <n v="30"/>
        <n v="48"/>
        <n v="33"/>
        <n v="42"/>
        <n v="40"/>
        <n v="39"/>
        <n v="24"/>
        <n v="36"/>
        <n v="31"/>
        <n v="37"/>
        <n v="58"/>
        <n v="41"/>
        <n v="52"/>
        <n v="55"/>
        <n v="50"/>
        <n v="25"/>
        <n v="26"/>
        <n v="35"/>
        <n v="59"/>
        <n v="27"/>
        <n v="49"/>
        <n v="22"/>
        <n v="53"/>
        <n v="47"/>
        <n v="19"/>
        <n v="29"/>
        <n v="44"/>
        <n v="43"/>
        <n v="61"/>
        <n v="45"/>
        <n v="51"/>
        <n v="23"/>
        <n v="20"/>
        <n v="28"/>
        <n v="56"/>
        <n v="57"/>
        <n v="54"/>
        <n v="63"/>
        <n v="18"/>
        <n v="17"/>
        <n v="62"/>
        <n v="60"/>
        <n v="64"/>
        <n v="15"/>
      </sharedItems>
      <fieldGroup base="4">
        <rangePr startNum="15" endNum="64" groupInterval="10"/>
        <groupItems count="7">
          <s v="&lt;15"/>
          <s v="15-24"/>
          <s v="25-34"/>
          <s v="35-44"/>
          <s v="45-54"/>
          <s v="55-64"/>
          <s v="&gt;65"/>
        </groupItems>
      </fieldGroup>
    </cacheField>
    <cacheField name="Region" numFmtId="0">
      <sharedItems count="4">
        <s v="England"/>
        <s v="Northern Ireland"/>
        <s v="Wales"/>
        <s v="Scotland"/>
      </sharedItems>
    </cacheField>
    <cacheField name="Job Classification" numFmtId="0">
      <sharedItems/>
    </cacheField>
    <cacheField name="Date Joined" numFmtId="15">
      <sharedItems containsSemiMixedTypes="0" containsNonDate="0" containsDate="1" containsString="0" minDate="2015-01-05T00:00:00" maxDate="2015-12-31T00:00:00" count="307">
        <d v="2015-01-05T00:00:00"/>
        <d v="2015-01-06T00:00:00"/>
        <d v="2015-01-07T00:00:00"/>
        <d v="2015-01-08T00:00:00"/>
        <d v="2015-01-09T00:00:00"/>
        <d v="2015-01-11T00:00:00"/>
        <d v="2015-01-12T00:00:00"/>
        <d v="2015-01-14T00:00:00"/>
        <d v="2015-01-15T00:00:00"/>
        <d v="2015-01-16T00:00:00"/>
        <d v="2015-01-18T00:00:00"/>
        <d v="2015-01-19T00:00:00"/>
        <d v="2015-01-20T00:00:00"/>
        <d v="2015-01-21T00:00:00"/>
        <d v="2015-01-23T00:00:00"/>
        <d v="2015-01-25T00:00:00"/>
        <d v="2015-01-27T00:00:00"/>
        <d v="2015-01-28T00:00:00"/>
        <d v="2015-01-29T00:00:00"/>
        <d v="2015-01-30T00:00:00"/>
        <d v="2015-01-31T00:00:00"/>
        <d v="2015-02-01T00:00:00"/>
        <d v="2015-02-03T00:00:00"/>
        <d v="2015-02-08T00:00:00"/>
        <d v="2015-02-12T00:00:00"/>
        <d v="2015-02-24T00:00:00"/>
        <d v="2015-03-09T00:00:00"/>
        <d v="2015-03-10T00:00:00"/>
        <d v="2015-03-15T00:00:00"/>
        <d v="2015-03-16T00:00:00"/>
        <d v="2015-03-19T00:00:00"/>
        <d v="2015-03-25T00:00:00"/>
        <d v="2015-03-28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</sharedItems>
      <fieldGroup par="9"/>
    </cacheField>
    <cacheField name="Balance" numFmtId="0">
      <sharedItems containsSemiMixedTypes="0" containsString="0" containsNumber="1" minValue="11.52" maxValue="183467.7"/>
    </cacheField>
    <cacheField name="Date Joined2" numFmtId="0" databaseField="0">
      <fieldGroup base="7">
        <discretePr count="307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14">
  <r>
    <n v="100000001"/>
    <s v="Simon"/>
    <s v="Walsh"/>
    <x v="0"/>
    <x v="0"/>
    <x v="0"/>
    <s v="White Collar"/>
    <x v="0"/>
    <n v="113810.15"/>
  </r>
  <r>
    <n v="400000002"/>
    <s v="Jasmine"/>
    <s v="Miller"/>
    <x v="1"/>
    <x v="1"/>
    <x v="1"/>
    <s v="Blue Collar"/>
    <x v="1"/>
    <n v="36919.730000000003"/>
  </r>
  <r>
    <n v="100000003"/>
    <s v="Liam"/>
    <s v="Brown"/>
    <x v="0"/>
    <x v="2"/>
    <x v="0"/>
    <s v="White Collar"/>
    <x v="2"/>
    <n v="101536.83"/>
  </r>
  <r>
    <n v="300000004"/>
    <s v="Trevor"/>
    <s v="Parr"/>
    <x v="0"/>
    <x v="3"/>
    <x v="2"/>
    <s v="White Collar"/>
    <x v="3"/>
    <n v="1421.52"/>
  </r>
  <r>
    <n v="100000005"/>
    <s v="Deirdre"/>
    <s v="Pullman"/>
    <x v="1"/>
    <x v="4"/>
    <x v="0"/>
    <s v="Blue Collar"/>
    <x v="4"/>
    <n v="35639.79"/>
  </r>
  <r>
    <n v="300000006"/>
    <s v="Ava"/>
    <s v="Coleman"/>
    <x v="1"/>
    <x v="5"/>
    <x v="2"/>
    <s v="Blue Collar"/>
    <x v="4"/>
    <n v="122443.77"/>
  </r>
  <r>
    <n v="100000007"/>
    <s v="Dorothy"/>
    <s v="Thomson"/>
    <x v="1"/>
    <x v="1"/>
    <x v="0"/>
    <s v="Blue Collar"/>
    <x v="5"/>
    <n v="42879.839999999997"/>
  </r>
  <r>
    <n v="200000008"/>
    <s v="Lisa"/>
    <s v="Knox"/>
    <x v="1"/>
    <x v="6"/>
    <x v="3"/>
    <s v="Other"/>
    <x v="5"/>
    <n v="36680.17"/>
  </r>
  <r>
    <n v="300000009"/>
    <s v="Ruth"/>
    <s v="Campbell"/>
    <x v="1"/>
    <x v="7"/>
    <x v="2"/>
    <s v="White Collar"/>
    <x v="5"/>
    <n v="74284.350000000006"/>
  </r>
  <r>
    <n v="100000010"/>
    <s v="Dominic"/>
    <s v="Parr"/>
    <x v="0"/>
    <x v="8"/>
    <x v="0"/>
    <s v="White Collar"/>
    <x v="6"/>
    <n v="10912.45"/>
  </r>
  <r>
    <n v="100000011"/>
    <s v="Dominic"/>
    <s v="Lewis"/>
    <x v="0"/>
    <x v="9"/>
    <x v="0"/>
    <s v="White Collar"/>
    <x v="6"/>
    <n v="39667.83"/>
  </r>
  <r>
    <n v="100000012"/>
    <s v="Benjamin"/>
    <s v="Grant"/>
    <x v="0"/>
    <x v="10"/>
    <x v="0"/>
    <s v="White Collar"/>
    <x v="6"/>
    <n v="32281.62"/>
  </r>
  <r>
    <n v="100000013"/>
    <s v="Ryan"/>
    <s v="MacDonald"/>
    <x v="0"/>
    <x v="11"/>
    <x v="0"/>
    <s v="White Collar"/>
    <x v="6"/>
    <n v="40781.629999999997"/>
  </r>
  <r>
    <n v="200000014"/>
    <s v="Thomas"/>
    <s v="Lawrence"/>
    <x v="0"/>
    <x v="2"/>
    <x v="3"/>
    <s v="Other"/>
    <x v="6"/>
    <n v="48791.46"/>
  </r>
  <r>
    <n v="300000015"/>
    <s v="Madeleine"/>
    <s v="Marshall"/>
    <x v="1"/>
    <x v="12"/>
    <x v="2"/>
    <s v="Other"/>
    <x v="6"/>
    <n v="2846.03"/>
  </r>
  <r>
    <n v="100000016"/>
    <s v="Nicholas"/>
    <s v="Newman"/>
    <x v="0"/>
    <x v="8"/>
    <x v="0"/>
    <s v="White Collar"/>
    <x v="7"/>
    <n v="2116.85"/>
  </r>
  <r>
    <n v="200000017"/>
    <s v="Grace"/>
    <s v="Hill"/>
    <x v="1"/>
    <x v="13"/>
    <x v="3"/>
    <s v="Other"/>
    <x v="7"/>
    <n v="10356.31"/>
  </r>
  <r>
    <n v="200000018"/>
    <s v="Samantha"/>
    <s v="Coleman"/>
    <x v="1"/>
    <x v="8"/>
    <x v="3"/>
    <s v="Other"/>
    <x v="7"/>
    <n v="3801.69"/>
  </r>
  <r>
    <n v="100000019"/>
    <s v="William"/>
    <s v="Ince"/>
    <x v="0"/>
    <x v="9"/>
    <x v="0"/>
    <s v="Blue Collar"/>
    <x v="8"/>
    <n v="65534.69"/>
  </r>
  <r>
    <n v="100000020"/>
    <s v="Audrey"/>
    <s v="Jones"/>
    <x v="1"/>
    <x v="2"/>
    <x v="0"/>
    <s v="Blue Collar"/>
    <x v="8"/>
    <n v="11462.64"/>
  </r>
  <r>
    <n v="300000021"/>
    <s v="Boris"/>
    <s v="Johnston"/>
    <x v="0"/>
    <x v="14"/>
    <x v="2"/>
    <s v="Other"/>
    <x v="9"/>
    <n v="31778.9"/>
  </r>
  <r>
    <n v="200000022"/>
    <s v="Jason"/>
    <s v="Butler"/>
    <x v="0"/>
    <x v="15"/>
    <x v="3"/>
    <s v="Blue Collar"/>
    <x v="10"/>
    <n v="21252.97"/>
  </r>
  <r>
    <n v="300000023"/>
    <s v="Deirdre"/>
    <s v="McDonald"/>
    <x v="1"/>
    <x v="16"/>
    <x v="2"/>
    <s v="White Collar"/>
    <x v="10"/>
    <n v="66785.78"/>
  </r>
  <r>
    <n v="200000024"/>
    <s v="Carl"/>
    <s v="Quinn"/>
    <x v="0"/>
    <x v="17"/>
    <x v="3"/>
    <s v="Blue Collar"/>
    <x v="11"/>
    <n v="6580.81"/>
  </r>
  <r>
    <n v="100000025"/>
    <s v="Jennifer"/>
    <s v="Hughes"/>
    <x v="1"/>
    <x v="4"/>
    <x v="0"/>
    <s v="White Collar"/>
    <x v="12"/>
    <n v="20505.32"/>
  </r>
  <r>
    <n v="200000026"/>
    <s v="Richard"/>
    <s v="Fraser"/>
    <x v="0"/>
    <x v="18"/>
    <x v="3"/>
    <s v="Blue Collar"/>
    <x v="13"/>
    <n v="43249.26"/>
  </r>
  <r>
    <n v="400000027"/>
    <s v="Rachel"/>
    <s v="McGrath"/>
    <x v="1"/>
    <x v="14"/>
    <x v="1"/>
    <s v="White Collar"/>
    <x v="14"/>
    <n v="3967.2"/>
  </r>
  <r>
    <n v="100000028"/>
    <s v="Alison"/>
    <s v="Fisher"/>
    <x v="1"/>
    <x v="7"/>
    <x v="0"/>
    <s v="White Collar"/>
    <x v="15"/>
    <n v="3428.56"/>
  </r>
  <r>
    <n v="200000029"/>
    <s v="Lucas"/>
    <s v="Mackenzie"/>
    <x v="0"/>
    <x v="19"/>
    <x v="3"/>
    <s v="Blue Collar"/>
    <x v="15"/>
    <n v="20516.099999999999"/>
  </r>
  <r>
    <n v="100000030"/>
    <s v="Luke"/>
    <s v="Wilkins"/>
    <x v="0"/>
    <x v="8"/>
    <x v="0"/>
    <s v="White Collar"/>
    <x v="16"/>
    <n v="10813.83"/>
  </r>
  <r>
    <n v="100000031"/>
    <s v="Megan"/>
    <s v="Bell"/>
    <x v="1"/>
    <x v="20"/>
    <x v="0"/>
    <s v="White Collar"/>
    <x v="17"/>
    <n v="38889.760000000002"/>
  </r>
  <r>
    <n v="300000032"/>
    <s v="Warren"/>
    <s v="Edmunds"/>
    <x v="0"/>
    <x v="5"/>
    <x v="2"/>
    <s v="White Collar"/>
    <x v="17"/>
    <n v="14094.01"/>
  </r>
  <r>
    <n v="200000033"/>
    <s v="Grace"/>
    <s v="Chapman"/>
    <x v="1"/>
    <x v="15"/>
    <x v="3"/>
    <s v="Other"/>
    <x v="18"/>
    <n v="25865.200000000001"/>
  </r>
  <r>
    <n v="100000034"/>
    <s v="Jake"/>
    <s v="Wilson"/>
    <x v="0"/>
    <x v="21"/>
    <x v="0"/>
    <s v="Other"/>
    <x v="19"/>
    <n v="5833.62"/>
  </r>
  <r>
    <n v="100000035"/>
    <s v="Karen"/>
    <s v="Dyer"/>
    <x v="1"/>
    <x v="1"/>
    <x v="0"/>
    <s v="Blue Collar"/>
    <x v="20"/>
    <n v="77809.59"/>
  </r>
  <r>
    <n v="100000036"/>
    <s v="Yvonne"/>
    <s v="Thomson"/>
    <x v="1"/>
    <x v="12"/>
    <x v="0"/>
    <s v="White Collar"/>
    <x v="20"/>
    <n v="31680.67"/>
  </r>
  <r>
    <n v="100000037"/>
    <s v="Sophie"/>
    <s v="Gill"/>
    <x v="1"/>
    <x v="7"/>
    <x v="0"/>
    <s v="White Collar"/>
    <x v="20"/>
    <n v="20504.37"/>
  </r>
  <r>
    <n v="100000038"/>
    <s v="Robert"/>
    <s v="Cornish"/>
    <x v="0"/>
    <x v="13"/>
    <x v="0"/>
    <s v="Other"/>
    <x v="20"/>
    <n v="5688.36"/>
  </r>
  <r>
    <n v="200000039"/>
    <s v="Luke"/>
    <s v="Martin"/>
    <x v="0"/>
    <x v="22"/>
    <x v="3"/>
    <s v="Blue Collar"/>
    <x v="20"/>
    <n v="12848.59"/>
  </r>
  <r>
    <n v="200000040"/>
    <s v="Gavin"/>
    <s v="Pullman"/>
    <x v="0"/>
    <x v="23"/>
    <x v="3"/>
    <s v="Other"/>
    <x v="20"/>
    <n v="114456.23"/>
  </r>
  <r>
    <n v="100000041"/>
    <s v="Edward"/>
    <s v="Terry"/>
    <x v="0"/>
    <x v="24"/>
    <x v="0"/>
    <s v="Blue Collar"/>
    <x v="21"/>
    <n v="51412.6"/>
  </r>
  <r>
    <n v="100000042"/>
    <s v="Diane"/>
    <s v="Black"/>
    <x v="1"/>
    <x v="22"/>
    <x v="0"/>
    <s v="White Collar"/>
    <x v="21"/>
    <n v="9695.7000000000007"/>
  </r>
  <r>
    <n v="200000043"/>
    <s v="Jake"/>
    <s v="Morgan"/>
    <x v="0"/>
    <x v="25"/>
    <x v="3"/>
    <s v="Blue Collar"/>
    <x v="21"/>
    <n v="114021.21"/>
  </r>
  <r>
    <n v="400000044"/>
    <s v="Yvonne"/>
    <s v="Churchill"/>
    <x v="1"/>
    <x v="26"/>
    <x v="1"/>
    <s v="Other"/>
    <x v="21"/>
    <n v="107728.07"/>
  </r>
  <r>
    <n v="100000045"/>
    <s v="Dorothy"/>
    <s v="Johnston"/>
    <x v="1"/>
    <x v="27"/>
    <x v="0"/>
    <s v="Other"/>
    <x v="22"/>
    <n v="2893.19"/>
  </r>
  <r>
    <n v="200000046"/>
    <s v="Lisa"/>
    <s v="Berry"/>
    <x v="1"/>
    <x v="28"/>
    <x v="3"/>
    <s v="Other"/>
    <x v="22"/>
    <n v="54589.61"/>
  </r>
  <r>
    <n v="200000047"/>
    <s v="Leah"/>
    <s v="Nolan"/>
    <x v="1"/>
    <x v="3"/>
    <x v="3"/>
    <s v="Other"/>
    <x v="22"/>
    <n v="59501.63"/>
  </r>
  <r>
    <n v="400000048"/>
    <s v="Carolyn"/>
    <s v="Lewis"/>
    <x v="1"/>
    <x v="29"/>
    <x v="1"/>
    <s v="Other"/>
    <x v="23"/>
    <n v="14337.82"/>
  </r>
  <r>
    <n v="100000049"/>
    <s v="Simon"/>
    <s v="Ball"/>
    <x v="0"/>
    <x v="24"/>
    <x v="0"/>
    <s v="White Collar"/>
    <x v="24"/>
    <n v="23921.89"/>
  </r>
  <r>
    <n v="100000050"/>
    <s v="Charles"/>
    <s v="Nolan"/>
    <x v="0"/>
    <x v="10"/>
    <x v="0"/>
    <s v="White Collar"/>
    <x v="24"/>
    <n v="39034.14"/>
  </r>
  <r>
    <n v="100000051"/>
    <s v="Sophie"/>
    <s v="Wilkins"/>
    <x v="1"/>
    <x v="30"/>
    <x v="0"/>
    <s v="Blue Collar"/>
    <x v="24"/>
    <n v="1401.43"/>
  </r>
  <r>
    <n v="100000052"/>
    <s v="Kimberly"/>
    <s v="James"/>
    <x v="1"/>
    <x v="13"/>
    <x v="0"/>
    <s v="Blue Collar"/>
    <x v="24"/>
    <n v="41626.25"/>
  </r>
  <r>
    <n v="100000053"/>
    <s v="Madeleine"/>
    <s v="Ellison"/>
    <x v="1"/>
    <x v="14"/>
    <x v="0"/>
    <s v="Other"/>
    <x v="24"/>
    <n v="47551.7"/>
  </r>
  <r>
    <n v="100000054"/>
    <s v="Irene"/>
    <s v="MacLeod"/>
    <x v="1"/>
    <x v="3"/>
    <x v="0"/>
    <s v="White Collar"/>
    <x v="24"/>
    <n v="24187.98"/>
  </r>
  <r>
    <n v="100000055"/>
    <s v="Cameron"/>
    <s v="Taylor"/>
    <x v="0"/>
    <x v="11"/>
    <x v="0"/>
    <s v="White Collar"/>
    <x v="24"/>
    <n v="4912.21"/>
  </r>
  <r>
    <n v="100000056"/>
    <s v="Liam"/>
    <s v="Gibson"/>
    <x v="0"/>
    <x v="9"/>
    <x v="0"/>
    <s v="White Collar"/>
    <x v="24"/>
    <n v="58391.45"/>
  </r>
  <r>
    <n v="100000057"/>
    <s v="Donna"/>
    <s v="Knox"/>
    <x v="1"/>
    <x v="7"/>
    <x v="0"/>
    <s v="Blue Collar"/>
    <x v="24"/>
    <n v="58033.89"/>
  </r>
  <r>
    <n v="100000058"/>
    <s v="Piers"/>
    <s v="Morgan"/>
    <x v="0"/>
    <x v="31"/>
    <x v="0"/>
    <s v="White Collar"/>
    <x v="24"/>
    <n v="35831.199999999997"/>
  </r>
  <r>
    <n v="100000059"/>
    <s v="Phil"/>
    <s v="Randall"/>
    <x v="0"/>
    <x v="10"/>
    <x v="0"/>
    <s v="Other"/>
    <x v="24"/>
    <n v="1879.85"/>
  </r>
  <r>
    <n v="100000060"/>
    <s v="Ryan"/>
    <s v="White"/>
    <x v="0"/>
    <x v="28"/>
    <x v="0"/>
    <s v="White Collar"/>
    <x v="24"/>
    <n v="23375.57"/>
  </r>
  <r>
    <n v="100000061"/>
    <s v="Kylie"/>
    <s v="Howard"/>
    <x v="1"/>
    <x v="22"/>
    <x v="0"/>
    <s v="White Collar"/>
    <x v="24"/>
    <n v="4586.2299999999996"/>
  </r>
  <r>
    <n v="100000062"/>
    <s v="Fiona"/>
    <s v="Bell"/>
    <x v="1"/>
    <x v="28"/>
    <x v="0"/>
    <s v="Other"/>
    <x v="24"/>
    <n v="20336.8"/>
  </r>
  <r>
    <n v="100000063"/>
    <s v="Kevin"/>
    <s v="Gibson"/>
    <x v="0"/>
    <x v="28"/>
    <x v="0"/>
    <s v="White Collar"/>
    <x v="24"/>
    <n v="22414.93"/>
  </r>
  <r>
    <n v="100000064"/>
    <s v="Bernadette"/>
    <s v="Gibson"/>
    <x v="1"/>
    <x v="10"/>
    <x v="0"/>
    <s v="White Collar"/>
    <x v="24"/>
    <n v="40305.24"/>
  </r>
  <r>
    <n v="200000065"/>
    <s v="Maria"/>
    <s v="Hughes"/>
    <x v="1"/>
    <x v="19"/>
    <x v="3"/>
    <s v="Other"/>
    <x v="24"/>
    <n v="18091.36"/>
  </r>
  <r>
    <n v="200000066"/>
    <s v="Piers"/>
    <s v="Burgess"/>
    <x v="0"/>
    <x v="32"/>
    <x v="3"/>
    <s v="Blue Collar"/>
    <x v="24"/>
    <n v="20076.8"/>
  </r>
  <r>
    <n v="200000067"/>
    <s v="Dan"/>
    <s v="Ellison"/>
    <x v="0"/>
    <x v="28"/>
    <x v="3"/>
    <s v="Blue Collar"/>
    <x v="24"/>
    <n v="5300.47"/>
  </r>
  <r>
    <n v="200000068"/>
    <s v="Lucas"/>
    <s v="Piper"/>
    <x v="0"/>
    <x v="33"/>
    <x v="3"/>
    <s v="Blue Collar"/>
    <x v="24"/>
    <n v="7162.43"/>
  </r>
  <r>
    <n v="200000069"/>
    <s v="Jason"/>
    <s v="Sharp"/>
    <x v="0"/>
    <x v="27"/>
    <x v="3"/>
    <s v="Blue Collar"/>
    <x v="24"/>
    <n v="35751.370000000003"/>
  </r>
  <r>
    <n v="200000070"/>
    <s v="Kevin"/>
    <s v="Parr"/>
    <x v="0"/>
    <x v="34"/>
    <x v="3"/>
    <s v="Other"/>
    <x v="24"/>
    <n v="15013.76"/>
  </r>
  <r>
    <n v="200000071"/>
    <s v="Dan"/>
    <s v="Mills"/>
    <x v="0"/>
    <x v="25"/>
    <x v="3"/>
    <s v="Blue Collar"/>
    <x v="24"/>
    <n v="70041.440000000002"/>
  </r>
  <r>
    <n v="200000072"/>
    <s v="Angela"/>
    <s v="Roberts"/>
    <x v="1"/>
    <x v="35"/>
    <x v="3"/>
    <s v="Other"/>
    <x v="24"/>
    <n v="35937.379999999997"/>
  </r>
  <r>
    <n v="300000073"/>
    <s v="Hannah"/>
    <s v="White"/>
    <x v="1"/>
    <x v="12"/>
    <x v="2"/>
    <s v="White Collar"/>
    <x v="24"/>
    <n v="41442.1"/>
  </r>
  <r>
    <n v="300000074"/>
    <s v="Oliver"/>
    <s v="Simpson"/>
    <x v="0"/>
    <x v="34"/>
    <x v="2"/>
    <s v="Other"/>
    <x v="24"/>
    <n v="36696.92"/>
  </r>
  <r>
    <n v="400000075"/>
    <s v="Olivia"/>
    <s v="Dowd"/>
    <x v="1"/>
    <x v="5"/>
    <x v="1"/>
    <s v="White Collar"/>
    <x v="24"/>
    <n v="21.03"/>
  </r>
  <r>
    <n v="200000076"/>
    <s v="Michael"/>
    <s v="Hemmings"/>
    <x v="0"/>
    <x v="31"/>
    <x v="3"/>
    <s v="Blue Collar"/>
    <x v="25"/>
    <n v="58237.65"/>
  </r>
  <r>
    <n v="100000077"/>
    <s v="Frank"/>
    <s v="Brown"/>
    <x v="0"/>
    <x v="4"/>
    <x v="0"/>
    <s v="White Collar"/>
    <x v="26"/>
    <n v="28509.46"/>
  </r>
  <r>
    <n v="100000078"/>
    <s v="Diane"/>
    <s v="Simpson"/>
    <x v="1"/>
    <x v="12"/>
    <x v="0"/>
    <s v="Other"/>
    <x v="27"/>
    <n v="38715.449999999997"/>
  </r>
  <r>
    <n v="300000079"/>
    <s v="Ruth"/>
    <s v="Mathis"/>
    <x v="1"/>
    <x v="36"/>
    <x v="2"/>
    <s v="Blue Collar"/>
    <x v="28"/>
    <n v="7370.52"/>
  </r>
  <r>
    <n v="100000080"/>
    <s v="David"/>
    <s v="Peters"/>
    <x v="0"/>
    <x v="1"/>
    <x v="0"/>
    <s v="White Collar"/>
    <x v="29"/>
    <n v="245.46"/>
  </r>
  <r>
    <n v="100000081"/>
    <s v="Joan"/>
    <s v="Buckland"/>
    <x v="1"/>
    <x v="12"/>
    <x v="0"/>
    <s v="White Collar"/>
    <x v="29"/>
    <n v="59935.75"/>
  </r>
  <r>
    <n v="100000082"/>
    <s v="Neil"/>
    <s v="Robertson"/>
    <x v="0"/>
    <x v="37"/>
    <x v="0"/>
    <s v="White Collar"/>
    <x v="29"/>
    <n v="11624.36"/>
  </r>
  <r>
    <n v="100000083"/>
    <s v="Paul"/>
    <s v="Mackay"/>
    <x v="0"/>
    <x v="13"/>
    <x v="0"/>
    <s v="Blue Collar"/>
    <x v="29"/>
    <n v="9346.66"/>
  </r>
  <r>
    <n v="100000084"/>
    <s v="Dylan"/>
    <s v="Fraser"/>
    <x v="0"/>
    <x v="8"/>
    <x v="0"/>
    <s v="White Collar"/>
    <x v="29"/>
    <n v="43770.37"/>
  </r>
  <r>
    <n v="100000085"/>
    <s v="Pippa"/>
    <s v="Buckland"/>
    <x v="1"/>
    <x v="4"/>
    <x v="0"/>
    <s v="White Collar"/>
    <x v="29"/>
    <n v="63642.19"/>
  </r>
  <r>
    <n v="100000086"/>
    <s v="Matt"/>
    <s v="McGrath"/>
    <x v="0"/>
    <x v="10"/>
    <x v="0"/>
    <s v="White Collar"/>
    <x v="29"/>
    <n v="22831.08"/>
  </r>
  <r>
    <n v="100000087"/>
    <s v="Jack"/>
    <s v="White"/>
    <x v="0"/>
    <x v="16"/>
    <x v="0"/>
    <s v="Other"/>
    <x v="29"/>
    <n v="4846.57"/>
  </r>
  <r>
    <n v="100000088"/>
    <s v="Jasmine"/>
    <s v="Piper"/>
    <x v="1"/>
    <x v="11"/>
    <x v="0"/>
    <s v="White Collar"/>
    <x v="29"/>
    <n v="71571.520000000004"/>
  </r>
  <r>
    <n v="100000089"/>
    <s v="Michelle"/>
    <s v="Ellison"/>
    <x v="1"/>
    <x v="11"/>
    <x v="0"/>
    <s v="White Collar"/>
    <x v="29"/>
    <n v="42409.89"/>
  </r>
  <r>
    <n v="100000090"/>
    <s v="Wanda"/>
    <s v="Henderson"/>
    <x v="1"/>
    <x v="22"/>
    <x v="0"/>
    <s v="White Collar"/>
    <x v="29"/>
    <n v="4194.57"/>
  </r>
  <r>
    <n v="100000091"/>
    <s v="Blake"/>
    <s v="Reid"/>
    <x v="0"/>
    <x v="22"/>
    <x v="0"/>
    <s v="White Collar"/>
    <x v="29"/>
    <n v="75613.679999999993"/>
  </r>
  <r>
    <n v="100000092"/>
    <s v="Jane"/>
    <s v="Forsyth"/>
    <x v="1"/>
    <x v="21"/>
    <x v="0"/>
    <s v="White Collar"/>
    <x v="29"/>
    <n v="28587.08"/>
  </r>
  <r>
    <n v="100000093"/>
    <s v="Dan"/>
    <s v="Peake"/>
    <x v="0"/>
    <x v="36"/>
    <x v="0"/>
    <s v="White Collar"/>
    <x v="29"/>
    <n v="14699.05"/>
  </r>
  <r>
    <n v="100000094"/>
    <s v="Lisa"/>
    <s v="Davies"/>
    <x v="1"/>
    <x v="4"/>
    <x v="0"/>
    <s v="Other"/>
    <x v="29"/>
    <n v="44034.26"/>
  </r>
  <r>
    <n v="100000095"/>
    <s v="Rebecca"/>
    <s v="Knox"/>
    <x v="1"/>
    <x v="5"/>
    <x v="0"/>
    <s v="White Collar"/>
    <x v="29"/>
    <n v="55046.35"/>
  </r>
  <r>
    <n v="100000096"/>
    <s v="Joshua"/>
    <s v="Slater"/>
    <x v="0"/>
    <x v="38"/>
    <x v="0"/>
    <s v="White Collar"/>
    <x v="29"/>
    <n v="67479.009999999995"/>
  </r>
  <r>
    <n v="100000097"/>
    <s v="Heather"/>
    <s v="Wallace"/>
    <x v="1"/>
    <x v="4"/>
    <x v="0"/>
    <s v="Blue Collar"/>
    <x v="29"/>
    <n v="61890.85"/>
  </r>
  <r>
    <n v="100000098"/>
    <s v="Maria"/>
    <s v="Johnston"/>
    <x v="1"/>
    <x v="12"/>
    <x v="0"/>
    <s v="White Collar"/>
    <x v="29"/>
    <n v="1430.6"/>
  </r>
  <r>
    <n v="200000099"/>
    <s v="Robert"/>
    <s v="May"/>
    <x v="0"/>
    <x v="9"/>
    <x v="3"/>
    <s v="Blue Collar"/>
    <x v="29"/>
    <n v="5456.86"/>
  </r>
  <r>
    <n v="200000100"/>
    <s v="Carolyn"/>
    <s v="Robertson"/>
    <x v="1"/>
    <x v="39"/>
    <x v="3"/>
    <s v="Other"/>
    <x v="29"/>
    <n v="13251.27"/>
  </r>
  <r>
    <n v="200000101"/>
    <s v="Stewart"/>
    <s v="Lewis"/>
    <x v="0"/>
    <x v="35"/>
    <x v="3"/>
    <s v="Blue Collar"/>
    <x v="29"/>
    <n v="119014.87"/>
  </r>
  <r>
    <n v="200000102"/>
    <s v="Emma"/>
    <s v="Piper"/>
    <x v="1"/>
    <x v="31"/>
    <x v="3"/>
    <s v="White Collar"/>
    <x v="29"/>
    <n v="18829.79"/>
  </r>
  <r>
    <n v="200000103"/>
    <s v="Nicola"/>
    <s v="Powell"/>
    <x v="1"/>
    <x v="18"/>
    <x v="3"/>
    <s v="White Collar"/>
    <x v="29"/>
    <n v="35939.040000000001"/>
  </r>
  <r>
    <n v="200000104"/>
    <s v="Diana"/>
    <s v="McDonald"/>
    <x v="1"/>
    <x v="40"/>
    <x v="3"/>
    <s v="Other"/>
    <x v="29"/>
    <n v="22686"/>
  </r>
  <r>
    <n v="200000105"/>
    <s v="Stephen"/>
    <s v="Ross"/>
    <x v="0"/>
    <x v="6"/>
    <x v="3"/>
    <s v="White Collar"/>
    <x v="29"/>
    <n v="85108.08"/>
  </r>
  <r>
    <n v="200000106"/>
    <s v="Ella"/>
    <s v="Bond"/>
    <x v="1"/>
    <x v="41"/>
    <x v="3"/>
    <s v="Other"/>
    <x v="29"/>
    <n v="44973.03"/>
  </r>
  <r>
    <n v="200000107"/>
    <s v="Ian"/>
    <s v="Wilson"/>
    <x v="0"/>
    <x v="12"/>
    <x v="3"/>
    <s v="Blue Collar"/>
    <x v="29"/>
    <n v="12616.44"/>
  </r>
  <r>
    <n v="200000108"/>
    <s v="Piers"/>
    <s v="Quinn"/>
    <x v="0"/>
    <x v="6"/>
    <x v="3"/>
    <s v="Blue Collar"/>
    <x v="29"/>
    <n v="23910.87"/>
  </r>
  <r>
    <n v="200000109"/>
    <s v="Joe"/>
    <s v="Forsyth"/>
    <x v="0"/>
    <x v="42"/>
    <x v="3"/>
    <s v="Other"/>
    <x v="29"/>
    <n v="73461.710000000006"/>
  </r>
  <r>
    <n v="200000110"/>
    <s v="Tim"/>
    <s v="Jones"/>
    <x v="0"/>
    <x v="42"/>
    <x v="3"/>
    <s v="Blue Collar"/>
    <x v="29"/>
    <n v="26474.23"/>
  </r>
  <r>
    <n v="300000111"/>
    <s v="Sonia"/>
    <s v="Robertson"/>
    <x v="1"/>
    <x v="20"/>
    <x v="2"/>
    <s v="Other"/>
    <x v="29"/>
    <n v="70799.64"/>
  </r>
  <r>
    <n v="300000112"/>
    <s v="Nathan"/>
    <s v="Paterson"/>
    <x v="0"/>
    <x v="21"/>
    <x v="2"/>
    <s v="White Collar"/>
    <x v="29"/>
    <n v="20627.650000000001"/>
  </r>
  <r>
    <n v="400000113"/>
    <s v="Tim"/>
    <s v="Hardacre"/>
    <x v="0"/>
    <x v="30"/>
    <x v="1"/>
    <s v="White Collar"/>
    <x v="29"/>
    <n v="82229.52"/>
  </r>
  <r>
    <n v="400000114"/>
    <s v="Fiona"/>
    <s v="Mills"/>
    <x v="1"/>
    <x v="43"/>
    <x v="1"/>
    <s v="Other"/>
    <x v="29"/>
    <n v="51171.29"/>
  </r>
  <r>
    <n v="400000115"/>
    <s v="Ruth"/>
    <s v="Oliver"/>
    <x v="1"/>
    <x v="32"/>
    <x v="1"/>
    <s v="Blue Collar"/>
    <x v="29"/>
    <n v="37889.379999999997"/>
  </r>
  <r>
    <n v="100000116"/>
    <s v="Alison"/>
    <s v="Johnston"/>
    <x v="1"/>
    <x v="12"/>
    <x v="0"/>
    <s v="Other"/>
    <x v="30"/>
    <n v="21806.3"/>
  </r>
  <r>
    <n v="100000117"/>
    <s v="Amy"/>
    <s v="McGrath"/>
    <x v="1"/>
    <x v="9"/>
    <x v="0"/>
    <s v="Other"/>
    <x v="31"/>
    <n v="12415.5"/>
  </r>
  <r>
    <n v="200000118"/>
    <s v="Adam"/>
    <s v="McGrath"/>
    <x v="0"/>
    <x v="17"/>
    <x v="3"/>
    <s v="Other"/>
    <x v="32"/>
    <n v="67682.92"/>
  </r>
  <r>
    <n v="100000119"/>
    <s v="Vanessa"/>
    <s v="Lyman"/>
    <x v="1"/>
    <x v="43"/>
    <x v="0"/>
    <s v="White Collar"/>
    <x v="33"/>
    <n v="33524.410000000003"/>
  </r>
  <r>
    <n v="100000120"/>
    <s v="Andrea"/>
    <s v="Dickens"/>
    <x v="1"/>
    <x v="13"/>
    <x v="0"/>
    <s v="White Collar"/>
    <x v="33"/>
    <n v="136370.38"/>
  </r>
  <r>
    <n v="100000121"/>
    <s v="Ian"/>
    <s v="Slater"/>
    <x v="0"/>
    <x v="14"/>
    <x v="0"/>
    <s v="White Collar"/>
    <x v="33"/>
    <n v="39159.35"/>
  </r>
  <r>
    <n v="100000122"/>
    <s v="Jacob"/>
    <s v="Payne"/>
    <x v="0"/>
    <x v="20"/>
    <x v="0"/>
    <s v="Other"/>
    <x v="33"/>
    <n v="3738.1"/>
  </r>
  <r>
    <n v="100000123"/>
    <s v="Harry"/>
    <s v="Short"/>
    <x v="0"/>
    <x v="19"/>
    <x v="0"/>
    <s v="White Collar"/>
    <x v="33"/>
    <n v="43234.21"/>
  </r>
  <r>
    <n v="100000124"/>
    <s v="John"/>
    <s v="Black"/>
    <x v="0"/>
    <x v="10"/>
    <x v="0"/>
    <s v="Other"/>
    <x v="34"/>
    <n v="111149.47"/>
  </r>
  <r>
    <n v="100000125"/>
    <s v="Jonathan"/>
    <s v="MacDonald"/>
    <x v="0"/>
    <x v="24"/>
    <x v="0"/>
    <s v="White Collar"/>
    <x v="34"/>
    <n v="12312.49"/>
  </r>
  <r>
    <n v="100000126"/>
    <s v="Benjamin"/>
    <s v="Blake"/>
    <x v="0"/>
    <x v="8"/>
    <x v="0"/>
    <s v="White Collar"/>
    <x v="34"/>
    <n v="55661.5"/>
  </r>
  <r>
    <n v="100000127"/>
    <s v="Emma"/>
    <s v="Fraser"/>
    <x v="1"/>
    <x v="24"/>
    <x v="0"/>
    <s v="White Collar"/>
    <x v="34"/>
    <n v="10481.48"/>
  </r>
  <r>
    <n v="100000128"/>
    <s v="Virginia"/>
    <s v="Berry"/>
    <x v="1"/>
    <x v="16"/>
    <x v="0"/>
    <s v="White Collar"/>
    <x v="34"/>
    <n v="4347.79"/>
  </r>
  <r>
    <n v="100000129"/>
    <s v="Peter"/>
    <s v="Pullman"/>
    <x v="0"/>
    <x v="28"/>
    <x v="0"/>
    <s v="White Collar"/>
    <x v="34"/>
    <n v="15093.04"/>
  </r>
  <r>
    <n v="100000130"/>
    <s v="Alison"/>
    <s v="MacLeod"/>
    <x v="1"/>
    <x v="24"/>
    <x v="0"/>
    <s v="White Collar"/>
    <x v="34"/>
    <n v="27738.77"/>
  </r>
  <r>
    <n v="100000131"/>
    <s v="Anna"/>
    <s v="Wright"/>
    <x v="1"/>
    <x v="16"/>
    <x v="0"/>
    <s v="White Collar"/>
    <x v="34"/>
    <n v="27557.08"/>
  </r>
  <r>
    <n v="100000132"/>
    <s v="James"/>
    <s v="Marshall"/>
    <x v="0"/>
    <x v="37"/>
    <x v="0"/>
    <s v="Blue Collar"/>
    <x v="34"/>
    <n v="9578.65"/>
  </r>
  <r>
    <n v="100000133"/>
    <s v="Ruth"/>
    <s v="Bower"/>
    <x v="1"/>
    <x v="4"/>
    <x v="0"/>
    <s v="White Collar"/>
    <x v="35"/>
    <n v="40456.97"/>
  </r>
  <r>
    <n v="100000134"/>
    <s v="Owen"/>
    <s v="Powell"/>
    <x v="0"/>
    <x v="1"/>
    <x v="0"/>
    <s v="Blue Collar"/>
    <x v="35"/>
    <n v="44744.24"/>
  </r>
  <r>
    <n v="100000135"/>
    <s v="Piers"/>
    <s v="King"/>
    <x v="0"/>
    <x v="8"/>
    <x v="0"/>
    <s v="White Collar"/>
    <x v="35"/>
    <n v="56652.56"/>
  </r>
  <r>
    <n v="100000136"/>
    <s v="Christopher"/>
    <s v="Mackenzie"/>
    <x v="0"/>
    <x v="21"/>
    <x v="0"/>
    <s v="White Collar"/>
    <x v="35"/>
    <n v="12994.18"/>
  </r>
  <r>
    <n v="100000137"/>
    <s v="Sarah"/>
    <s v="Wallace"/>
    <x v="1"/>
    <x v="32"/>
    <x v="0"/>
    <s v="White Collar"/>
    <x v="35"/>
    <n v="42207.46"/>
  </r>
  <r>
    <n v="100000138"/>
    <s v="Richard"/>
    <s v="Hemmings"/>
    <x v="0"/>
    <x v="14"/>
    <x v="0"/>
    <s v="White Collar"/>
    <x v="35"/>
    <n v="10704.25"/>
  </r>
  <r>
    <n v="100000139"/>
    <s v="Nicola"/>
    <s v="Rampling"/>
    <x v="1"/>
    <x v="9"/>
    <x v="0"/>
    <s v="White Collar"/>
    <x v="35"/>
    <n v="57140.07"/>
  </r>
  <r>
    <n v="200000140"/>
    <s v="Keith"/>
    <s v="Harris"/>
    <x v="0"/>
    <x v="40"/>
    <x v="3"/>
    <s v="Blue Collar"/>
    <x v="35"/>
    <n v="40510.36"/>
  </r>
  <r>
    <n v="100000141"/>
    <s v="Angela"/>
    <s v="Wright"/>
    <x v="1"/>
    <x v="34"/>
    <x v="0"/>
    <s v="White Collar"/>
    <x v="36"/>
    <n v="36584.21"/>
  </r>
  <r>
    <n v="100000142"/>
    <s v="Sam"/>
    <s v="Russell"/>
    <x v="0"/>
    <x v="36"/>
    <x v="0"/>
    <s v="White Collar"/>
    <x v="36"/>
    <n v="10249.56"/>
  </r>
  <r>
    <n v="100000143"/>
    <s v="Luke"/>
    <s v="Ball"/>
    <x v="0"/>
    <x v="34"/>
    <x v="0"/>
    <s v="Other"/>
    <x v="36"/>
    <n v="40379.31"/>
  </r>
  <r>
    <n v="100000144"/>
    <s v="Sean"/>
    <s v="Bell"/>
    <x v="0"/>
    <x v="21"/>
    <x v="0"/>
    <s v="White Collar"/>
    <x v="36"/>
    <n v="4539.24"/>
  </r>
  <r>
    <n v="100000145"/>
    <s v="Steven"/>
    <s v="Ball"/>
    <x v="0"/>
    <x v="14"/>
    <x v="0"/>
    <s v="White Collar"/>
    <x v="37"/>
    <n v="89120.92"/>
  </r>
  <r>
    <n v="100000146"/>
    <s v="Andrew"/>
    <s v="Gray"/>
    <x v="0"/>
    <x v="16"/>
    <x v="0"/>
    <s v="White Collar"/>
    <x v="38"/>
    <n v="51707.8"/>
  </r>
  <r>
    <n v="100000147"/>
    <s v="Jacob"/>
    <s v="Metcalfe"/>
    <x v="0"/>
    <x v="7"/>
    <x v="0"/>
    <s v="White Collar"/>
    <x v="38"/>
    <n v="4940.82"/>
  </r>
  <r>
    <n v="100000148"/>
    <s v="Madeleine"/>
    <s v="Ogden"/>
    <x v="1"/>
    <x v="14"/>
    <x v="0"/>
    <s v="White Collar"/>
    <x v="38"/>
    <n v="48405.93"/>
  </r>
  <r>
    <n v="100000149"/>
    <s v="Dylan"/>
    <s v="Davies"/>
    <x v="0"/>
    <x v="7"/>
    <x v="0"/>
    <s v="White Collar"/>
    <x v="38"/>
    <n v="32467.1"/>
  </r>
  <r>
    <n v="100000150"/>
    <s v="Michelle"/>
    <s v="Lee"/>
    <x v="1"/>
    <x v="30"/>
    <x v="0"/>
    <s v="White Collar"/>
    <x v="38"/>
    <n v="4020.51"/>
  </r>
  <r>
    <n v="100000151"/>
    <s v="Connor"/>
    <s v="Grant"/>
    <x v="0"/>
    <x v="7"/>
    <x v="0"/>
    <s v="White Collar"/>
    <x v="38"/>
    <n v="5160.2700000000004"/>
  </r>
  <r>
    <n v="100000152"/>
    <s v="Justin"/>
    <s v="Metcalfe"/>
    <x v="0"/>
    <x v="3"/>
    <x v="0"/>
    <s v="White Collar"/>
    <x v="38"/>
    <n v="51576.88"/>
  </r>
  <r>
    <n v="100000153"/>
    <s v="Elizabeth"/>
    <s v="Oliver"/>
    <x v="1"/>
    <x v="12"/>
    <x v="0"/>
    <s v="White Collar"/>
    <x v="38"/>
    <n v="57019.91"/>
  </r>
  <r>
    <n v="100000154"/>
    <s v="Kevin"/>
    <s v="Powell"/>
    <x v="0"/>
    <x v="2"/>
    <x v="0"/>
    <s v="White Collar"/>
    <x v="38"/>
    <n v="57365.32"/>
  </r>
  <r>
    <n v="100000155"/>
    <s v="Tim"/>
    <s v="Arnold"/>
    <x v="0"/>
    <x v="7"/>
    <x v="0"/>
    <s v="Blue Collar"/>
    <x v="38"/>
    <n v="1455.6"/>
  </r>
  <r>
    <n v="100000156"/>
    <s v="Charles"/>
    <s v="Roberts"/>
    <x v="0"/>
    <x v="11"/>
    <x v="0"/>
    <s v="Other"/>
    <x v="38"/>
    <n v="36256.199999999997"/>
  </r>
  <r>
    <n v="100000157"/>
    <s v="Anthony"/>
    <s v="Cornish"/>
    <x v="0"/>
    <x v="3"/>
    <x v="0"/>
    <s v="White Collar"/>
    <x v="38"/>
    <n v="24927.39"/>
  </r>
  <r>
    <n v="100000158"/>
    <s v="Michael"/>
    <s v="Powell"/>
    <x v="0"/>
    <x v="21"/>
    <x v="0"/>
    <s v="White Collar"/>
    <x v="38"/>
    <n v="1009.69"/>
  </r>
  <r>
    <n v="100000159"/>
    <s v="Lucas"/>
    <s v="Lawrence"/>
    <x v="0"/>
    <x v="5"/>
    <x v="0"/>
    <s v="White Collar"/>
    <x v="38"/>
    <n v="21871.43"/>
  </r>
  <r>
    <n v="100000160"/>
    <s v="Alexander"/>
    <s v="Walker"/>
    <x v="0"/>
    <x v="4"/>
    <x v="0"/>
    <s v="White Collar"/>
    <x v="38"/>
    <n v="7602.94"/>
  </r>
  <r>
    <n v="100000161"/>
    <s v="Diana"/>
    <s v="Powell"/>
    <x v="1"/>
    <x v="8"/>
    <x v="0"/>
    <s v="White Collar"/>
    <x v="38"/>
    <n v="2337"/>
  </r>
  <r>
    <n v="100000162"/>
    <s v="Emma"/>
    <s v="Peters"/>
    <x v="1"/>
    <x v="12"/>
    <x v="0"/>
    <s v="Other"/>
    <x v="38"/>
    <n v="61541.83"/>
  </r>
  <r>
    <n v="100000163"/>
    <s v="Amanda"/>
    <s v="Morgan"/>
    <x v="1"/>
    <x v="10"/>
    <x v="0"/>
    <s v="White Collar"/>
    <x v="38"/>
    <n v="4120.66"/>
  </r>
  <r>
    <n v="200000164"/>
    <s v="Claire"/>
    <s v="Walsh"/>
    <x v="1"/>
    <x v="23"/>
    <x v="3"/>
    <s v="Other"/>
    <x v="38"/>
    <n v="67524.87"/>
  </r>
  <r>
    <n v="200000165"/>
    <s v="Paul"/>
    <s v="Harris"/>
    <x v="0"/>
    <x v="17"/>
    <x v="3"/>
    <s v="Blue Collar"/>
    <x v="38"/>
    <n v="4371.9799999999996"/>
  </r>
  <r>
    <n v="200000166"/>
    <s v="William"/>
    <s v="Mitchell"/>
    <x v="0"/>
    <x v="35"/>
    <x v="3"/>
    <s v="Blue Collar"/>
    <x v="38"/>
    <n v="10229.629999999999"/>
  </r>
  <r>
    <n v="300000167"/>
    <s v="Cameron"/>
    <s v="Ross"/>
    <x v="0"/>
    <x v="11"/>
    <x v="2"/>
    <s v="Blue Collar"/>
    <x v="38"/>
    <n v="19064.650000000001"/>
  </r>
  <r>
    <n v="300000168"/>
    <s v="Pippa"/>
    <s v="Wilson"/>
    <x v="1"/>
    <x v="5"/>
    <x v="2"/>
    <s v="White Collar"/>
    <x v="38"/>
    <n v="30846.82"/>
  </r>
  <r>
    <n v="100000169"/>
    <s v="Blake"/>
    <s v="Mills"/>
    <x v="0"/>
    <x v="10"/>
    <x v="0"/>
    <s v="Blue Collar"/>
    <x v="39"/>
    <n v="71396.66"/>
  </r>
  <r>
    <n v="100000170"/>
    <s v="Natalie"/>
    <s v="Morrison"/>
    <x v="1"/>
    <x v="3"/>
    <x v="0"/>
    <s v="Other"/>
    <x v="39"/>
    <n v="3290.79"/>
  </r>
  <r>
    <n v="100000171"/>
    <s v="John"/>
    <s v="Hughes"/>
    <x v="0"/>
    <x v="4"/>
    <x v="0"/>
    <s v="White Collar"/>
    <x v="39"/>
    <n v="13181.22"/>
  </r>
  <r>
    <n v="100000172"/>
    <s v="Nicholas"/>
    <s v="Greene"/>
    <x v="0"/>
    <x v="8"/>
    <x v="0"/>
    <s v="Blue Collar"/>
    <x v="39"/>
    <n v="62923.29"/>
  </r>
  <r>
    <n v="100000173"/>
    <s v="Hannah"/>
    <s v="Thomson"/>
    <x v="1"/>
    <x v="21"/>
    <x v="0"/>
    <s v="White Collar"/>
    <x v="39"/>
    <n v="93353.93"/>
  </r>
  <r>
    <n v="100000174"/>
    <s v="Penelope"/>
    <s v="Glover"/>
    <x v="1"/>
    <x v="13"/>
    <x v="0"/>
    <s v="White Collar"/>
    <x v="39"/>
    <n v="46078.71"/>
  </r>
  <r>
    <n v="100000175"/>
    <s v="Max"/>
    <s v="Stewart"/>
    <x v="0"/>
    <x v="13"/>
    <x v="0"/>
    <s v="White Collar"/>
    <x v="39"/>
    <n v="15986.62"/>
  </r>
  <r>
    <n v="100000176"/>
    <s v="Wendy"/>
    <s v="Gill"/>
    <x v="1"/>
    <x v="20"/>
    <x v="0"/>
    <s v="White Collar"/>
    <x v="39"/>
    <n v="27384.85"/>
  </r>
  <r>
    <n v="100000177"/>
    <s v="Thomas"/>
    <s v="Bailey"/>
    <x v="0"/>
    <x v="22"/>
    <x v="0"/>
    <s v="White Collar"/>
    <x v="39"/>
    <n v="70349.320000000007"/>
  </r>
  <r>
    <n v="100000178"/>
    <s v="Dan"/>
    <s v="Piper"/>
    <x v="0"/>
    <x v="7"/>
    <x v="0"/>
    <s v="Blue Collar"/>
    <x v="39"/>
    <n v="60748.04"/>
  </r>
  <r>
    <n v="100000179"/>
    <s v="Dan"/>
    <s v="Metcalfe"/>
    <x v="0"/>
    <x v="11"/>
    <x v="0"/>
    <s v="Blue Collar"/>
    <x v="39"/>
    <n v="52862.29"/>
  </r>
  <r>
    <n v="400000180"/>
    <s v="Eric"/>
    <s v="Bower"/>
    <x v="0"/>
    <x v="30"/>
    <x v="1"/>
    <s v="Blue Collar"/>
    <x v="39"/>
    <n v="20516.509999999998"/>
  </r>
  <r>
    <n v="100000181"/>
    <s v="Mary"/>
    <s v="Watson"/>
    <x v="1"/>
    <x v="3"/>
    <x v="0"/>
    <s v="White Collar"/>
    <x v="40"/>
    <n v="99806.54"/>
  </r>
  <r>
    <n v="100000182"/>
    <s v="Austin"/>
    <s v="Ball"/>
    <x v="0"/>
    <x v="12"/>
    <x v="0"/>
    <s v="White Collar"/>
    <x v="40"/>
    <n v="21236.23"/>
  </r>
  <r>
    <n v="100000183"/>
    <s v="Christian"/>
    <s v="Piper"/>
    <x v="0"/>
    <x v="13"/>
    <x v="0"/>
    <s v="White Collar"/>
    <x v="40"/>
    <n v="115312.87"/>
  </r>
  <r>
    <n v="100000184"/>
    <s v="Peter"/>
    <s v="McGrath"/>
    <x v="0"/>
    <x v="7"/>
    <x v="0"/>
    <s v="Other"/>
    <x v="40"/>
    <n v="80564.87"/>
  </r>
  <r>
    <n v="100000185"/>
    <s v="Cameron"/>
    <s v="Short"/>
    <x v="0"/>
    <x v="9"/>
    <x v="0"/>
    <s v="Other"/>
    <x v="40"/>
    <n v="21351.4"/>
  </r>
  <r>
    <n v="200000186"/>
    <s v="Sue"/>
    <s v="Ellison"/>
    <x v="1"/>
    <x v="35"/>
    <x v="3"/>
    <s v="Other"/>
    <x v="40"/>
    <n v="58953.83"/>
  </r>
  <r>
    <n v="100000187"/>
    <s v="Emma"/>
    <s v="Parr"/>
    <x v="1"/>
    <x v="2"/>
    <x v="0"/>
    <s v="White Collar"/>
    <x v="41"/>
    <n v="40685.39"/>
  </r>
  <r>
    <n v="100000188"/>
    <s v="Pippa"/>
    <s v="Mathis"/>
    <x v="1"/>
    <x v="30"/>
    <x v="0"/>
    <s v="White Collar"/>
    <x v="41"/>
    <n v="22659.88"/>
  </r>
  <r>
    <n v="100000189"/>
    <s v="Wendy"/>
    <s v="Morrison"/>
    <x v="1"/>
    <x v="9"/>
    <x v="0"/>
    <s v="White Collar"/>
    <x v="41"/>
    <n v="9431.0400000000009"/>
  </r>
  <r>
    <n v="100000190"/>
    <s v="Vanessa"/>
    <s v="Avery"/>
    <x v="1"/>
    <x v="20"/>
    <x v="0"/>
    <s v="Other"/>
    <x v="41"/>
    <n v="58714.66"/>
  </r>
  <r>
    <n v="200000191"/>
    <s v="Jason"/>
    <s v="Fisher"/>
    <x v="0"/>
    <x v="35"/>
    <x v="3"/>
    <s v="Blue Collar"/>
    <x v="41"/>
    <n v="1239.5999999999999"/>
  </r>
  <r>
    <n v="100000192"/>
    <s v="Oliver"/>
    <s v="Blake"/>
    <x v="0"/>
    <x v="10"/>
    <x v="0"/>
    <s v="White Collar"/>
    <x v="42"/>
    <n v="48396.17"/>
  </r>
  <r>
    <n v="100000193"/>
    <s v="Jane"/>
    <s v="Wright"/>
    <x v="1"/>
    <x v="31"/>
    <x v="0"/>
    <s v="Other"/>
    <x v="43"/>
    <n v="12283.3"/>
  </r>
  <r>
    <n v="100000194"/>
    <s v="James"/>
    <s v="McGrath"/>
    <x v="0"/>
    <x v="9"/>
    <x v="0"/>
    <s v="White Collar"/>
    <x v="43"/>
    <n v="29331.41"/>
  </r>
  <r>
    <n v="100000195"/>
    <s v="Amanda"/>
    <s v="Young"/>
    <x v="1"/>
    <x v="22"/>
    <x v="0"/>
    <s v="White Collar"/>
    <x v="43"/>
    <n v="16390.11"/>
  </r>
  <r>
    <n v="100000196"/>
    <s v="Jennifer"/>
    <s v="Slater"/>
    <x v="1"/>
    <x v="3"/>
    <x v="0"/>
    <s v="White Collar"/>
    <x v="43"/>
    <n v="87203.66"/>
  </r>
  <r>
    <n v="100000197"/>
    <s v="Blake"/>
    <s v="Ross"/>
    <x v="0"/>
    <x v="4"/>
    <x v="0"/>
    <s v="Blue Collar"/>
    <x v="44"/>
    <n v="3141.6"/>
  </r>
  <r>
    <n v="100000198"/>
    <s v="Tim"/>
    <s v="North"/>
    <x v="0"/>
    <x v="30"/>
    <x v="0"/>
    <s v="White Collar"/>
    <x v="44"/>
    <n v="2299.2600000000002"/>
  </r>
  <r>
    <n v="100000199"/>
    <s v="Jasmine"/>
    <s v="Terry"/>
    <x v="1"/>
    <x v="13"/>
    <x v="0"/>
    <s v="Blue Collar"/>
    <x v="44"/>
    <n v="44162.06"/>
  </r>
  <r>
    <n v="100000200"/>
    <s v="Karen"/>
    <s v="Mackenzie"/>
    <x v="1"/>
    <x v="28"/>
    <x v="0"/>
    <s v="White Collar"/>
    <x v="44"/>
    <n v="90868.86"/>
  </r>
  <r>
    <n v="100000201"/>
    <s v="Oliver"/>
    <s v="Dickens"/>
    <x v="0"/>
    <x v="1"/>
    <x v="0"/>
    <s v="Other"/>
    <x v="45"/>
    <n v="37985.15"/>
  </r>
  <r>
    <n v="100000202"/>
    <s v="Fiona"/>
    <s v="Underwood"/>
    <x v="1"/>
    <x v="14"/>
    <x v="0"/>
    <s v="White Collar"/>
    <x v="45"/>
    <n v="54630.38"/>
  </r>
  <r>
    <n v="100000203"/>
    <s v="Yvonne"/>
    <s v="Arnold"/>
    <x v="1"/>
    <x v="9"/>
    <x v="0"/>
    <s v="White Collar"/>
    <x v="45"/>
    <n v="60648.52"/>
  </r>
  <r>
    <n v="100000204"/>
    <s v="Fiona"/>
    <s v="Vance"/>
    <x v="1"/>
    <x v="21"/>
    <x v="0"/>
    <s v="White Collar"/>
    <x v="45"/>
    <n v="18894.189999999999"/>
  </r>
  <r>
    <n v="100000205"/>
    <s v="Anna"/>
    <s v="Lee"/>
    <x v="1"/>
    <x v="20"/>
    <x v="0"/>
    <s v="Blue Collar"/>
    <x v="45"/>
    <n v="79603.360000000001"/>
  </r>
  <r>
    <n v="100000206"/>
    <s v="Wanda"/>
    <s v="Short"/>
    <x v="1"/>
    <x v="12"/>
    <x v="0"/>
    <s v="White Collar"/>
    <x v="45"/>
    <n v="109026.81"/>
  </r>
  <r>
    <n v="100000207"/>
    <s v="Blake"/>
    <s v="Berry"/>
    <x v="0"/>
    <x v="16"/>
    <x v="0"/>
    <s v="White Collar"/>
    <x v="45"/>
    <n v="73998.37"/>
  </r>
  <r>
    <n v="100000208"/>
    <s v="Phil"/>
    <s v="Lewis"/>
    <x v="0"/>
    <x v="10"/>
    <x v="0"/>
    <s v="White Collar"/>
    <x v="45"/>
    <n v="3734.24"/>
  </r>
  <r>
    <n v="100000209"/>
    <s v="Christian"/>
    <s v="Sharp"/>
    <x v="0"/>
    <x v="10"/>
    <x v="0"/>
    <s v="Blue Collar"/>
    <x v="45"/>
    <n v="23322.33"/>
  </r>
  <r>
    <n v="200000210"/>
    <s v="Blake"/>
    <s v="Rutherford"/>
    <x v="0"/>
    <x v="31"/>
    <x v="3"/>
    <s v="Blue Collar"/>
    <x v="45"/>
    <n v="64482.16"/>
  </r>
  <r>
    <n v="100000211"/>
    <s v="Robert"/>
    <s v="Wright"/>
    <x v="0"/>
    <x v="10"/>
    <x v="0"/>
    <s v="White Collar"/>
    <x v="46"/>
    <n v="52505.16"/>
  </r>
  <r>
    <n v="100000212"/>
    <s v="Eric"/>
    <s v="North"/>
    <x v="0"/>
    <x v="1"/>
    <x v="0"/>
    <s v="White Collar"/>
    <x v="46"/>
    <n v="16569.82"/>
  </r>
  <r>
    <n v="100000213"/>
    <s v="Tracey"/>
    <s v="Grant"/>
    <x v="1"/>
    <x v="30"/>
    <x v="0"/>
    <s v="Blue Collar"/>
    <x v="46"/>
    <n v="21065.22"/>
  </r>
  <r>
    <n v="100000214"/>
    <s v="Faith"/>
    <s v="McDonald"/>
    <x v="1"/>
    <x v="0"/>
    <x v="0"/>
    <s v="Other"/>
    <x v="46"/>
    <n v="13487.9"/>
  </r>
  <r>
    <n v="100000215"/>
    <s v="Alan"/>
    <s v="Murray"/>
    <x v="0"/>
    <x v="10"/>
    <x v="0"/>
    <s v="Blue Collar"/>
    <x v="46"/>
    <n v="34338.839999999997"/>
  </r>
  <r>
    <n v="100000216"/>
    <s v="Nathan"/>
    <s v="Turner"/>
    <x v="0"/>
    <x v="4"/>
    <x v="0"/>
    <s v="White Collar"/>
    <x v="46"/>
    <n v="48146.54"/>
  </r>
  <r>
    <n v="100000217"/>
    <s v="Carolyn"/>
    <s v="Hart"/>
    <x v="1"/>
    <x v="38"/>
    <x v="0"/>
    <s v="White Collar"/>
    <x v="46"/>
    <n v="27008.87"/>
  </r>
  <r>
    <n v="100000218"/>
    <s v="Theresa"/>
    <s v="Grant"/>
    <x v="1"/>
    <x v="30"/>
    <x v="0"/>
    <s v="White Collar"/>
    <x v="47"/>
    <n v="29907.72"/>
  </r>
  <r>
    <n v="100000219"/>
    <s v="Alexander"/>
    <s v="Ince"/>
    <x v="0"/>
    <x v="20"/>
    <x v="0"/>
    <s v="White Collar"/>
    <x v="47"/>
    <n v="31660.86"/>
  </r>
  <r>
    <n v="100000220"/>
    <s v="Maria"/>
    <s v="Simpson"/>
    <x v="1"/>
    <x v="4"/>
    <x v="0"/>
    <s v="Other"/>
    <x v="47"/>
    <n v="33509.17"/>
  </r>
  <r>
    <n v="100000221"/>
    <s v="Sally"/>
    <s v="Arnold"/>
    <x v="1"/>
    <x v="34"/>
    <x v="0"/>
    <s v="Blue Collar"/>
    <x v="47"/>
    <n v="2575.63"/>
  </r>
  <r>
    <n v="100000222"/>
    <s v="Jessica"/>
    <s v="Morrison"/>
    <x v="1"/>
    <x v="7"/>
    <x v="0"/>
    <s v="White Collar"/>
    <x v="47"/>
    <n v="4072.58"/>
  </r>
  <r>
    <n v="100000223"/>
    <s v="Lucas"/>
    <s v="Langdon"/>
    <x v="0"/>
    <x v="3"/>
    <x v="0"/>
    <s v="White Collar"/>
    <x v="47"/>
    <n v="15375.41"/>
  </r>
  <r>
    <n v="100000224"/>
    <s v="Christian"/>
    <s v="Baker"/>
    <x v="0"/>
    <x v="32"/>
    <x v="0"/>
    <s v="White Collar"/>
    <x v="47"/>
    <n v="18103.72"/>
  </r>
  <r>
    <n v="100000225"/>
    <s v="Piers"/>
    <s v="White"/>
    <x v="0"/>
    <x v="13"/>
    <x v="0"/>
    <s v="White Collar"/>
    <x v="47"/>
    <n v="63230.57"/>
  </r>
  <r>
    <n v="100000226"/>
    <s v="Gordon"/>
    <s v="Fraser"/>
    <x v="0"/>
    <x v="9"/>
    <x v="0"/>
    <s v="White Collar"/>
    <x v="47"/>
    <n v="9875.43"/>
  </r>
  <r>
    <n v="100000227"/>
    <s v="Connor"/>
    <s v="Gill"/>
    <x v="0"/>
    <x v="30"/>
    <x v="0"/>
    <s v="Other"/>
    <x v="48"/>
    <n v="106172.13"/>
  </r>
  <r>
    <n v="100000228"/>
    <s v="Virginia"/>
    <s v="Howard"/>
    <x v="1"/>
    <x v="14"/>
    <x v="0"/>
    <s v="White Collar"/>
    <x v="48"/>
    <n v="4611.5"/>
  </r>
  <r>
    <n v="100000229"/>
    <s v="Yvonne"/>
    <s v="Johnston"/>
    <x v="1"/>
    <x v="12"/>
    <x v="0"/>
    <s v="White Collar"/>
    <x v="48"/>
    <n v="42635.27"/>
  </r>
  <r>
    <n v="100000230"/>
    <s v="Dan"/>
    <s v="Terry"/>
    <x v="0"/>
    <x v="8"/>
    <x v="0"/>
    <s v="White Collar"/>
    <x v="48"/>
    <n v="51923.76"/>
  </r>
  <r>
    <n v="100000231"/>
    <s v="Audrey"/>
    <s v="McGrath"/>
    <x v="1"/>
    <x v="34"/>
    <x v="0"/>
    <s v="White Collar"/>
    <x v="48"/>
    <n v="39249.25"/>
  </r>
  <r>
    <n v="100000232"/>
    <s v="Trevor"/>
    <s v="King"/>
    <x v="0"/>
    <x v="16"/>
    <x v="0"/>
    <s v="Blue Collar"/>
    <x v="48"/>
    <n v="57762.79"/>
  </r>
  <r>
    <n v="100000233"/>
    <s v="Stewart"/>
    <s v="Pullman"/>
    <x v="0"/>
    <x v="8"/>
    <x v="0"/>
    <s v="White Collar"/>
    <x v="49"/>
    <n v="63869.71"/>
  </r>
  <r>
    <n v="100000234"/>
    <s v="Brian"/>
    <s v="Mackay"/>
    <x v="0"/>
    <x v="8"/>
    <x v="0"/>
    <s v="White Collar"/>
    <x v="49"/>
    <n v="10199.66"/>
  </r>
  <r>
    <n v="100000235"/>
    <s v="Jessica"/>
    <s v="James"/>
    <x v="1"/>
    <x v="9"/>
    <x v="0"/>
    <s v="White Collar"/>
    <x v="49"/>
    <n v="47518.92"/>
  </r>
  <r>
    <n v="100000236"/>
    <s v="Carol"/>
    <s v="Blake"/>
    <x v="1"/>
    <x v="32"/>
    <x v="0"/>
    <s v="White Collar"/>
    <x v="49"/>
    <n v="25542.15"/>
  </r>
  <r>
    <n v="100000237"/>
    <s v="Alison"/>
    <s v="Hudson"/>
    <x v="1"/>
    <x v="32"/>
    <x v="0"/>
    <s v="White Collar"/>
    <x v="49"/>
    <n v="23887.45"/>
  </r>
  <r>
    <n v="300000238"/>
    <s v="Dorothy"/>
    <s v="Miller"/>
    <x v="1"/>
    <x v="24"/>
    <x v="2"/>
    <s v="Other"/>
    <x v="49"/>
    <n v="39264.03"/>
  </r>
  <r>
    <n v="100000239"/>
    <s v="Natalie"/>
    <s v="Welch"/>
    <x v="1"/>
    <x v="22"/>
    <x v="0"/>
    <s v="White Collar"/>
    <x v="50"/>
    <n v="11880.47"/>
  </r>
  <r>
    <n v="100000240"/>
    <s v="John"/>
    <s v="Baker"/>
    <x v="0"/>
    <x v="3"/>
    <x v="0"/>
    <s v="White Collar"/>
    <x v="50"/>
    <n v="50658.95"/>
  </r>
  <r>
    <n v="100000241"/>
    <s v="Oliver"/>
    <s v="Powell"/>
    <x v="0"/>
    <x v="32"/>
    <x v="0"/>
    <s v="White Collar"/>
    <x v="50"/>
    <n v="14946.79"/>
  </r>
  <r>
    <n v="100000242"/>
    <s v="Amanda"/>
    <s v="Rees"/>
    <x v="1"/>
    <x v="1"/>
    <x v="0"/>
    <s v="Blue Collar"/>
    <x v="50"/>
    <n v="57148.41"/>
  </r>
  <r>
    <n v="100000243"/>
    <s v="Paul"/>
    <s v="Davies"/>
    <x v="0"/>
    <x v="28"/>
    <x v="0"/>
    <s v="Blue Collar"/>
    <x v="50"/>
    <n v="116144.95"/>
  </r>
  <r>
    <n v="100000244"/>
    <s v="Brian"/>
    <s v="Short"/>
    <x v="0"/>
    <x v="10"/>
    <x v="0"/>
    <s v="White Collar"/>
    <x v="50"/>
    <n v="45135.16"/>
  </r>
  <r>
    <n v="100000245"/>
    <s v="Matt"/>
    <s v="Graham"/>
    <x v="0"/>
    <x v="13"/>
    <x v="0"/>
    <s v="White Collar"/>
    <x v="50"/>
    <n v="9867.56"/>
  </r>
  <r>
    <n v="100000246"/>
    <s v="Justin"/>
    <s v="Paterson"/>
    <x v="0"/>
    <x v="5"/>
    <x v="0"/>
    <s v="White Collar"/>
    <x v="50"/>
    <n v="4442.71"/>
  </r>
  <r>
    <n v="100000247"/>
    <s v="Claire"/>
    <s v="Dickens"/>
    <x v="1"/>
    <x v="7"/>
    <x v="0"/>
    <s v="White Collar"/>
    <x v="50"/>
    <n v="14380.27"/>
  </r>
  <r>
    <n v="100000248"/>
    <s v="James"/>
    <s v="Miller"/>
    <x v="0"/>
    <x v="14"/>
    <x v="0"/>
    <s v="White Collar"/>
    <x v="50"/>
    <n v="4263.53"/>
  </r>
  <r>
    <n v="100000249"/>
    <s v="Brandon"/>
    <s v="Bower"/>
    <x v="0"/>
    <x v="32"/>
    <x v="0"/>
    <s v="White Collar"/>
    <x v="50"/>
    <n v="32667.33"/>
  </r>
  <r>
    <n v="100000250"/>
    <s v="Amelia"/>
    <s v="Mathis"/>
    <x v="1"/>
    <x v="5"/>
    <x v="0"/>
    <s v="Blue Collar"/>
    <x v="50"/>
    <n v="13407.54"/>
  </r>
  <r>
    <n v="100000251"/>
    <s v="Fiona"/>
    <s v="Jones"/>
    <x v="1"/>
    <x v="7"/>
    <x v="0"/>
    <s v="White Collar"/>
    <x v="50"/>
    <n v="57127.03"/>
  </r>
  <r>
    <n v="100000252"/>
    <s v="Nicholas"/>
    <s v="Lyman"/>
    <x v="0"/>
    <x v="5"/>
    <x v="0"/>
    <s v="White Collar"/>
    <x v="50"/>
    <n v="74588.31"/>
  </r>
  <r>
    <n v="100000253"/>
    <s v="Lauren"/>
    <s v="Ball"/>
    <x v="1"/>
    <x v="30"/>
    <x v="0"/>
    <s v="White Collar"/>
    <x v="50"/>
    <n v="41237.660000000003"/>
  </r>
  <r>
    <n v="100000254"/>
    <s v="Stewart"/>
    <s v="Rees"/>
    <x v="0"/>
    <x v="1"/>
    <x v="0"/>
    <s v="White Collar"/>
    <x v="50"/>
    <n v="20276.52"/>
  </r>
  <r>
    <n v="100000255"/>
    <s v="Diane"/>
    <s v="Henderson"/>
    <x v="1"/>
    <x v="12"/>
    <x v="0"/>
    <s v="Blue Collar"/>
    <x v="50"/>
    <n v="20379"/>
  </r>
  <r>
    <n v="200000256"/>
    <s v="Julian"/>
    <s v="Peake"/>
    <x v="0"/>
    <x v="2"/>
    <x v="3"/>
    <s v="Blue Collar"/>
    <x v="50"/>
    <n v="29487.25"/>
  </r>
  <r>
    <n v="200000257"/>
    <s v="Justin"/>
    <s v="Underwood"/>
    <x v="0"/>
    <x v="12"/>
    <x v="3"/>
    <s v="Blue Collar"/>
    <x v="50"/>
    <n v="79483.58"/>
  </r>
  <r>
    <n v="200000258"/>
    <s v="Owen"/>
    <s v="McGrath"/>
    <x v="0"/>
    <x v="41"/>
    <x v="3"/>
    <s v="Other"/>
    <x v="50"/>
    <n v="2112.92"/>
  </r>
  <r>
    <n v="200000259"/>
    <s v="Alison"/>
    <s v="Taylor"/>
    <x v="1"/>
    <x v="19"/>
    <x v="3"/>
    <s v="Other"/>
    <x v="50"/>
    <n v="18160.490000000002"/>
  </r>
  <r>
    <n v="200000260"/>
    <s v="Harry"/>
    <s v="Walsh"/>
    <x v="0"/>
    <x v="34"/>
    <x v="3"/>
    <s v="Blue Collar"/>
    <x v="50"/>
    <n v="26059.74"/>
  </r>
  <r>
    <n v="200000261"/>
    <s v="Nathan"/>
    <s v="Howard"/>
    <x v="0"/>
    <x v="28"/>
    <x v="3"/>
    <s v="Blue Collar"/>
    <x v="50"/>
    <n v="19177.310000000001"/>
  </r>
  <r>
    <n v="200000262"/>
    <s v="Zoe"/>
    <s v="Clarkson"/>
    <x v="1"/>
    <x v="23"/>
    <x v="3"/>
    <s v="Other"/>
    <x v="50"/>
    <n v="23550.89"/>
  </r>
  <r>
    <n v="200000263"/>
    <s v="Gabrielle"/>
    <s v="Marshall"/>
    <x v="1"/>
    <x v="16"/>
    <x v="3"/>
    <s v="Other"/>
    <x v="50"/>
    <n v="87758.52"/>
  </r>
  <r>
    <n v="200000264"/>
    <s v="Lily"/>
    <s v="Davies"/>
    <x v="1"/>
    <x v="6"/>
    <x v="3"/>
    <s v="Other"/>
    <x v="50"/>
    <n v="10577.52"/>
  </r>
  <r>
    <n v="200000265"/>
    <s v="Tim"/>
    <s v="Sanderson"/>
    <x v="0"/>
    <x v="17"/>
    <x v="3"/>
    <s v="Blue Collar"/>
    <x v="50"/>
    <n v="45213.63"/>
  </r>
  <r>
    <n v="200000266"/>
    <s v="Karen"/>
    <s v="Oliver"/>
    <x v="1"/>
    <x v="38"/>
    <x v="3"/>
    <s v="Other"/>
    <x v="50"/>
    <n v="13162.58"/>
  </r>
  <r>
    <n v="200000267"/>
    <s v="Luke"/>
    <s v="MacLeod"/>
    <x v="0"/>
    <x v="18"/>
    <x v="3"/>
    <s v="Other"/>
    <x v="50"/>
    <n v="36993.449999999997"/>
  </r>
  <r>
    <n v="300000268"/>
    <s v="James"/>
    <s v="Oliver"/>
    <x v="0"/>
    <x v="38"/>
    <x v="2"/>
    <s v="Blue Collar"/>
    <x v="50"/>
    <n v="67180.28"/>
  </r>
  <r>
    <n v="300000269"/>
    <s v="Gabrielle"/>
    <s v="Powell"/>
    <x v="1"/>
    <x v="8"/>
    <x v="2"/>
    <s v="Other"/>
    <x v="50"/>
    <n v="44094.63"/>
  </r>
  <r>
    <n v="300000270"/>
    <s v="Heather"/>
    <s v="Black"/>
    <x v="1"/>
    <x v="42"/>
    <x v="2"/>
    <s v="Other"/>
    <x v="50"/>
    <n v="27020.99"/>
  </r>
  <r>
    <n v="300000271"/>
    <s v="Carl"/>
    <s v="Abraham"/>
    <x v="0"/>
    <x v="5"/>
    <x v="2"/>
    <s v="White Collar"/>
    <x v="50"/>
    <n v="28912.799999999999"/>
  </r>
  <r>
    <n v="400000272"/>
    <s v="Rose"/>
    <s v="Blake"/>
    <x v="1"/>
    <x v="20"/>
    <x v="1"/>
    <s v="White Collar"/>
    <x v="50"/>
    <n v="48997.63"/>
  </r>
  <r>
    <n v="100000273"/>
    <s v="Jake"/>
    <s v="Skinner"/>
    <x v="0"/>
    <x v="16"/>
    <x v="0"/>
    <s v="White Collar"/>
    <x v="51"/>
    <n v="41250.67"/>
  </r>
  <r>
    <n v="100000274"/>
    <s v="Rose"/>
    <s v="Russell"/>
    <x v="1"/>
    <x v="1"/>
    <x v="0"/>
    <s v="Other"/>
    <x v="51"/>
    <n v="111818.28"/>
  </r>
  <r>
    <n v="100000275"/>
    <s v="Victor"/>
    <s v="Avery"/>
    <x v="0"/>
    <x v="8"/>
    <x v="0"/>
    <s v="White Collar"/>
    <x v="52"/>
    <n v="10114.950000000001"/>
  </r>
  <r>
    <n v="100000276"/>
    <s v="Brandon"/>
    <s v="Miller"/>
    <x v="0"/>
    <x v="5"/>
    <x v="0"/>
    <s v="Blue Collar"/>
    <x v="52"/>
    <n v="14034.12"/>
  </r>
  <r>
    <n v="100000277"/>
    <s v="Maria"/>
    <s v="Arnold"/>
    <x v="1"/>
    <x v="14"/>
    <x v="0"/>
    <s v="White Collar"/>
    <x v="52"/>
    <n v="57574.38"/>
  </r>
  <r>
    <n v="100000278"/>
    <s v="Irene"/>
    <s v="Vaughan"/>
    <x v="1"/>
    <x v="5"/>
    <x v="0"/>
    <s v="Blue Collar"/>
    <x v="52"/>
    <n v="71596.179999999993"/>
  </r>
  <r>
    <n v="100000279"/>
    <s v="Blake"/>
    <s v="Alsop"/>
    <x v="0"/>
    <x v="8"/>
    <x v="0"/>
    <s v="White Collar"/>
    <x v="52"/>
    <n v="32187.62"/>
  </r>
  <r>
    <n v="100000280"/>
    <s v="Stephanie"/>
    <s v="Ogden"/>
    <x v="1"/>
    <x v="13"/>
    <x v="0"/>
    <s v="Other"/>
    <x v="52"/>
    <n v="717.13"/>
  </r>
  <r>
    <n v="100000281"/>
    <s v="Sam"/>
    <s v="Parsons"/>
    <x v="0"/>
    <x v="14"/>
    <x v="0"/>
    <s v="Blue Collar"/>
    <x v="52"/>
    <n v="103875.81"/>
  </r>
  <r>
    <n v="100000282"/>
    <s v="Theresa"/>
    <s v="Marshall"/>
    <x v="1"/>
    <x v="30"/>
    <x v="0"/>
    <s v="White Collar"/>
    <x v="53"/>
    <n v="70403.649999999994"/>
  </r>
  <r>
    <n v="100000283"/>
    <s v="Stephanie"/>
    <s v="Smith"/>
    <x v="1"/>
    <x v="1"/>
    <x v="0"/>
    <s v="White Collar"/>
    <x v="53"/>
    <n v="12559.26"/>
  </r>
  <r>
    <n v="100000284"/>
    <s v="Lily"/>
    <s v="Hughes"/>
    <x v="1"/>
    <x v="5"/>
    <x v="0"/>
    <s v="White Collar"/>
    <x v="53"/>
    <n v="7136.47"/>
  </r>
  <r>
    <n v="100000285"/>
    <s v="Matt"/>
    <s v="Black"/>
    <x v="0"/>
    <x v="1"/>
    <x v="0"/>
    <s v="White Collar"/>
    <x v="54"/>
    <n v="51792.13"/>
  </r>
  <r>
    <n v="100000286"/>
    <s v="Ruth"/>
    <s v="Lambert"/>
    <x v="1"/>
    <x v="13"/>
    <x v="0"/>
    <s v="Other"/>
    <x v="54"/>
    <n v="96203.49"/>
  </r>
  <r>
    <n v="100000287"/>
    <s v="Peter"/>
    <s v="Lyman"/>
    <x v="0"/>
    <x v="16"/>
    <x v="0"/>
    <s v="White Collar"/>
    <x v="54"/>
    <n v="64731.46"/>
  </r>
  <r>
    <n v="100000288"/>
    <s v="Liam"/>
    <s v="King"/>
    <x v="0"/>
    <x v="14"/>
    <x v="0"/>
    <s v="White Collar"/>
    <x v="54"/>
    <n v="37857"/>
  </r>
  <r>
    <n v="100000289"/>
    <s v="Olivia"/>
    <s v="Peake"/>
    <x v="1"/>
    <x v="3"/>
    <x v="0"/>
    <s v="White Collar"/>
    <x v="55"/>
    <n v="51470.09"/>
  </r>
  <r>
    <n v="100000290"/>
    <s v="Joe"/>
    <s v="May"/>
    <x v="0"/>
    <x v="9"/>
    <x v="0"/>
    <s v="White Collar"/>
    <x v="55"/>
    <n v="70357.61"/>
  </r>
  <r>
    <n v="100000291"/>
    <s v="Wanda"/>
    <s v="Quinn"/>
    <x v="1"/>
    <x v="0"/>
    <x v="0"/>
    <s v="White Collar"/>
    <x v="55"/>
    <n v="5470.79"/>
  </r>
  <r>
    <n v="100000292"/>
    <s v="Karen"/>
    <s v="Glover"/>
    <x v="1"/>
    <x v="9"/>
    <x v="0"/>
    <s v="White Collar"/>
    <x v="55"/>
    <n v="25248.37"/>
  </r>
  <r>
    <n v="100000293"/>
    <s v="Nathan"/>
    <s v="Bond"/>
    <x v="0"/>
    <x v="34"/>
    <x v="0"/>
    <s v="Other"/>
    <x v="55"/>
    <n v="65116.98"/>
  </r>
  <r>
    <n v="100000294"/>
    <s v="Brandon"/>
    <s v="Morgan"/>
    <x v="0"/>
    <x v="24"/>
    <x v="0"/>
    <s v="Other"/>
    <x v="55"/>
    <n v="23668.42"/>
  </r>
  <r>
    <n v="200000295"/>
    <s v="Tim"/>
    <s v="Thomson"/>
    <x v="0"/>
    <x v="34"/>
    <x v="3"/>
    <s v="Blue Collar"/>
    <x v="55"/>
    <n v="16423.75"/>
  </r>
  <r>
    <n v="100000296"/>
    <s v="Penelope"/>
    <s v="Clarkson"/>
    <x v="1"/>
    <x v="13"/>
    <x v="0"/>
    <s v="White Collar"/>
    <x v="56"/>
    <n v="50533.23"/>
  </r>
  <r>
    <n v="100000297"/>
    <s v="Sophie"/>
    <s v="Thomson"/>
    <x v="1"/>
    <x v="7"/>
    <x v="0"/>
    <s v="White Collar"/>
    <x v="56"/>
    <n v="152.91"/>
  </r>
  <r>
    <n v="100000298"/>
    <s v="Anna"/>
    <s v="James"/>
    <x v="1"/>
    <x v="21"/>
    <x v="0"/>
    <s v="White Collar"/>
    <x v="56"/>
    <n v="14758.38"/>
  </r>
  <r>
    <n v="100000299"/>
    <s v="Zoe"/>
    <s v="Johnston"/>
    <x v="1"/>
    <x v="9"/>
    <x v="0"/>
    <s v="White Collar"/>
    <x v="56"/>
    <n v="14730.54"/>
  </r>
  <r>
    <n v="200000300"/>
    <s v="Owen"/>
    <s v="Smith"/>
    <x v="0"/>
    <x v="27"/>
    <x v="3"/>
    <s v="Blue Collar"/>
    <x v="56"/>
    <n v="64309.53"/>
  </r>
  <r>
    <n v="200000301"/>
    <s v="Joseph"/>
    <s v="Robertson"/>
    <x v="0"/>
    <x v="16"/>
    <x v="3"/>
    <s v="Blue Collar"/>
    <x v="56"/>
    <n v="99190.79"/>
  </r>
  <r>
    <n v="300000302"/>
    <s v="William"/>
    <s v="Wilkins"/>
    <x v="0"/>
    <x v="5"/>
    <x v="2"/>
    <s v="Blue Collar"/>
    <x v="56"/>
    <n v="13597.9"/>
  </r>
  <r>
    <n v="100000303"/>
    <s v="Brian"/>
    <s v="Russell"/>
    <x v="0"/>
    <x v="8"/>
    <x v="0"/>
    <s v="Blue Collar"/>
    <x v="57"/>
    <n v="122903.78"/>
  </r>
  <r>
    <n v="100000304"/>
    <s v="Andrea"/>
    <s v="Jackson"/>
    <x v="1"/>
    <x v="8"/>
    <x v="0"/>
    <s v="White Collar"/>
    <x v="57"/>
    <n v="30474.69"/>
  </r>
  <r>
    <n v="100000305"/>
    <s v="Kevin"/>
    <s v="Springer"/>
    <x v="0"/>
    <x v="30"/>
    <x v="0"/>
    <s v="White Collar"/>
    <x v="57"/>
    <n v="8802.24"/>
  </r>
  <r>
    <n v="100000306"/>
    <s v="Phil"/>
    <s v="Grant"/>
    <x v="0"/>
    <x v="3"/>
    <x v="0"/>
    <s v="White Collar"/>
    <x v="57"/>
    <n v="60487.89"/>
  </r>
  <r>
    <n v="100000307"/>
    <s v="Adrian"/>
    <s v="Hill"/>
    <x v="0"/>
    <x v="7"/>
    <x v="0"/>
    <s v="Blue Collar"/>
    <x v="57"/>
    <n v="2457.4"/>
  </r>
  <r>
    <n v="100000308"/>
    <s v="John"/>
    <s v="Campbell"/>
    <x v="0"/>
    <x v="32"/>
    <x v="0"/>
    <s v="White Collar"/>
    <x v="57"/>
    <n v="33311.31"/>
  </r>
  <r>
    <n v="100000309"/>
    <s v="Alexander"/>
    <s v="Edmunds"/>
    <x v="0"/>
    <x v="5"/>
    <x v="0"/>
    <s v="White Collar"/>
    <x v="57"/>
    <n v="21296.27"/>
  </r>
  <r>
    <n v="100000310"/>
    <s v="Felicity"/>
    <s v="Hodges"/>
    <x v="1"/>
    <x v="7"/>
    <x v="0"/>
    <s v="White Collar"/>
    <x v="57"/>
    <n v="60876.78"/>
  </r>
  <r>
    <n v="100000311"/>
    <s v="Lucas"/>
    <s v="Avery"/>
    <x v="0"/>
    <x v="5"/>
    <x v="0"/>
    <s v="Blue Collar"/>
    <x v="58"/>
    <n v="26572.16"/>
  </r>
  <r>
    <n v="100000312"/>
    <s v="Blake"/>
    <s v="Hudson"/>
    <x v="0"/>
    <x v="34"/>
    <x v="0"/>
    <s v="Blue Collar"/>
    <x v="58"/>
    <n v="21150.98"/>
  </r>
  <r>
    <n v="100000313"/>
    <s v="Jessica"/>
    <s v="Piper"/>
    <x v="1"/>
    <x v="9"/>
    <x v="0"/>
    <s v="White Collar"/>
    <x v="59"/>
    <n v="65947.69"/>
  </r>
  <r>
    <n v="100000314"/>
    <s v="Nicola"/>
    <s v="Clarkson"/>
    <x v="1"/>
    <x v="13"/>
    <x v="0"/>
    <s v="White Collar"/>
    <x v="59"/>
    <n v="86849.17"/>
  </r>
  <r>
    <n v="100000315"/>
    <s v="Peter"/>
    <s v="Metcalfe"/>
    <x v="0"/>
    <x v="24"/>
    <x v="0"/>
    <s v="Other"/>
    <x v="59"/>
    <n v="7336.33"/>
  </r>
  <r>
    <n v="100000316"/>
    <s v="Mary"/>
    <s v="Carr"/>
    <x v="1"/>
    <x v="14"/>
    <x v="0"/>
    <s v="White Collar"/>
    <x v="59"/>
    <n v="5611.36"/>
  </r>
  <r>
    <n v="100000317"/>
    <s v="Liam"/>
    <s v="Stewart"/>
    <x v="0"/>
    <x v="22"/>
    <x v="0"/>
    <s v="White Collar"/>
    <x v="59"/>
    <n v="43790.83"/>
  </r>
  <r>
    <n v="100000318"/>
    <s v="Anna"/>
    <s v="MacLeod"/>
    <x v="1"/>
    <x v="32"/>
    <x v="0"/>
    <s v="Blue Collar"/>
    <x v="60"/>
    <n v="1537.23"/>
  </r>
  <r>
    <n v="100000319"/>
    <s v="John"/>
    <s v="Hemmings"/>
    <x v="0"/>
    <x v="5"/>
    <x v="0"/>
    <s v="White Collar"/>
    <x v="60"/>
    <n v="23015.54"/>
  </r>
  <r>
    <n v="100000320"/>
    <s v="Ryan"/>
    <s v="Morrison"/>
    <x v="0"/>
    <x v="1"/>
    <x v="0"/>
    <s v="White Collar"/>
    <x v="60"/>
    <n v="42984.36"/>
  </r>
  <r>
    <n v="100000321"/>
    <s v="Adam"/>
    <s v="Sharp"/>
    <x v="0"/>
    <x v="32"/>
    <x v="0"/>
    <s v="Blue Collar"/>
    <x v="60"/>
    <n v="67809.289999999994"/>
  </r>
  <r>
    <n v="100000322"/>
    <s v="Alison"/>
    <s v="Lambert"/>
    <x v="1"/>
    <x v="5"/>
    <x v="0"/>
    <s v="Other"/>
    <x v="60"/>
    <n v="35117.339999999997"/>
  </r>
  <r>
    <n v="100000323"/>
    <s v="Joanne"/>
    <s v="Fisher"/>
    <x v="1"/>
    <x v="0"/>
    <x v="0"/>
    <s v="White Collar"/>
    <x v="60"/>
    <n v="45045.19"/>
  </r>
  <r>
    <n v="100000324"/>
    <s v="David"/>
    <s v="Newman"/>
    <x v="0"/>
    <x v="41"/>
    <x v="0"/>
    <s v="White Collar"/>
    <x v="60"/>
    <n v="33113.21"/>
  </r>
  <r>
    <n v="100000325"/>
    <s v="Boris"/>
    <s v="Walker"/>
    <x v="0"/>
    <x v="22"/>
    <x v="0"/>
    <s v="Other"/>
    <x v="61"/>
    <n v="41080.730000000003"/>
  </r>
  <r>
    <n v="100000326"/>
    <s v="Felicity"/>
    <s v="North"/>
    <x v="1"/>
    <x v="8"/>
    <x v="0"/>
    <s v="White Collar"/>
    <x v="61"/>
    <n v="71637.039999999994"/>
  </r>
  <r>
    <n v="100000327"/>
    <s v="Dominic"/>
    <s v="Miller"/>
    <x v="0"/>
    <x v="9"/>
    <x v="0"/>
    <s v="Other"/>
    <x v="61"/>
    <n v="7463.59"/>
  </r>
  <r>
    <n v="100000328"/>
    <s v="Megan"/>
    <s v="Tucker"/>
    <x v="1"/>
    <x v="1"/>
    <x v="0"/>
    <s v="White Collar"/>
    <x v="61"/>
    <n v="2016.84"/>
  </r>
  <r>
    <n v="100000329"/>
    <s v="Deirdre"/>
    <s v="Coleman"/>
    <x v="1"/>
    <x v="14"/>
    <x v="0"/>
    <s v="White Collar"/>
    <x v="61"/>
    <n v="12405.07"/>
  </r>
  <r>
    <n v="100000330"/>
    <s v="Wendy"/>
    <s v="Turner"/>
    <x v="1"/>
    <x v="13"/>
    <x v="0"/>
    <s v="White Collar"/>
    <x v="61"/>
    <n v="19933.38"/>
  </r>
  <r>
    <n v="100000331"/>
    <s v="Jonathan"/>
    <s v="Manning"/>
    <x v="0"/>
    <x v="31"/>
    <x v="0"/>
    <s v="White Collar"/>
    <x v="61"/>
    <n v="50015.54"/>
  </r>
  <r>
    <n v="100000332"/>
    <s v="Carolyn"/>
    <s v="Churchill"/>
    <x v="1"/>
    <x v="1"/>
    <x v="0"/>
    <s v="White Collar"/>
    <x v="61"/>
    <n v="24709.89"/>
  </r>
  <r>
    <n v="200000333"/>
    <s v="David"/>
    <s v="Morrison"/>
    <x v="0"/>
    <x v="41"/>
    <x v="3"/>
    <s v="Blue Collar"/>
    <x v="61"/>
    <n v="15859.07"/>
  </r>
  <r>
    <n v="100000334"/>
    <s v="Carolyn"/>
    <s v="Roberts"/>
    <x v="1"/>
    <x v="7"/>
    <x v="0"/>
    <s v="White Collar"/>
    <x v="62"/>
    <n v="41128.519999999997"/>
  </r>
  <r>
    <n v="100000335"/>
    <s v="Karen"/>
    <s v="May"/>
    <x v="1"/>
    <x v="8"/>
    <x v="0"/>
    <s v="Blue Collar"/>
    <x v="62"/>
    <n v="7583.72"/>
  </r>
  <r>
    <n v="100000336"/>
    <s v="Tracey"/>
    <s v="Edmunds"/>
    <x v="1"/>
    <x v="12"/>
    <x v="0"/>
    <s v="White Collar"/>
    <x v="62"/>
    <n v="25132.97"/>
  </r>
  <r>
    <n v="100000337"/>
    <s v="Tracey"/>
    <s v="Langdon"/>
    <x v="1"/>
    <x v="26"/>
    <x v="0"/>
    <s v="White Collar"/>
    <x v="62"/>
    <n v="70526.58"/>
  </r>
  <r>
    <n v="100000338"/>
    <s v="Jake"/>
    <s v="Dyer"/>
    <x v="0"/>
    <x v="8"/>
    <x v="0"/>
    <s v="White Collar"/>
    <x v="62"/>
    <n v="31273.66"/>
  </r>
  <r>
    <n v="200000339"/>
    <s v="Theresa"/>
    <s v="Slater"/>
    <x v="1"/>
    <x v="15"/>
    <x v="3"/>
    <s v="Other"/>
    <x v="62"/>
    <n v="33008.01"/>
  </r>
  <r>
    <n v="300000340"/>
    <s v="Rebecca"/>
    <s v="Nash"/>
    <x v="1"/>
    <x v="37"/>
    <x v="2"/>
    <s v="White Collar"/>
    <x v="62"/>
    <n v="1488.04"/>
  </r>
  <r>
    <n v="100000341"/>
    <s v="Jasmine"/>
    <s v="Greene"/>
    <x v="1"/>
    <x v="30"/>
    <x v="0"/>
    <s v="White Collar"/>
    <x v="63"/>
    <n v="4507.91"/>
  </r>
  <r>
    <n v="100000342"/>
    <s v="Christian"/>
    <s v="Jackson"/>
    <x v="0"/>
    <x v="4"/>
    <x v="0"/>
    <s v="White Collar"/>
    <x v="63"/>
    <n v="18433.59"/>
  </r>
  <r>
    <n v="100000343"/>
    <s v="Eric"/>
    <s v="Vance"/>
    <x v="0"/>
    <x v="7"/>
    <x v="0"/>
    <s v="White Collar"/>
    <x v="63"/>
    <n v="30907.61"/>
  </r>
  <r>
    <n v="100000344"/>
    <s v="Anna"/>
    <s v="Miller"/>
    <x v="1"/>
    <x v="22"/>
    <x v="0"/>
    <s v="White Collar"/>
    <x v="63"/>
    <n v="58807.73"/>
  </r>
  <r>
    <n v="100000345"/>
    <s v="Benjamin"/>
    <s v="Ince"/>
    <x v="0"/>
    <x v="12"/>
    <x v="0"/>
    <s v="White Collar"/>
    <x v="63"/>
    <n v="10174.700000000001"/>
  </r>
  <r>
    <n v="100000346"/>
    <s v="Joseph"/>
    <s v="Buckland"/>
    <x v="0"/>
    <x v="13"/>
    <x v="0"/>
    <s v="White Collar"/>
    <x v="64"/>
    <n v="20570.41"/>
  </r>
  <r>
    <n v="200000347"/>
    <s v="Jake"/>
    <s v="Manning"/>
    <x v="0"/>
    <x v="39"/>
    <x v="3"/>
    <s v="Other"/>
    <x v="64"/>
    <n v="70950.09"/>
  </r>
  <r>
    <n v="200000348"/>
    <s v="Brandon"/>
    <s v="Anderson"/>
    <x v="0"/>
    <x v="35"/>
    <x v="3"/>
    <s v="Other"/>
    <x v="64"/>
    <n v="27842.09"/>
  </r>
  <r>
    <n v="200000349"/>
    <s v="Cameron"/>
    <s v="Duncan"/>
    <x v="0"/>
    <x v="18"/>
    <x v="3"/>
    <s v="Blue Collar"/>
    <x v="64"/>
    <n v="60036.51"/>
  </r>
  <r>
    <n v="200000350"/>
    <s v="Isaac"/>
    <s v="Kelly"/>
    <x v="0"/>
    <x v="33"/>
    <x v="3"/>
    <s v="Blue Collar"/>
    <x v="64"/>
    <n v="31920.69"/>
  </r>
  <r>
    <n v="300000351"/>
    <s v="Nicholas"/>
    <s v="James"/>
    <x v="0"/>
    <x v="4"/>
    <x v="2"/>
    <s v="Blue Collar"/>
    <x v="64"/>
    <n v="48457.2"/>
  </r>
  <r>
    <n v="200000352"/>
    <s v="Piers"/>
    <s v="Harris"/>
    <x v="0"/>
    <x v="35"/>
    <x v="3"/>
    <s v="White Collar"/>
    <x v="65"/>
    <n v="90573.15"/>
  </r>
  <r>
    <n v="200000353"/>
    <s v="Gordon"/>
    <s v="Ellison"/>
    <x v="0"/>
    <x v="15"/>
    <x v="3"/>
    <s v="Blue Collar"/>
    <x v="65"/>
    <n v="6416.8"/>
  </r>
  <r>
    <n v="200000354"/>
    <s v="Ian"/>
    <s v="Kerr"/>
    <x v="0"/>
    <x v="8"/>
    <x v="3"/>
    <s v="Other"/>
    <x v="65"/>
    <n v="13414.22"/>
  </r>
  <r>
    <n v="200000355"/>
    <s v="Sebastian"/>
    <s v="Welch"/>
    <x v="0"/>
    <x v="2"/>
    <x v="3"/>
    <s v="Blue Collar"/>
    <x v="65"/>
    <n v="10950.36"/>
  </r>
  <r>
    <n v="200000356"/>
    <s v="Richard"/>
    <s v="Hamilton"/>
    <x v="0"/>
    <x v="8"/>
    <x v="3"/>
    <s v="Blue Collar"/>
    <x v="65"/>
    <n v="17740.509999999998"/>
  </r>
  <r>
    <n v="300000357"/>
    <s v="Mary"/>
    <s v="Reid"/>
    <x v="1"/>
    <x v="24"/>
    <x v="2"/>
    <s v="Other"/>
    <x v="65"/>
    <n v="18106.22"/>
  </r>
  <r>
    <n v="300000358"/>
    <s v="Simon"/>
    <s v="Morrison"/>
    <x v="0"/>
    <x v="38"/>
    <x v="2"/>
    <s v="Blue Collar"/>
    <x v="65"/>
    <n v="6729.3"/>
  </r>
  <r>
    <n v="400000359"/>
    <s v="Gabrielle"/>
    <s v="MacDonald"/>
    <x v="1"/>
    <x v="44"/>
    <x v="1"/>
    <s v="Other"/>
    <x v="65"/>
    <n v="65798.399999999994"/>
  </r>
  <r>
    <n v="100000360"/>
    <s v="Emma"/>
    <s v="Fisher"/>
    <x v="1"/>
    <x v="31"/>
    <x v="0"/>
    <s v="White Collar"/>
    <x v="66"/>
    <n v="8118.3"/>
  </r>
  <r>
    <n v="200000361"/>
    <s v="Charles"/>
    <s v="Tucker"/>
    <x v="0"/>
    <x v="34"/>
    <x v="3"/>
    <s v="Blue Collar"/>
    <x v="66"/>
    <n v="68256.88"/>
  </r>
  <r>
    <n v="200000362"/>
    <s v="Joshua"/>
    <s v="Underwood"/>
    <x v="0"/>
    <x v="17"/>
    <x v="3"/>
    <s v="White Collar"/>
    <x v="66"/>
    <n v="107185.54"/>
  </r>
  <r>
    <n v="200000363"/>
    <s v="Brandon"/>
    <s v="Johnston"/>
    <x v="0"/>
    <x v="34"/>
    <x v="3"/>
    <s v="Blue Collar"/>
    <x v="66"/>
    <n v="24064.3"/>
  </r>
  <r>
    <n v="300000364"/>
    <s v="Katherine"/>
    <s v="Howard"/>
    <x v="1"/>
    <x v="1"/>
    <x v="2"/>
    <s v="White Collar"/>
    <x v="66"/>
    <n v="5654.34"/>
  </r>
  <r>
    <n v="300000365"/>
    <s v="Dorothy"/>
    <s v="Butler"/>
    <x v="1"/>
    <x v="38"/>
    <x v="2"/>
    <s v="Other"/>
    <x v="66"/>
    <n v="65204.55"/>
  </r>
  <r>
    <n v="300000366"/>
    <s v="Dorothy"/>
    <s v="Paige"/>
    <x v="1"/>
    <x v="22"/>
    <x v="2"/>
    <s v="White Collar"/>
    <x v="66"/>
    <n v="17495.5"/>
  </r>
  <r>
    <n v="300000367"/>
    <s v="Karen"/>
    <s v="Gray"/>
    <x v="1"/>
    <x v="3"/>
    <x v="2"/>
    <s v="White Collar"/>
    <x v="66"/>
    <n v="18897.91"/>
  </r>
  <r>
    <n v="400000368"/>
    <s v="Olivia"/>
    <s v="Simpson"/>
    <x v="1"/>
    <x v="13"/>
    <x v="1"/>
    <s v="Other"/>
    <x v="66"/>
    <n v="62299.63"/>
  </r>
  <r>
    <n v="100000369"/>
    <s v="Joan"/>
    <s v="Quinn"/>
    <x v="1"/>
    <x v="4"/>
    <x v="0"/>
    <s v="White Collar"/>
    <x v="67"/>
    <n v="40010.06"/>
  </r>
  <r>
    <n v="200000370"/>
    <s v="Joshua"/>
    <s v="Bond"/>
    <x v="0"/>
    <x v="45"/>
    <x v="3"/>
    <s v="Other"/>
    <x v="67"/>
    <n v="53342.1"/>
  </r>
  <r>
    <n v="200000371"/>
    <s v="Alan"/>
    <s v="Kelly"/>
    <x v="0"/>
    <x v="31"/>
    <x v="3"/>
    <s v="Other"/>
    <x v="67"/>
    <n v="6288.73"/>
  </r>
  <r>
    <n v="200000372"/>
    <s v="Thomas"/>
    <s v="Martin"/>
    <x v="0"/>
    <x v="41"/>
    <x v="3"/>
    <s v="Blue Collar"/>
    <x v="67"/>
    <n v="20205.919999999998"/>
  </r>
  <r>
    <n v="200000373"/>
    <s v="Lucas"/>
    <s v="Gill"/>
    <x v="0"/>
    <x v="10"/>
    <x v="3"/>
    <s v="Blue Collar"/>
    <x v="67"/>
    <n v="16549.43"/>
  </r>
  <r>
    <n v="300000374"/>
    <s v="John"/>
    <s v="Underwood"/>
    <x v="0"/>
    <x v="29"/>
    <x v="2"/>
    <s v="Blue Collar"/>
    <x v="67"/>
    <n v="94786.37"/>
  </r>
  <r>
    <n v="300000375"/>
    <s v="Molly"/>
    <s v="Black"/>
    <x v="1"/>
    <x v="31"/>
    <x v="2"/>
    <s v="Other"/>
    <x v="67"/>
    <n v="47772.44"/>
  </r>
  <r>
    <n v="400000376"/>
    <s v="Megan"/>
    <s v="Forsyth"/>
    <x v="1"/>
    <x v="38"/>
    <x v="1"/>
    <s v="Other"/>
    <x v="67"/>
    <n v="44349.72"/>
  </r>
  <r>
    <n v="100000377"/>
    <s v="Samantha"/>
    <s v="Knox"/>
    <x v="1"/>
    <x v="25"/>
    <x v="0"/>
    <s v="Other"/>
    <x v="68"/>
    <n v="9119.52"/>
  </r>
  <r>
    <n v="100000378"/>
    <s v="Harry"/>
    <s v="Manning"/>
    <x v="0"/>
    <x v="43"/>
    <x v="0"/>
    <s v="White Collar"/>
    <x v="68"/>
    <n v="311.26"/>
  </r>
  <r>
    <n v="100000379"/>
    <s v="Melanie"/>
    <s v="Henderson"/>
    <x v="1"/>
    <x v="4"/>
    <x v="0"/>
    <s v="Other"/>
    <x v="68"/>
    <n v="19744.490000000002"/>
  </r>
  <r>
    <n v="100000380"/>
    <s v="Piers"/>
    <s v="Walker"/>
    <x v="0"/>
    <x v="10"/>
    <x v="0"/>
    <s v="White Collar"/>
    <x v="68"/>
    <n v="48712.33"/>
  </r>
  <r>
    <n v="100000381"/>
    <s v="Kimberly"/>
    <s v="Bond"/>
    <x v="1"/>
    <x v="16"/>
    <x v="0"/>
    <s v="White Collar"/>
    <x v="68"/>
    <n v="13162.58"/>
  </r>
  <r>
    <n v="100000382"/>
    <s v="Anthony"/>
    <s v="Chapman"/>
    <x v="0"/>
    <x v="34"/>
    <x v="0"/>
    <s v="Other"/>
    <x v="68"/>
    <n v="53204.35"/>
  </r>
  <r>
    <n v="100000383"/>
    <s v="Jasmine"/>
    <s v="Oliver"/>
    <x v="1"/>
    <x v="3"/>
    <x v="0"/>
    <s v="White Collar"/>
    <x v="68"/>
    <n v="67428.149999999994"/>
  </r>
  <r>
    <n v="200000384"/>
    <s v="Bella"/>
    <s v="Bailey"/>
    <x v="1"/>
    <x v="8"/>
    <x v="3"/>
    <s v="Other"/>
    <x v="68"/>
    <n v="12088.72"/>
  </r>
  <r>
    <n v="200000385"/>
    <s v="Joe"/>
    <s v="Parsons"/>
    <x v="0"/>
    <x v="16"/>
    <x v="3"/>
    <s v="Blue Collar"/>
    <x v="68"/>
    <n v="28710.54"/>
  </r>
  <r>
    <n v="200000386"/>
    <s v="Edward"/>
    <s v="Marshall"/>
    <x v="0"/>
    <x v="35"/>
    <x v="3"/>
    <s v="Other"/>
    <x v="68"/>
    <n v="36923.01"/>
  </r>
  <r>
    <n v="200000387"/>
    <s v="Christian"/>
    <s v="Blake"/>
    <x v="0"/>
    <x v="39"/>
    <x v="3"/>
    <s v="Blue Collar"/>
    <x v="68"/>
    <n v="40540.01"/>
  </r>
  <r>
    <n v="200000388"/>
    <s v="Gavin"/>
    <s v="Sanderson"/>
    <x v="0"/>
    <x v="15"/>
    <x v="3"/>
    <s v="Blue Collar"/>
    <x v="68"/>
    <n v="23001.06"/>
  </r>
  <r>
    <n v="200000389"/>
    <s v="Leonard"/>
    <s v="Thomson"/>
    <x v="0"/>
    <x v="4"/>
    <x v="3"/>
    <s v="Blue Collar"/>
    <x v="68"/>
    <n v="11418.92"/>
  </r>
  <r>
    <n v="200000390"/>
    <s v="Joseph"/>
    <s v="Henderson"/>
    <x v="0"/>
    <x v="2"/>
    <x v="3"/>
    <s v="Blue Collar"/>
    <x v="68"/>
    <n v="16431.169999999998"/>
  </r>
  <r>
    <n v="200000391"/>
    <s v="Gavin"/>
    <s v="Berry"/>
    <x v="0"/>
    <x v="33"/>
    <x v="3"/>
    <s v="Blue Collar"/>
    <x v="68"/>
    <n v="56557.11"/>
  </r>
  <r>
    <n v="300000392"/>
    <s v="Yvonne"/>
    <s v="Piper"/>
    <x v="1"/>
    <x v="31"/>
    <x v="2"/>
    <s v="Other"/>
    <x v="68"/>
    <n v="25290.080000000002"/>
  </r>
  <r>
    <n v="300000393"/>
    <s v="Lily"/>
    <s v="Lyman"/>
    <x v="1"/>
    <x v="1"/>
    <x v="2"/>
    <s v="Other"/>
    <x v="68"/>
    <n v="109225.68"/>
  </r>
  <r>
    <n v="300000394"/>
    <s v="Julia"/>
    <s v="Scott"/>
    <x v="1"/>
    <x v="8"/>
    <x v="2"/>
    <s v="Blue Collar"/>
    <x v="68"/>
    <n v="41572.1"/>
  </r>
  <r>
    <n v="300000395"/>
    <s v="Gavin"/>
    <s v="Oliver"/>
    <x v="0"/>
    <x v="3"/>
    <x v="2"/>
    <s v="Other"/>
    <x v="68"/>
    <n v="4820.58"/>
  </r>
  <r>
    <n v="400000396"/>
    <s v="Fiona"/>
    <s v="Buckland"/>
    <x v="1"/>
    <x v="3"/>
    <x v="1"/>
    <s v="Blue Collar"/>
    <x v="68"/>
    <n v="23059.56"/>
  </r>
  <r>
    <n v="400000397"/>
    <s v="Madeleine"/>
    <s v="Kerr"/>
    <x v="1"/>
    <x v="12"/>
    <x v="1"/>
    <s v="Other"/>
    <x v="68"/>
    <n v="61911.69"/>
  </r>
  <r>
    <n v="400000398"/>
    <s v="Nicola"/>
    <s v="Ferguson"/>
    <x v="1"/>
    <x v="14"/>
    <x v="1"/>
    <s v="Other"/>
    <x v="68"/>
    <n v="36603.019999999997"/>
  </r>
  <r>
    <n v="400000399"/>
    <s v="Amy"/>
    <s v="Miller"/>
    <x v="1"/>
    <x v="36"/>
    <x v="1"/>
    <s v="Other"/>
    <x v="68"/>
    <n v="20060.099999999999"/>
  </r>
  <r>
    <n v="100000400"/>
    <s v="Jacob"/>
    <s v="Fisher"/>
    <x v="0"/>
    <x v="22"/>
    <x v="0"/>
    <s v="White Collar"/>
    <x v="69"/>
    <n v="2423.46"/>
  </r>
  <r>
    <n v="100000401"/>
    <s v="Leonard"/>
    <s v="Paterson"/>
    <x v="0"/>
    <x v="16"/>
    <x v="0"/>
    <s v="White Collar"/>
    <x v="69"/>
    <n v="51459.45"/>
  </r>
  <r>
    <n v="100000402"/>
    <s v="Kylie"/>
    <s v="McDonald"/>
    <x v="1"/>
    <x v="3"/>
    <x v="0"/>
    <s v="White Collar"/>
    <x v="69"/>
    <n v="13621.48"/>
  </r>
  <r>
    <n v="100000403"/>
    <s v="Ruth"/>
    <s v="Simpson"/>
    <x v="1"/>
    <x v="10"/>
    <x v="0"/>
    <s v="White Collar"/>
    <x v="69"/>
    <n v="84925.13"/>
  </r>
  <r>
    <n v="100000404"/>
    <s v="Stewart"/>
    <s v="Bell"/>
    <x v="0"/>
    <x v="4"/>
    <x v="0"/>
    <s v="White Collar"/>
    <x v="69"/>
    <n v="120732.35"/>
  </r>
  <r>
    <n v="100000405"/>
    <s v="Cameron"/>
    <s v="Blake"/>
    <x v="0"/>
    <x v="12"/>
    <x v="0"/>
    <s v="White Collar"/>
    <x v="69"/>
    <n v="23722.37"/>
  </r>
  <r>
    <n v="200000406"/>
    <s v="Ian"/>
    <s v="May"/>
    <x v="0"/>
    <x v="10"/>
    <x v="3"/>
    <s v="Blue Collar"/>
    <x v="69"/>
    <n v="39343.24"/>
  </r>
  <r>
    <n v="200000407"/>
    <s v="Charles"/>
    <s v="Gibson"/>
    <x v="0"/>
    <x v="6"/>
    <x v="3"/>
    <s v="Other"/>
    <x v="69"/>
    <n v="23703.79"/>
  </r>
  <r>
    <n v="200000408"/>
    <s v="Blake"/>
    <s v="Churchill"/>
    <x v="0"/>
    <x v="18"/>
    <x v="3"/>
    <s v="Blue Collar"/>
    <x v="69"/>
    <n v="26811.22"/>
  </r>
  <r>
    <n v="300000409"/>
    <s v="Stewart"/>
    <s v="Scott"/>
    <x v="0"/>
    <x v="34"/>
    <x v="2"/>
    <s v="Other"/>
    <x v="69"/>
    <n v="19287.919999999998"/>
  </r>
  <r>
    <n v="300000410"/>
    <s v="Andrew"/>
    <s v="Grant"/>
    <x v="0"/>
    <x v="3"/>
    <x v="2"/>
    <s v="White Collar"/>
    <x v="69"/>
    <n v="50621.67"/>
  </r>
  <r>
    <n v="300000411"/>
    <s v="Edward"/>
    <s v="Dowd"/>
    <x v="0"/>
    <x v="4"/>
    <x v="2"/>
    <s v="White Collar"/>
    <x v="69"/>
    <n v="97120.48"/>
  </r>
  <r>
    <n v="100000412"/>
    <s v="Dan"/>
    <s v="Wright"/>
    <x v="0"/>
    <x v="43"/>
    <x v="0"/>
    <s v="White Collar"/>
    <x v="70"/>
    <n v="6507.7"/>
  </r>
  <r>
    <n v="100000413"/>
    <s v="Boris"/>
    <s v="Burgess"/>
    <x v="0"/>
    <x v="11"/>
    <x v="0"/>
    <s v="Blue Collar"/>
    <x v="70"/>
    <n v="38590.44"/>
  </r>
  <r>
    <n v="200000414"/>
    <s v="Sebastian"/>
    <s v="Langdon"/>
    <x v="0"/>
    <x v="34"/>
    <x v="3"/>
    <s v="Other"/>
    <x v="70"/>
    <n v="8313.86"/>
  </r>
  <r>
    <n v="200000415"/>
    <s v="Jake"/>
    <s v="Miller"/>
    <x v="0"/>
    <x v="34"/>
    <x v="3"/>
    <s v="Blue Collar"/>
    <x v="70"/>
    <n v="35076.06"/>
  </r>
  <r>
    <n v="200000416"/>
    <s v="Gordon"/>
    <s v="Lee"/>
    <x v="0"/>
    <x v="2"/>
    <x v="3"/>
    <s v="Blue Collar"/>
    <x v="70"/>
    <n v="64383.55"/>
  </r>
  <r>
    <n v="200000417"/>
    <s v="Andrew"/>
    <s v="Murray"/>
    <x v="0"/>
    <x v="14"/>
    <x v="3"/>
    <s v="Blue Collar"/>
    <x v="70"/>
    <n v="31821.23"/>
  </r>
  <r>
    <n v="300000418"/>
    <s v="Christian"/>
    <s v="McLean"/>
    <x v="0"/>
    <x v="31"/>
    <x v="2"/>
    <s v="White Collar"/>
    <x v="70"/>
    <n v="9667.85"/>
  </r>
  <r>
    <n v="400000419"/>
    <s v="Alison"/>
    <s v="Kerr"/>
    <x v="1"/>
    <x v="20"/>
    <x v="1"/>
    <s v="Other"/>
    <x v="70"/>
    <n v="1905.46"/>
  </r>
  <r>
    <n v="100000420"/>
    <s v="Samantha"/>
    <s v="Mackenzie"/>
    <x v="1"/>
    <x v="3"/>
    <x v="0"/>
    <s v="White Collar"/>
    <x v="71"/>
    <n v="4285.6000000000004"/>
  </r>
  <r>
    <n v="100000421"/>
    <s v="Kimberly"/>
    <s v="Wallace"/>
    <x v="1"/>
    <x v="5"/>
    <x v="0"/>
    <s v="Other"/>
    <x v="71"/>
    <n v="5357.39"/>
  </r>
  <r>
    <n v="100000422"/>
    <s v="Brian"/>
    <s v="Simpson"/>
    <x v="0"/>
    <x v="22"/>
    <x v="0"/>
    <s v="White Collar"/>
    <x v="71"/>
    <n v="8245.73"/>
  </r>
  <r>
    <n v="100000423"/>
    <s v="Wendy"/>
    <s v="Metcalfe"/>
    <x v="1"/>
    <x v="24"/>
    <x v="0"/>
    <s v="White Collar"/>
    <x v="71"/>
    <n v="60406.61"/>
  </r>
  <r>
    <n v="200000424"/>
    <s v="Keith"/>
    <s v="Ogden"/>
    <x v="0"/>
    <x v="27"/>
    <x v="3"/>
    <s v="Blue Collar"/>
    <x v="71"/>
    <n v="67540.820000000007"/>
  </r>
  <r>
    <n v="200000425"/>
    <s v="Joshua"/>
    <s v="Ince"/>
    <x v="0"/>
    <x v="34"/>
    <x v="3"/>
    <s v="Other"/>
    <x v="71"/>
    <n v="34870.839999999997"/>
  </r>
  <r>
    <n v="200000426"/>
    <s v="Andrew"/>
    <s v="Jackson"/>
    <x v="0"/>
    <x v="18"/>
    <x v="3"/>
    <s v="Blue Collar"/>
    <x v="71"/>
    <n v="40918.44"/>
  </r>
  <r>
    <n v="300000427"/>
    <s v="Dominic"/>
    <s v="Welch"/>
    <x v="0"/>
    <x v="11"/>
    <x v="2"/>
    <s v="White Collar"/>
    <x v="71"/>
    <n v="65526.26"/>
  </r>
  <r>
    <n v="300000428"/>
    <s v="Diana"/>
    <s v="Bower"/>
    <x v="1"/>
    <x v="25"/>
    <x v="2"/>
    <s v="White Collar"/>
    <x v="71"/>
    <n v="20738.669999999998"/>
  </r>
  <r>
    <n v="300000429"/>
    <s v="Trevor"/>
    <s v="Reid"/>
    <x v="0"/>
    <x v="14"/>
    <x v="2"/>
    <s v="Other"/>
    <x v="71"/>
    <n v="34401.949999999997"/>
  </r>
  <r>
    <n v="300000430"/>
    <s v="Amy"/>
    <s v="Welch"/>
    <x v="1"/>
    <x v="21"/>
    <x v="2"/>
    <s v="White Collar"/>
    <x v="71"/>
    <n v="20774.79"/>
  </r>
  <r>
    <n v="400000431"/>
    <s v="Jan"/>
    <s v="Avery"/>
    <x v="1"/>
    <x v="30"/>
    <x v="1"/>
    <s v="White Collar"/>
    <x v="71"/>
    <n v="743.29"/>
  </r>
  <r>
    <n v="400000432"/>
    <s v="Abigail"/>
    <s v="Poole"/>
    <x v="1"/>
    <x v="30"/>
    <x v="1"/>
    <s v="Other"/>
    <x v="71"/>
    <n v="4287.78"/>
  </r>
  <r>
    <n v="400000433"/>
    <s v="Rose"/>
    <s v="Robertson"/>
    <x v="1"/>
    <x v="24"/>
    <x v="1"/>
    <s v="White Collar"/>
    <x v="71"/>
    <n v="23871.79"/>
  </r>
  <r>
    <n v="400000434"/>
    <s v="Penelope"/>
    <s v="Paterson"/>
    <x v="1"/>
    <x v="24"/>
    <x v="1"/>
    <s v="Other"/>
    <x v="71"/>
    <n v="2437.23"/>
  </r>
  <r>
    <n v="100000435"/>
    <s v="Isaac"/>
    <s v="Rutherford"/>
    <x v="0"/>
    <x v="22"/>
    <x v="0"/>
    <s v="White Collar"/>
    <x v="72"/>
    <n v="15042.08"/>
  </r>
  <r>
    <n v="100000436"/>
    <s v="Bella"/>
    <s v="Hemmings"/>
    <x v="1"/>
    <x v="11"/>
    <x v="0"/>
    <s v="Other"/>
    <x v="72"/>
    <n v="77908.67"/>
  </r>
  <r>
    <n v="100000437"/>
    <s v="Sean"/>
    <s v="Sanderson"/>
    <x v="0"/>
    <x v="13"/>
    <x v="0"/>
    <s v="Blue Collar"/>
    <x v="72"/>
    <n v="6459.02"/>
  </r>
  <r>
    <n v="200000438"/>
    <s v="Colin"/>
    <s v="Howard"/>
    <x v="0"/>
    <x v="46"/>
    <x v="3"/>
    <s v="White Collar"/>
    <x v="72"/>
    <n v="1860.46"/>
  </r>
  <r>
    <n v="300000439"/>
    <s v="Tim"/>
    <s v="Miller"/>
    <x v="0"/>
    <x v="21"/>
    <x v="2"/>
    <s v="Blue Collar"/>
    <x v="72"/>
    <n v="3209.28"/>
  </r>
  <r>
    <n v="300000440"/>
    <s v="Sally"/>
    <s v="Mitchell"/>
    <x v="1"/>
    <x v="36"/>
    <x v="2"/>
    <s v="White Collar"/>
    <x v="72"/>
    <n v="32658.92"/>
  </r>
  <r>
    <n v="400000441"/>
    <s v="Amy"/>
    <s v="Murray"/>
    <x v="1"/>
    <x v="0"/>
    <x v="1"/>
    <s v="Blue Collar"/>
    <x v="72"/>
    <n v="60338.07"/>
  </r>
  <r>
    <n v="400000442"/>
    <s v="Dorothy"/>
    <s v="Duncan"/>
    <x v="1"/>
    <x v="7"/>
    <x v="1"/>
    <s v="Other"/>
    <x v="72"/>
    <n v="72810.899999999994"/>
  </r>
  <r>
    <n v="100000443"/>
    <s v="Justin"/>
    <s v="Hodges"/>
    <x v="0"/>
    <x v="24"/>
    <x v="0"/>
    <s v="White Collar"/>
    <x v="73"/>
    <n v="107287.71"/>
  </r>
  <r>
    <n v="100000444"/>
    <s v="Melanie"/>
    <s v="Nash"/>
    <x v="1"/>
    <x v="16"/>
    <x v="0"/>
    <s v="Blue Collar"/>
    <x v="73"/>
    <n v="18907.189999999999"/>
  </r>
  <r>
    <n v="100000445"/>
    <s v="Rose"/>
    <s v="Hodges"/>
    <x v="1"/>
    <x v="32"/>
    <x v="0"/>
    <s v="White Collar"/>
    <x v="73"/>
    <n v="44996.7"/>
  </r>
  <r>
    <n v="100000446"/>
    <s v="Christian"/>
    <s v="Abraham"/>
    <x v="0"/>
    <x v="14"/>
    <x v="0"/>
    <s v="White Collar"/>
    <x v="73"/>
    <n v="66791.820000000007"/>
  </r>
  <r>
    <n v="200000447"/>
    <s v="Neil"/>
    <s v="Coleman"/>
    <x v="0"/>
    <x v="7"/>
    <x v="3"/>
    <s v="Blue Collar"/>
    <x v="73"/>
    <n v="76071.149999999994"/>
  </r>
  <r>
    <n v="200000448"/>
    <s v="Evan"/>
    <s v="Hart"/>
    <x v="0"/>
    <x v="16"/>
    <x v="3"/>
    <s v="Blue Collar"/>
    <x v="73"/>
    <n v="21536.61"/>
  </r>
  <r>
    <n v="400000449"/>
    <s v="Edward"/>
    <s v="Buckland"/>
    <x v="0"/>
    <x v="5"/>
    <x v="1"/>
    <s v="White Collar"/>
    <x v="73"/>
    <n v="41273.449999999997"/>
  </r>
  <r>
    <n v="400000450"/>
    <s v="Jake"/>
    <s v="Cornish"/>
    <x v="0"/>
    <x v="10"/>
    <x v="1"/>
    <s v="Blue Collar"/>
    <x v="73"/>
    <n v="2838.91"/>
  </r>
  <r>
    <n v="100000451"/>
    <s v="Tracey"/>
    <s v="Thomson"/>
    <x v="1"/>
    <x v="12"/>
    <x v="0"/>
    <s v="Blue Collar"/>
    <x v="74"/>
    <n v="10303.92"/>
  </r>
  <r>
    <n v="100000452"/>
    <s v="Peter"/>
    <s v="Quinn"/>
    <x v="0"/>
    <x v="9"/>
    <x v="0"/>
    <s v="White Collar"/>
    <x v="74"/>
    <n v="15488.15"/>
  </r>
  <r>
    <n v="100000453"/>
    <s v="Kimberly"/>
    <s v="Clark"/>
    <x v="1"/>
    <x v="36"/>
    <x v="0"/>
    <s v="White Collar"/>
    <x v="74"/>
    <n v="17253.97"/>
  </r>
  <r>
    <n v="100000454"/>
    <s v="Edward"/>
    <s v="Hart"/>
    <x v="0"/>
    <x v="21"/>
    <x v="0"/>
    <s v="Other"/>
    <x v="74"/>
    <n v="22143.77"/>
  </r>
  <r>
    <n v="100000455"/>
    <s v="Eric"/>
    <s v="Henderson"/>
    <x v="0"/>
    <x v="22"/>
    <x v="0"/>
    <s v="Blue Collar"/>
    <x v="74"/>
    <n v="1760.36"/>
  </r>
  <r>
    <n v="100000456"/>
    <s v="Amanda"/>
    <s v="Ball"/>
    <x v="1"/>
    <x v="35"/>
    <x v="0"/>
    <s v="White Collar"/>
    <x v="74"/>
    <n v="28034.11"/>
  </r>
  <r>
    <n v="200000457"/>
    <s v="Samantha"/>
    <s v="Mackay"/>
    <x v="1"/>
    <x v="6"/>
    <x v="3"/>
    <s v="Blue Collar"/>
    <x v="74"/>
    <n v="18739.740000000002"/>
  </r>
  <r>
    <n v="200000458"/>
    <s v="Lucas"/>
    <s v="Tucker"/>
    <x v="0"/>
    <x v="23"/>
    <x v="3"/>
    <s v="Blue Collar"/>
    <x v="74"/>
    <n v="34640.400000000001"/>
  </r>
  <r>
    <n v="200000459"/>
    <s v="Charles"/>
    <s v="Brown"/>
    <x v="0"/>
    <x v="32"/>
    <x v="3"/>
    <s v="Other"/>
    <x v="74"/>
    <n v="57551.21"/>
  </r>
  <r>
    <n v="200000460"/>
    <s v="Olivia"/>
    <s v="Turner"/>
    <x v="1"/>
    <x v="41"/>
    <x v="3"/>
    <s v="Other"/>
    <x v="74"/>
    <n v="18720.84"/>
  </r>
  <r>
    <n v="200000461"/>
    <s v="Alan"/>
    <s v="Grant"/>
    <x v="0"/>
    <x v="17"/>
    <x v="3"/>
    <s v="White Collar"/>
    <x v="74"/>
    <n v="29971.21"/>
  </r>
  <r>
    <n v="200000462"/>
    <s v="Paul"/>
    <s v="Martin"/>
    <x v="0"/>
    <x v="17"/>
    <x v="3"/>
    <s v="Other"/>
    <x v="74"/>
    <n v="6967.51"/>
  </r>
  <r>
    <n v="200000463"/>
    <s v="Paul"/>
    <s v="Reid"/>
    <x v="0"/>
    <x v="2"/>
    <x v="3"/>
    <s v="Blue Collar"/>
    <x v="74"/>
    <n v="131848.63"/>
  </r>
  <r>
    <n v="200000464"/>
    <s v="Adam"/>
    <s v="Dyer"/>
    <x v="0"/>
    <x v="40"/>
    <x v="3"/>
    <s v="Blue Collar"/>
    <x v="74"/>
    <n v="26601.439999999999"/>
  </r>
  <r>
    <n v="200000465"/>
    <s v="Una"/>
    <s v="Lawrence"/>
    <x v="1"/>
    <x v="8"/>
    <x v="3"/>
    <s v="Other"/>
    <x v="74"/>
    <n v="48457.47"/>
  </r>
  <r>
    <n v="300000466"/>
    <s v="Amy"/>
    <s v="Davies"/>
    <x v="1"/>
    <x v="10"/>
    <x v="2"/>
    <s v="White Collar"/>
    <x v="74"/>
    <n v="83260.179999999993"/>
  </r>
  <r>
    <n v="300000467"/>
    <s v="Angela"/>
    <s v="Morrison"/>
    <x v="1"/>
    <x v="37"/>
    <x v="2"/>
    <s v="Other"/>
    <x v="74"/>
    <n v="1291.01"/>
  </r>
  <r>
    <n v="300000468"/>
    <s v="Jasmine"/>
    <s v="Allan"/>
    <x v="1"/>
    <x v="34"/>
    <x v="2"/>
    <s v="Other"/>
    <x v="74"/>
    <n v="64149.120000000003"/>
  </r>
  <r>
    <n v="300000469"/>
    <s v="Peter"/>
    <s v="Parsons"/>
    <x v="0"/>
    <x v="4"/>
    <x v="2"/>
    <s v="Blue Collar"/>
    <x v="74"/>
    <n v="64271.06"/>
  </r>
  <r>
    <n v="400000470"/>
    <s v="James"/>
    <s v="White"/>
    <x v="0"/>
    <x v="24"/>
    <x v="1"/>
    <s v="White Collar"/>
    <x v="74"/>
    <n v="14890.26"/>
  </r>
  <r>
    <n v="400000471"/>
    <s v="Joan"/>
    <s v="Blake"/>
    <x v="1"/>
    <x v="22"/>
    <x v="1"/>
    <s v="White Collar"/>
    <x v="74"/>
    <n v="27867.83"/>
  </r>
  <r>
    <n v="400000472"/>
    <s v="Gabrielle"/>
    <s v="Hardacre"/>
    <x v="1"/>
    <x v="36"/>
    <x v="1"/>
    <s v="Other"/>
    <x v="74"/>
    <n v="58442.19"/>
  </r>
  <r>
    <n v="400000473"/>
    <s v="James"/>
    <s v="Kerr"/>
    <x v="0"/>
    <x v="3"/>
    <x v="1"/>
    <s v="Other"/>
    <x v="74"/>
    <n v="36854.57"/>
  </r>
  <r>
    <n v="400000474"/>
    <s v="Harry"/>
    <s v="Peake"/>
    <x v="0"/>
    <x v="7"/>
    <x v="1"/>
    <s v="White Collar"/>
    <x v="74"/>
    <n v="66642.91"/>
  </r>
  <r>
    <n v="100000475"/>
    <s v="Kevin"/>
    <s v="James"/>
    <x v="0"/>
    <x v="14"/>
    <x v="0"/>
    <s v="White Collar"/>
    <x v="75"/>
    <n v="101697.71"/>
  </r>
  <r>
    <n v="100000476"/>
    <s v="Donna"/>
    <s v="Robertson"/>
    <x v="1"/>
    <x v="7"/>
    <x v="0"/>
    <s v="White Collar"/>
    <x v="75"/>
    <n v="30862.639999999999"/>
  </r>
  <r>
    <n v="100000477"/>
    <s v="Chloe"/>
    <s v="MacLeod"/>
    <x v="1"/>
    <x v="13"/>
    <x v="0"/>
    <s v="White Collar"/>
    <x v="75"/>
    <n v="36911.96"/>
  </r>
  <r>
    <n v="100000478"/>
    <s v="Bernadette"/>
    <s v="Forsyth"/>
    <x v="1"/>
    <x v="7"/>
    <x v="0"/>
    <s v="White Collar"/>
    <x v="75"/>
    <n v="9069.4699999999993"/>
  </r>
  <r>
    <n v="200000479"/>
    <s v="Connor"/>
    <s v="MacLeod"/>
    <x v="0"/>
    <x v="32"/>
    <x v="3"/>
    <s v="Other"/>
    <x v="75"/>
    <n v="41525.24"/>
  </r>
  <r>
    <n v="200000480"/>
    <s v="Harry"/>
    <s v="Reid"/>
    <x v="0"/>
    <x v="34"/>
    <x v="3"/>
    <s v="Blue Collar"/>
    <x v="75"/>
    <n v="25671.22"/>
  </r>
  <r>
    <n v="200000481"/>
    <s v="Joan"/>
    <s v="Gray"/>
    <x v="1"/>
    <x v="6"/>
    <x v="3"/>
    <s v="Blue Collar"/>
    <x v="75"/>
    <n v="74211.7"/>
  </r>
  <r>
    <n v="200000482"/>
    <s v="Justin"/>
    <s v="Graham"/>
    <x v="0"/>
    <x v="27"/>
    <x v="3"/>
    <s v="White Collar"/>
    <x v="75"/>
    <n v="19032.02"/>
  </r>
  <r>
    <n v="200000483"/>
    <s v="Anthony"/>
    <s v="Gill"/>
    <x v="0"/>
    <x v="28"/>
    <x v="3"/>
    <s v="Other"/>
    <x v="75"/>
    <n v="18970.240000000002"/>
  </r>
  <r>
    <n v="200000484"/>
    <s v="Ian"/>
    <s v="Morrison"/>
    <x v="0"/>
    <x v="10"/>
    <x v="3"/>
    <s v="Blue Collar"/>
    <x v="75"/>
    <n v="6572.36"/>
  </r>
  <r>
    <n v="200000485"/>
    <s v="Alan"/>
    <s v="Murray"/>
    <x v="0"/>
    <x v="41"/>
    <x v="3"/>
    <s v="White Collar"/>
    <x v="75"/>
    <n v="72492.490000000005"/>
  </r>
  <r>
    <n v="200000486"/>
    <s v="Leonard"/>
    <s v="Churchill"/>
    <x v="0"/>
    <x v="27"/>
    <x v="3"/>
    <s v="Blue Collar"/>
    <x v="75"/>
    <n v="19641.849999999999"/>
  </r>
  <r>
    <n v="300000487"/>
    <s v="Heather"/>
    <s v="Ross"/>
    <x v="1"/>
    <x v="29"/>
    <x v="2"/>
    <s v="White Collar"/>
    <x v="75"/>
    <n v="30972.98"/>
  </r>
  <r>
    <n v="400000488"/>
    <s v="Sue"/>
    <s v="Morrison"/>
    <x v="1"/>
    <x v="22"/>
    <x v="1"/>
    <s v="Other"/>
    <x v="75"/>
    <n v="38769.69"/>
  </r>
  <r>
    <n v="100000489"/>
    <s v="Kevin"/>
    <s v="Wright"/>
    <x v="0"/>
    <x v="16"/>
    <x v="0"/>
    <s v="White Collar"/>
    <x v="76"/>
    <n v="80877.94"/>
  </r>
  <r>
    <n v="200000490"/>
    <s v="Abigail"/>
    <s v="Fisher"/>
    <x v="1"/>
    <x v="15"/>
    <x v="3"/>
    <s v="Other"/>
    <x v="76"/>
    <n v="71689.7"/>
  </r>
  <r>
    <n v="200000491"/>
    <s v="Piers"/>
    <s v="Jones"/>
    <x v="0"/>
    <x v="2"/>
    <x v="3"/>
    <s v="Blue Collar"/>
    <x v="76"/>
    <n v="14557.62"/>
  </r>
  <r>
    <n v="200000492"/>
    <s v="Julian"/>
    <s v="Langdon"/>
    <x v="0"/>
    <x v="19"/>
    <x v="3"/>
    <s v="Blue Collar"/>
    <x v="76"/>
    <n v="18144.439999999999"/>
  </r>
  <r>
    <n v="200000493"/>
    <s v="Jacob"/>
    <s v="Forsyth"/>
    <x v="0"/>
    <x v="25"/>
    <x v="3"/>
    <s v="Blue Collar"/>
    <x v="76"/>
    <n v="127883.17"/>
  </r>
  <r>
    <n v="300000494"/>
    <s v="Jonathan"/>
    <s v="White"/>
    <x v="0"/>
    <x v="16"/>
    <x v="2"/>
    <s v="White Collar"/>
    <x v="76"/>
    <n v="74390.3"/>
  </r>
  <r>
    <n v="300000495"/>
    <s v="Stephen"/>
    <s v="Poole"/>
    <x v="0"/>
    <x v="9"/>
    <x v="2"/>
    <s v="White Collar"/>
    <x v="76"/>
    <n v="8257.16"/>
  </r>
  <r>
    <n v="300000496"/>
    <s v="Julia"/>
    <s v="Chapman"/>
    <x v="1"/>
    <x v="16"/>
    <x v="2"/>
    <s v="Other"/>
    <x v="76"/>
    <n v="21688.92"/>
  </r>
  <r>
    <n v="400000497"/>
    <s v="Anna"/>
    <s v="Chapman"/>
    <x v="1"/>
    <x v="21"/>
    <x v="1"/>
    <s v="White Collar"/>
    <x v="76"/>
    <n v="5789.63"/>
  </r>
  <r>
    <n v="100000498"/>
    <s v="Emma"/>
    <s v="Lewis"/>
    <x v="1"/>
    <x v="14"/>
    <x v="0"/>
    <s v="Blue Collar"/>
    <x v="77"/>
    <n v="9178.75"/>
  </r>
  <r>
    <n v="100000499"/>
    <s v="Deirdre"/>
    <s v="Greene"/>
    <x v="1"/>
    <x v="8"/>
    <x v="0"/>
    <s v="Other"/>
    <x v="77"/>
    <n v="36354.730000000003"/>
  </r>
  <r>
    <n v="100000500"/>
    <s v="Grace"/>
    <s v="Stewart"/>
    <x v="1"/>
    <x v="3"/>
    <x v="0"/>
    <s v="Other"/>
    <x v="77"/>
    <n v="44609.05"/>
  </r>
  <r>
    <n v="100000501"/>
    <s v="Victoria"/>
    <s v="Johnston"/>
    <x v="1"/>
    <x v="8"/>
    <x v="0"/>
    <s v="White Collar"/>
    <x v="77"/>
    <n v="47360.61"/>
  </r>
  <r>
    <n v="100000502"/>
    <s v="Pippa"/>
    <s v="Johnston"/>
    <x v="1"/>
    <x v="43"/>
    <x v="0"/>
    <s v="White Collar"/>
    <x v="77"/>
    <n v="58142.21"/>
  </r>
  <r>
    <n v="200000503"/>
    <s v="Warren"/>
    <s v="Lyman"/>
    <x v="0"/>
    <x v="35"/>
    <x v="3"/>
    <s v="Blue Collar"/>
    <x v="77"/>
    <n v="920.31"/>
  </r>
  <r>
    <n v="200000504"/>
    <s v="Jason"/>
    <s v="Lyman"/>
    <x v="0"/>
    <x v="35"/>
    <x v="3"/>
    <s v="White Collar"/>
    <x v="77"/>
    <n v="16320.71"/>
  </r>
  <r>
    <n v="200000505"/>
    <s v="Brandon"/>
    <s v="Peake"/>
    <x v="0"/>
    <x v="8"/>
    <x v="3"/>
    <s v="Blue Collar"/>
    <x v="77"/>
    <n v="35821.21"/>
  </r>
  <r>
    <n v="200000506"/>
    <s v="Harry"/>
    <s v="Payne"/>
    <x v="0"/>
    <x v="27"/>
    <x v="3"/>
    <s v="Blue Collar"/>
    <x v="77"/>
    <n v="15708.72"/>
  </r>
  <r>
    <n v="200000507"/>
    <s v="Isaac"/>
    <s v="Gill"/>
    <x v="0"/>
    <x v="35"/>
    <x v="3"/>
    <s v="Blue Collar"/>
    <x v="77"/>
    <n v="85973.68"/>
  </r>
  <r>
    <n v="200000508"/>
    <s v="Bella"/>
    <s v="Gibson"/>
    <x v="1"/>
    <x v="28"/>
    <x v="3"/>
    <s v="Other"/>
    <x v="77"/>
    <n v="15438.53"/>
  </r>
  <r>
    <n v="300000509"/>
    <s v="Wendy"/>
    <s v="Rampling"/>
    <x v="1"/>
    <x v="13"/>
    <x v="2"/>
    <s v="White Collar"/>
    <x v="77"/>
    <n v="54685.83"/>
  </r>
  <r>
    <n v="300000510"/>
    <s v="Peter"/>
    <s v="Scott"/>
    <x v="0"/>
    <x v="24"/>
    <x v="2"/>
    <s v="White Collar"/>
    <x v="77"/>
    <n v="36638.21"/>
  </r>
  <r>
    <n v="300000511"/>
    <s v="Felicity"/>
    <s v="Wallace"/>
    <x v="1"/>
    <x v="35"/>
    <x v="2"/>
    <s v="Blue Collar"/>
    <x v="77"/>
    <n v="40918.080000000002"/>
  </r>
  <r>
    <n v="300000512"/>
    <s v="Jasmine"/>
    <s v="Marshall"/>
    <x v="1"/>
    <x v="40"/>
    <x v="2"/>
    <s v="White Collar"/>
    <x v="77"/>
    <n v="45944.18"/>
  </r>
  <r>
    <n v="400000513"/>
    <s v="Amy"/>
    <s v="Wilkins"/>
    <x v="1"/>
    <x v="37"/>
    <x v="1"/>
    <s v="Other"/>
    <x v="77"/>
    <n v="4672.75"/>
  </r>
  <r>
    <n v="400000514"/>
    <s v="Michael"/>
    <s v="Henderson"/>
    <x v="0"/>
    <x v="22"/>
    <x v="1"/>
    <s v="Other"/>
    <x v="77"/>
    <n v="63602.12"/>
  </r>
  <r>
    <n v="400000515"/>
    <s v="Amanda"/>
    <s v="Mackenzie"/>
    <x v="1"/>
    <x v="21"/>
    <x v="1"/>
    <s v="White Collar"/>
    <x v="77"/>
    <n v="93357.28"/>
  </r>
  <r>
    <n v="400000516"/>
    <s v="Hannah"/>
    <s v="Oliver"/>
    <x v="1"/>
    <x v="30"/>
    <x v="1"/>
    <s v="Other"/>
    <x v="77"/>
    <n v="23358.95"/>
  </r>
  <r>
    <n v="400000517"/>
    <s v="Carol"/>
    <s v="Rutherford"/>
    <x v="1"/>
    <x v="14"/>
    <x v="1"/>
    <s v="Other"/>
    <x v="77"/>
    <n v="6456.6"/>
  </r>
  <r>
    <n v="100000518"/>
    <s v="Penelope"/>
    <s v="Metcalfe"/>
    <x v="1"/>
    <x v="22"/>
    <x v="0"/>
    <s v="Blue Collar"/>
    <x v="78"/>
    <n v="64233.87"/>
  </r>
  <r>
    <n v="100000519"/>
    <s v="Alexander"/>
    <s v="Duncan"/>
    <x v="0"/>
    <x v="29"/>
    <x v="0"/>
    <s v="White Collar"/>
    <x v="78"/>
    <n v="70407.91"/>
  </r>
  <r>
    <n v="100000520"/>
    <s v="Joan"/>
    <s v="Clarkson"/>
    <x v="1"/>
    <x v="8"/>
    <x v="0"/>
    <s v="White Collar"/>
    <x v="78"/>
    <n v="29385.08"/>
  </r>
  <r>
    <n v="100000521"/>
    <s v="Sonia"/>
    <s v="Vance"/>
    <x v="1"/>
    <x v="36"/>
    <x v="0"/>
    <s v="Blue Collar"/>
    <x v="78"/>
    <n v="27124.28"/>
  </r>
  <r>
    <n v="200000522"/>
    <s v="Benjamin"/>
    <s v="Sutherland"/>
    <x v="0"/>
    <x v="16"/>
    <x v="3"/>
    <s v="White Collar"/>
    <x v="78"/>
    <n v="33345.11"/>
  </r>
  <r>
    <n v="200000523"/>
    <s v="Adam"/>
    <s v="Gill"/>
    <x v="0"/>
    <x v="19"/>
    <x v="3"/>
    <s v="Blue Collar"/>
    <x v="78"/>
    <n v="92328.66"/>
  </r>
  <r>
    <n v="300000524"/>
    <s v="Brandon"/>
    <s v="Clark"/>
    <x v="0"/>
    <x v="13"/>
    <x v="2"/>
    <s v="White Collar"/>
    <x v="78"/>
    <n v="145995.97"/>
  </r>
  <r>
    <n v="300000525"/>
    <s v="Luke"/>
    <s v="Mathis"/>
    <x v="0"/>
    <x v="36"/>
    <x v="2"/>
    <s v="Blue Collar"/>
    <x v="78"/>
    <n v="56584.82"/>
  </r>
  <r>
    <n v="300000526"/>
    <s v="Yvonne"/>
    <s v="Metcalfe"/>
    <x v="1"/>
    <x v="9"/>
    <x v="2"/>
    <s v="Other"/>
    <x v="78"/>
    <n v="57702.39"/>
  </r>
  <r>
    <n v="300000527"/>
    <s v="Mary"/>
    <s v="Stewart"/>
    <x v="1"/>
    <x v="3"/>
    <x v="2"/>
    <s v="White Collar"/>
    <x v="78"/>
    <n v="43353.84"/>
  </r>
  <r>
    <n v="300000528"/>
    <s v="Victoria"/>
    <s v="Welch"/>
    <x v="1"/>
    <x v="5"/>
    <x v="2"/>
    <s v="Other"/>
    <x v="78"/>
    <n v="34170.61"/>
  </r>
  <r>
    <n v="300000529"/>
    <s v="Amelia"/>
    <s v="Nolan"/>
    <x v="1"/>
    <x v="11"/>
    <x v="2"/>
    <s v="White Collar"/>
    <x v="78"/>
    <n v="51952.49"/>
  </r>
  <r>
    <n v="300000530"/>
    <s v="Chloe"/>
    <s v="Hill"/>
    <x v="1"/>
    <x v="12"/>
    <x v="2"/>
    <s v="White Collar"/>
    <x v="78"/>
    <n v="73513.789999999994"/>
  </r>
  <r>
    <n v="300000531"/>
    <s v="Felicity"/>
    <s v="Vaughan"/>
    <x v="1"/>
    <x v="36"/>
    <x v="2"/>
    <s v="White Collar"/>
    <x v="78"/>
    <n v="51109.71"/>
  </r>
  <r>
    <n v="200000532"/>
    <s v="Frank"/>
    <s v="Parr"/>
    <x v="0"/>
    <x v="27"/>
    <x v="3"/>
    <s v="Blue Collar"/>
    <x v="79"/>
    <n v="9531.85"/>
  </r>
  <r>
    <n v="200000533"/>
    <s v="Abigail"/>
    <s v="Gibson"/>
    <x v="1"/>
    <x v="39"/>
    <x v="3"/>
    <s v="Other"/>
    <x v="79"/>
    <n v="20740.75"/>
  </r>
  <r>
    <n v="200000534"/>
    <s v="Sebastian"/>
    <s v="Thomson"/>
    <x v="0"/>
    <x v="45"/>
    <x v="3"/>
    <s v="Blue Collar"/>
    <x v="79"/>
    <n v="6273.93"/>
  </r>
  <r>
    <n v="200000535"/>
    <s v="Ryan"/>
    <s v="Marshall"/>
    <x v="0"/>
    <x v="2"/>
    <x v="3"/>
    <s v="Blue Collar"/>
    <x v="79"/>
    <n v="399.51"/>
  </r>
  <r>
    <n v="200000536"/>
    <s v="Simon"/>
    <s v="Brown"/>
    <x v="0"/>
    <x v="28"/>
    <x v="3"/>
    <s v="Blue Collar"/>
    <x v="79"/>
    <n v="18486.669999999998"/>
  </r>
  <r>
    <n v="200000537"/>
    <s v="Rebecca"/>
    <s v="Simpson"/>
    <x v="1"/>
    <x v="19"/>
    <x v="3"/>
    <s v="Other"/>
    <x v="79"/>
    <n v="12726.77"/>
  </r>
  <r>
    <n v="200000538"/>
    <s v="Robert"/>
    <s v="Burgess"/>
    <x v="0"/>
    <x v="31"/>
    <x v="3"/>
    <s v="Blue Collar"/>
    <x v="79"/>
    <n v="61035.44"/>
  </r>
  <r>
    <n v="300000539"/>
    <s v="Julia"/>
    <s v="Allan"/>
    <x v="1"/>
    <x v="36"/>
    <x v="2"/>
    <s v="Blue Collar"/>
    <x v="79"/>
    <n v="80752.639999999999"/>
  </r>
  <r>
    <n v="400000540"/>
    <s v="Fiona"/>
    <s v="Baker"/>
    <x v="1"/>
    <x v="13"/>
    <x v="1"/>
    <s v="Other"/>
    <x v="79"/>
    <n v="121133.06"/>
  </r>
  <r>
    <n v="400000541"/>
    <s v="Victoria"/>
    <s v="Kerr"/>
    <x v="1"/>
    <x v="5"/>
    <x v="1"/>
    <s v="Blue Collar"/>
    <x v="79"/>
    <n v="6133.35"/>
  </r>
  <r>
    <n v="100000542"/>
    <s v="Anne"/>
    <s v="Sharp"/>
    <x v="1"/>
    <x v="13"/>
    <x v="0"/>
    <s v="White Collar"/>
    <x v="80"/>
    <n v="57538.47"/>
  </r>
  <r>
    <n v="100000543"/>
    <s v="Chloe"/>
    <s v="Dickens"/>
    <x v="1"/>
    <x v="22"/>
    <x v="0"/>
    <s v="White Collar"/>
    <x v="80"/>
    <n v="46422.42"/>
  </r>
  <r>
    <n v="100000544"/>
    <s v="Ian"/>
    <s v="Ince"/>
    <x v="0"/>
    <x v="30"/>
    <x v="0"/>
    <s v="White Collar"/>
    <x v="80"/>
    <n v="73217.899999999994"/>
  </r>
  <r>
    <n v="100000545"/>
    <s v="Julia"/>
    <s v="Ellison"/>
    <x v="1"/>
    <x v="12"/>
    <x v="0"/>
    <s v="Blue Collar"/>
    <x v="80"/>
    <n v="88072.23"/>
  </r>
  <r>
    <n v="100000546"/>
    <s v="Donna"/>
    <s v="Johnston"/>
    <x v="1"/>
    <x v="11"/>
    <x v="0"/>
    <s v="Blue Collar"/>
    <x v="80"/>
    <n v="10816.33"/>
  </r>
  <r>
    <n v="100000547"/>
    <s v="Sue"/>
    <s v="Baker"/>
    <x v="1"/>
    <x v="9"/>
    <x v="0"/>
    <s v="White Collar"/>
    <x v="80"/>
    <n v="7924.91"/>
  </r>
  <r>
    <n v="200000548"/>
    <s v="Emily"/>
    <s v="King"/>
    <x v="1"/>
    <x v="42"/>
    <x v="3"/>
    <s v="Other"/>
    <x v="80"/>
    <n v="10013.030000000001"/>
  </r>
  <r>
    <n v="200000549"/>
    <s v="Frank"/>
    <s v="Poole"/>
    <x v="0"/>
    <x v="18"/>
    <x v="3"/>
    <s v="Other"/>
    <x v="80"/>
    <n v="35657.25"/>
  </r>
  <r>
    <n v="300000550"/>
    <s v="Fiona"/>
    <s v="Young"/>
    <x v="1"/>
    <x v="1"/>
    <x v="2"/>
    <s v="Blue Collar"/>
    <x v="80"/>
    <n v="2872.93"/>
  </r>
  <r>
    <n v="300000551"/>
    <s v="Cameron"/>
    <s v="Knox"/>
    <x v="0"/>
    <x v="22"/>
    <x v="2"/>
    <s v="Other"/>
    <x v="80"/>
    <n v="7709.87"/>
  </r>
  <r>
    <n v="300000552"/>
    <s v="Bernadette"/>
    <s v="Ferguson"/>
    <x v="1"/>
    <x v="4"/>
    <x v="2"/>
    <s v="White Collar"/>
    <x v="80"/>
    <n v="40078.58"/>
  </r>
  <r>
    <n v="300000553"/>
    <s v="Zoe"/>
    <s v="Ferguson"/>
    <x v="1"/>
    <x v="7"/>
    <x v="2"/>
    <s v="Blue Collar"/>
    <x v="80"/>
    <n v="53715.28"/>
  </r>
  <r>
    <n v="400000554"/>
    <s v="Carol"/>
    <s v="Marshall"/>
    <x v="1"/>
    <x v="21"/>
    <x v="1"/>
    <s v="Other"/>
    <x v="80"/>
    <n v="32940.49"/>
  </r>
  <r>
    <n v="400000555"/>
    <s v="Zoe"/>
    <s v="Murray"/>
    <x v="1"/>
    <x v="4"/>
    <x v="1"/>
    <s v="Other"/>
    <x v="80"/>
    <n v="14606.14"/>
  </r>
  <r>
    <n v="400000556"/>
    <s v="Irene"/>
    <s v="Oliver"/>
    <x v="1"/>
    <x v="4"/>
    <x v="1"/>
    <s v="Other"/>
    <x v="80"/>
    <n v="28388.7"/>
  </r>
  <r>
    <n v="400000557"/>
    <s v="Lisa"/>
    <s v="Buckland"/>
    <x v="1"/>
    <x v="36"/>
    <x v="1"/>
    <s v="Other"/>
    <x v="80"/>
    <n v="21191.040000000001"/>
  </r>
  <r>
    <n v="100000558"/>
    <s v="Jan"/>
    <s v="Sanderson"/>
    <x v="1"/>
    <x v="8"/>
    <x v="0"/>
    <s v="Other"/>
    <x v="81"/>
    <n v="26577.07"/>
  </r>
  <r>
    <n v="100000559"/>
    <s v="Grace"/>
    <s v="Mills"/>
    <x v="1"/>
    <x v="1"/>
    <x v="0"/>
    <s v="White Collar"/>
    <x v="81"/>
    <n v="15376.5"/>
  </r>
  <r>
    <n v="100000560"/>
    <s v="Jacob"/>
    <s v="King"/>
    <x v="0"/>
    <x v="1"/>
    <x v="0"/>
    <s v="Other"/>
    <x v="81"/>
    <n v="46243.31"/>
  </r>
  <r>
    <n v="100000561"/>
    <s v="Lillian"/>
    <s v="Metcalfe"/>
    <x v="1"/>
    <x v="5"/>
    <x v="0"/>
    <s v="White Collar"/>
    <x v="81"/>
    <n v="65904.539999999994"/>
  </r>
  <r>
    <n v="100000562"/>
    <s v="Brandon"/>
    <s v="MacDonald"/>
    <x v="0"/>
    <x v="24"/>
    <x v="0"/>
    <s v="White Collar"/>
    <x v="81"/>
    <n v="23502.2"/>
  </r>
  <r>
    <n v="100000563"/>
    <s v="Joanne"/>
    <s v="Mackenzie"/>
    <x v="1"/>
    <x v="17"/>
    <x v="0"/>
    <s v="Blue Collar"/>
    <x v="81"/>
    <n v="76378.23"/>
  </r>
  <r>
    <n v="100000564"/>
    <s v="Leonard"/>
    <s v="Paige"/>
    <x v="0"/>
    <x v="24"/>
    <x v="0"/>
    <s v="White Collar"/>
    <x v="81"/>
    <n v="12420.86"/>
  </r>
  <r>
    <n v="100000565"/>
    <s v="Grace"/>
    <s v="Scott"/>
    <x v="1"/>
    <x v="13"/>
    <x v="0"/>
    <s v="Other"/>
    <x v="81"/>
    <n v="21282.52"/>
  </r>
  <r>
    <n v="100000566"/>
    <s v="Diane"/>
    <s v="Berry"/>
    <x v="1"/>
    <x v="12"/>
    <x v="0"/>
    <s v="White Collar"/>
    <x v="81"/>
    <n v="7483.28"/>
  </r>
  <r>
    <n v="100000567"/>
    <s v="Alison"/>
    <s v="James"/>
    <x v="1"/>
    <x v="21"/>
    <x v="0"/>
    <s v="White Collar"/>
    <x v="81"/>
    <n v="27284.36"/>
  </r>
  <r>
    <n v="100000568"/>
    <s v="Oliver"/>
    <s v="Hudson"/>
    <x v="0"/>
    <x v="22"/>
    <x v="0"/>
    <s v="White Collar"/>
    <x v="81"/>
    <n v="66567.28"/>
  </r>
  <r>
    <n v="100000569"/>
    <s v="Gabrielle"/>
    <s v="Skinner"/>
    <x v="1"/>
    <x v="10"/>
    <x v="0"/>
    <s v="White Collar"/>
    <x v="81"/>
    <n v="73357.86"/>
  </r>
  <r>
    <n v="100000570"/>
    <s v="Nicola"/>
    <s v="Hill"/>
    <x v="1"/>
    <x v="1"/>
    <x v="0"/>
    <s v="Other"/>
    <x v="81"/>
    <n v="35679.31"/>
  </r>
  <r>
    <n v="100000571"/>
    <s v="Connor"/>
    <s v="Harris"/>
    <x v="0"/>
    <x v="13"/>
    <x v="0"/>
    <s v="White Collar"/>
    <x v="81"/>
    <n v="79744.7"/>
  </r>
  <r>
    <n v="100000572"/>
    <s v="David"/>
    <s v="Stewart"/>
    <x v="0"/>
    <x v="35"/>
    <x v="0"/>
    <s v="White Collar"/>
    <x v="81"/>
    <n v="72742.52"/>
  </r>
  <r>
    <n v="100000573"/>
    <s v="Sam"/>
    <s v="Howard"/>
    <x v="0"/>
    <x v="22"/>
    <x v="0"/>
    <s v="White Collar"/>
    <x v="81"/>
    <n v="45176.14"/>
  </r>
  <r>
    <n v="100000574"/>
    <s v="Dylan"/>
    <s v="Marshall"/>
    <x v="0"/>
    <x v="20"/>
    <x v="0"/>
    <s v="Other"/>
    <x v="81"/>
    <n v="8518.4599999999991"/>
  </r>
  <r>
    <n v="100000575"/>
    <s v="Michael"/>
    <s v="Davidson"/>
    <x v="0"/>
    <x v="37"/>
    <x v="0"/>
    <s v="White Collar"/>
    <x v="81"/>
    <n v="3115.49"/>
  </r>
  <r>
    <n v="100000576"/>
    <s v="Madeleine"/>
    <s v="Hamilton"/>
    <x v="1"/>
    <x v="21"/>
    <x v="0"/>
    <s v="White Collar"/>
    <x v="81"/>
    <n v="55006.43"/>
  </r>
  <r>
    <n v="100000577"/>
    <s v="Yvonne"/>
    <s v="Randall"/>
    <x v="1"/>
    <x v="32"/>
    <x v="0"/>
    <s v="Other"/>
    <x v="81"/>
    <n v="82248.75"/>
  </r>
  <r>
    <n v="100000578"/>
    <s v="Nathan"/>
    <s v="Davidson"/>
    <x v="0"/>
    <x v="7"/>
    <x v="0"/>
    <s v="Blue Collar"/>
    <x v="81"/>
    <n v="126150.99"/>
  </r>
  <r>
    <n v="200000579"/>
    <s v="James"/>
    <s v="Glover"/>
    <x v="0"/>
    <x v="28"/>
    <x v="3"/>
    <s v="Other"/>
    <x v="81"/>
    <n v="44263.92"/>
  </r>
  <r>
    <n v="200000580"/>
    <s v="Charles"/>
    <s v="Arnold"/>
    <x v="0"/>
    <x v="17"/>
    <x v="3"/>
    <s v="Other"/>
    <x v="81"/>
    <n v="22436.69"/>
  </r>
  <r>
    <n v="200000581"/>
    <s v="Alexander"/>
    <s v="Hill"/>
    <x v="0"/>
    <x v="2"/>
    <x v="3"/>
    <s v="Blue Collar"/>
    <x v="81"/>
    <n v="14605.89"/>
  </r>
  <r>
    <n v="200000582"/>
    <s v="Rebecca"/>
    <s v="Clarkson"/>
    <x v="1"/>
    <x v="8"/>
    <x v="3"/>
    <s v="Blue Collar"/>
    <x v="81"/>
    <n v="24087.99"/>
  </r>
  <r>
    <n v="200000583"/>
    <s v="Joanne"/>
    <s v="Mills"/>
    <x v="1"/>
    <x v="39"/>
    <x v="3"/>
    <s v="Other"/>
    <x v="81"/>
    <n v="46034.1"/>
  </r>
  <r>
    <n v="200000584"/>
    <s v="Alan"/>
    <s v="Metcalfe"/>
    <x v="0"/>
    <x v="31"/>
    <x v="3"/>
    <s v="Blue Collar"/>
    <x v="81"/>
    <n v="60464.54"/>
  </r>
  <r>
    <n v="200000585"/>
    <s v="Julian"/>
    <s v="Russell"/>
    <x v="0"/>
    <x v="15"/>
    <x v="3"/>
    <s v="Other"/>
    <x v="81"/>
    <n v="54739.91"/>
  </r>
  <r>
    <n v="200000586"/>
    <s v="Dylan"/>
    <s v="Piper"/>
    <x v="0"/>
    <x v="31"/>
    <x v="3"/>
    <s v="Blue Collar"/>
    <x v="81"/>
    <n v="6498.08"/>
  </r>
  <r>
    <n v="200000587"/>
    <s v="Sebastian"/>
    <s v="Forsyth"/>
    <x v="0"/>
    <x v="35"/>
    <x v="3"/>
    <s v="Blue Collar"/>
    <x v="81"/>
    <n v="43526.55"/>
  </r>
  <r>
    <n v="200000588"/>
    <s v="Sean"/>
    <s v="Dyer"/>
    <x v="0"/>
    <x v="2"/>
    <x v="3"/>
    <s v="Blue Collar"/>
    <x v="81"/>
    <n v="26094.73"/>
  </r>
  <r>
    <n v="200000589"/>
    <s v="David"/>
    <s v="Cameron"/>
    <x v="0"/>
    <x v="32"/>
    <x v="3"/>
    <s v="Blue Collar"/>
    <x v="81"/>
    <n v="64483.09"/>
  </r>
  <r>
    <n v="200000590"/>
    <s v="Stephen"/>
    <s v="Fisher"/>
    <x v="0"/>
    <x v="27"/>
    <x v="3"/>
    <s v="Blue Collar"/>
    <x v="81"/>
    <n v="35898.959999999999"/>
  </r>
  <r>
    <n v="200000591"/>
    <s v="Christian"/>
    <s v="Edmunds"/>
    <x v="0"/>
    <x v="16"/>
    <x v="3"/>
    <s v="Blue Collar"/>
    <x v="81"/>
    <n v="52388.41"/>
  </r>
  <r>
    <n v="300000592"/>
    <s v="Diana"/>
    <s v="Martin"/>
    <x v="1"/>
    <x v="24"/>
    <x v="2"/>
    <s v="White Collar"/>
    <x v="81"/>
    <n v="98541.75"/>
  </r>
  <r>
    <n v="300000593"/>
    <s v="Amanda"/>
    <s v="Simpson"/>
    <x v="1"/>
    <x v="7"/>
    <x v="2"/>
    <s v="Other"/>
    <x v="81"/>
    <n v="33373.82"/>
  </r>
  <r>
    <n v="300000594"/>
    <s v="Joan"/>
    <s v="Randall"/>
    <x v="1"/>
    <x v="10"/>
    <x v="2"/>
    <s v="White Collar"/>
    <x v="81"/>
    <n v="40637.129999999997"/>
  </r>
  <r>
    <n v="300000595"/>
    <s v="Joe"/>
    <s v="Ogden"/>
    <x v="0"/>
    <x v="1"/>
    <x v="2"/>
    <s v="Blue Collar"/>
    <x v="81"/>
    <n v="61421.55"/>
  </r>
  <r>
    <n v="300000596"/>
    <s v="Lillian"/>
    <s v="Kerr"/>
    <x v="1"/>
    <x v="12"/>
    <x v="2"/>
    <s v="White Collar"/>
    <x v="81"/>
    <n v="56989.79"/>
  </r>
  <r>
    <n v="300000597"/>
    <s v="Julian"/>
    <s v="Lyman"/>
    <x v="0"/>
    <x v="12"/>
    <x v="2"/>
    <s v="White Collar"/>
    <x v="81"/>
    <n v="60084.51"/>
  </r>
  <r>
    <n v="300000598"/>
    <s v="Blake"/>
    <s v="MacDonald"/>
    <x v="0"/>
    <x v="10"/>
    <x v="2"/>
    <s v="Blue Collar"/>
    <x v="81"/>
    <n v="51333.22"/>
  </r>
  <r>
    <n v="300000599"/>
    <s v="Victoria"/>
    <s v="Forsyth"/>
    <x v="1"/>
    <x v="7"/>
    <x v="2"/>
    <s v="White Collar"/>
    <x v="81"/>
    <n v="1790.25"/>
  </r>
  <r>
    <n v="400000600"/>
    <s v="Nicola"/>
    <s v="Graham"/>
    <x v="1"/>
    <x v="11"/>
    <x v="1"/>
    <s v="Other"/>
    <x v="81"/>
    <n v="33611.35"/>
  </r>
  <r>
    <n v="400000601"/>
    <s v="Blake"/>
    <s v="Anderson"/>
    <x v="0"/>
    <x v="3"/>
    <x v="1"/>
    <s v="Blue Collar"/>
    <x v="81"/>
    <n v="30923.45"/>
  </r>
  <r>
    <n v="400000602"/>
    <s v="Molly"/>
    <s v="Hart"/>
    <x v="1"/>
    <x v="11"/>
    <x v="1"/>
    <s v="White Collar"/>
    <x v="81"/>
    <n v="63070.39"/>
  </r>
  <r>
    <n v="100000603"/>
    <s v="Jane"/>
    <s v="Walker"/>
    <x v="1"/>
    <x v="13"/>
    <x v="0"/>
    <s v="White Collar"/>
    <x v="82"/>
    <n v="41203.42"/>
  </r>
  <r>
    <n v="100000604"/>
    <s v="Angela"/>
    <s v="Short"/>
    <x v="1"/>
    <x v="13"/>
    <x v="0"/>
    <s v="White Collar"/>
    <x v="82"/>
    <n v="21890.47"/>
  </r>
  <r>
    <n v="100000605"/>
    <s v="Jasmine"/>
    <s v="Wilkins"/>
    <x v="1"/>
    <x v="34"/>
    <x v="0"/>
    <s v="White Collar"/>
    <x v="82"/>
    <n v="74637.960000000006"/>
  </r>
  <r>
    <n v="100000606"/>
    <s v="Ruth"/>
    <s v="Mackenzie"/>
    <x v="1"/>
    <x v="8"/>
    <x v="0"/>
    <s v="White Collar"/>
    <x v="82"/>
    <n v="4252.16"/>
  </r>
  <r>
    <n v="200000607"/>
    <s v="Brian"/>
    <s v="Arnold"/>
    <x v="0"/>
    <x v="34"/>
    <x v="3"/>
    <s v="White Collar"/>
    <x v="82"/>
    <n v="10273.77"/>
  </r>
  <r>
    <n v="200000608"/>
    <s v="Adrian"/>
    <s v="Wright"/>
    <x v="0"/>
    <x v="31"/>
    <x v="3"/>
    <s v="Other"/>
    <x v="82"/>
    <n v="9061.01"/>
  </r>
  <r>
    <n v="200000609"/>
    <s v="Leonard"/>
    <s v="Brown"/>
    <x v="0"/>
    <x v="15"/>
    <x v="3"/>
    <s v="Other"/>
    <x v="82"/>
    <n v="86041.55"/>
  </r>
  <r>
    <n v="200000610"/>
    <s v="Ian"/>
    <s v="Walsh"/>
    <x v="0"/>
    <x v="17"/>
    <x v="3"/>
    <s v="Blue Collar"/>
    <x v="82"/>
    <n v="96808.76"/>
  </r>
  <r>
    <n v="300000611"/>
    <s v="Nicola"/>
    <s v="Paige"/>
    <x v="1"/>
    <x v="12"/>
    <x v="2"/>
    <s v="Blue Collar"/>
    <x v="82"/>
    <n v="26783.439999999999"/>
  </r>
  <r>
    <n v="300000612"/>
    <s v="Emily"/>
    <s v="Ince"/>
    <x v="1"/>
    <x v="11"/>
    <x v="2"/>
    <s v="White Collar"/>
    <x v="82"/>
    <n v="16637.73"/>
  </r>
  <r>
    <n v="300000613"/>
    <s v="Paul"/>
    <s v="Ellison"/>
    <x v="0"/>
    <x v="13"/>
    <x v="2"/>
    <s v="White Collar"/>
    <x v="82"/>
    <n v="34008.589999999997"/>
  </r>
  <r>
    <n v="300000614"/>
    <s v="Jennifer"/>
    <s v="Skinner"/>
    <x v="1"/>
    <x v="4"/>
    <x v="2"/>
    <s v="Blue Collar"/>
    <x v="82"/>
    <n v="27842.1"/>
  </r>
  <r>
    <n v="300000615"/>
    <s v="Penelope"/>
    <s v="Grant"/>
    <x v="1"/>
    <x v="8"/>
    <x v="2"/>
    <s v="Other"/>
    <x v="82"/>
    <n v="24020.29"/>
  </r>
  <r>
    <n v="100000616"/>
    <s v="Alison"/>
    <s v="Cornish"/>
    <x v="1"/>
    <x v="9"/>
    <x v="0"/>
    <s v="White Collar"/>
    <x v="83"/>
    <n v="22671.13"/>
  </r>
  <r>
    <n v="100000617"/>
    <s v="Evan"/>
    <s v="Metcalfe"/>
    <x v="0"/>
    <x v="3"/>
    <x v="0"/>
    <s v="Blue Collar"/>
    <x v="83"/>
    <n v="4576.45"/>
  </r>
  <r>
    <n v="100000618"/>
    <s v="Andrew"/>
    <s v="Wright"/>
    <x v="0"/>
    <x v="8"/>
    <x v="0"/>
    <s v="White Collar"/>
    <x v="83"/>
    <n v="16236.11"/>
  </r>
  <r>
    <n v="200000619"/>
    <s v="Alexander"/>
    <s v="Abraham"/>
    <x v="0"/>
    <x v="25"/>
    <x v="3"/>
    <s v="Blue Collar"/>
    <x v="83"/>
    <n v="32144.44"/>
  </r>
  <r>
    <n v="200000620"/>
    <s v="Simon"/>
    <s v="Slater"/>
    <x v="0"/>
    <x v="35"/>
    <x v="3"/>
    <s v="Blue Collar"/>
    <x v="83"/>
    <n v="54343.81"/>
  </r>
  <r>
    <n v="200000621"/>
    <s v="Andrew"/>
    <s v="Hill"/>
    <x v="0"/>
    <x v="35"/>
    <x v="3"/>
    <s v="Blue Collar"/>
    <x v="83"/>
    <n v="60857.23"/>
  </r>
  <r>
    <n v="200000622"/>
    <s v="Christopher"/>
    <s v="Randall"/>
    <x v="0"/>
    <x v="25"/>
    <x v="3"/>
    <s v="White Collar"/>
    <x v="83"/>
    <n v="68252.3"/>
  </r>
  <r>
    <n v="200000623"/>
    <s v="Brian"/>
    <s v="Mitchell"/>
    <x v="0"/>
    <x v="27"/>
    <x v="3"/>
    <s v="Other"/>
    <x v="83"/>
    <n v="110688.19"/>
  </r>
  <r>
    <n v="300000624"/>
    <s v="Tim"/>
    <s v="Paterson"/>
    <x v="0"/>
    <x v="9"/>
    <x v="2"/>
    <s v="Blue Collar"/>
    <x v="83"/>
    <n v="34324.69"/>
  </r>
  <r>
    <n v="400000625"/>
    <s v="Eric"/>
    <s v="Oliver"/>
    <x v="0"/>
    <x v="26"/>
    <x v="1"/>
    <s v="White Collar"/>
    <x v="83"/>
    <n v="10472.49"/>
  </r>
  <r>
    <n v="100000626"/>
    <s v="Lily"/>
    <s v="Hudson"/>
    <x v="1"/>
    <x v="12"/>
    <x v="0"/>
    <s v="White Collar"/>
    <x v="84"/>
    <n v="27754.62"/>
  </r>
  <r>
    <n v="100000627"/>
    <s v="Brian"/>
    <s v="Slater"/>
    <x v="0"/>
    <x v="31"/>
    <x v="0"/>
    <s v="White Collar"/>
    <x v="84"/>
    <n v="94471.86"/>
  </r>
  <r>
    <n v="100000628"/>
    <s v="Rose"/>
    <s v="Davies"/>
    <x v="1"/>
    <x v="7"/>
    <x v="0"/>
    <s v="White Collar"/>
    <x v="84"/>
    <n v="22387.4"/>
  </r>
  <r>
    <n v="200000629"/>
    <s v="Benjamin"/>
    <s v="McDonald"/>
    <x v="0"/>
    <x v="6"/>
    <x v="3"/>
    <s v="Other"/>
    <x v="84"/>
    <n v="8114.82"/>
  </r>
  <r>
    <n v="200000630"/>
    <s v="Sam"/>
    <s v="Powell"/>
    <x v="0"/>
    <x v="35"/>
    <x v="3"/>
    <s v="Blue Collar"/>
    <x v="84"/>
    <n v="126331.75"/>
  </r>
  <r>
    <n v="200000631"/>
    <s v="Sean"/>
    <s v="Lyman"/>
    <x v="0"/>
    <x v="40"/>
    <x v="3"/>
    <s v="Blue Collar"/>
    <x v="84"/>
    <n v="50454.73"/>
  </r>
  <r>
    <n v="200000632"/>
    <s v="Nicholas"/>
    <s v="Allan"/>
    <x v="0"/>
    <x v="47"/>
    <x v="3"/>
    <s v="Blue Collar"/>
    <x v="84"/>
    <n v="15909.96"/>
  </r>
  <r>
    <n v="300000633"/>
    <s v="Piers"/>
    <s v="Miller"/>
    <x v="0"/>
    <x v="8"/>
    <x v="2"/>
    <s v="White Collar"/>
    <x v="84"/>
    <n v="39588.61"/>
  </r>
  <r>
    <n v="300000634"/>
    <s v="Heather"/>
    <s v="Mackay"/>
    <x v="1"/>
    <x v="19"/>
    <x v="2"/>
    <s v="White Collar"/>
    <x v="84"/>
    <n v="57622.79"/>
  </r>
  <r>
    <n v="300000635"/>
    <s v="Kimberly"/>
    <s v="Walsh"/>
    <x v="1"/>
    <x v="1"/>
    <x v="2"/>
    <s v="White Collar"/>
    <x v="84"/>
    <n v="48381.35"/>
  </r>
  <r>
    <n v="300000636"/>
    <s v="Elizabeth"/>
    <s v="McDonald"/>
    <x v="1"/>
    <x v="5"/>
    <x v="2"/>
    <s v="White Collar"/>
    <x v="84"/>
    <n v="20276.080000000002"/>
  </r>
  <r>
    <n v="300000637"/>
    <s v="Carolyn"/>
    <s v="Mills"/>
    <x v="1"/>
    <x v="9"/>
    <x v="2"/>
    <s v="White Collar"/>
    <x v="84"/>
    <n v="18379.009999999998"/>
  </r>
  <r>
    <n v="400000638"/>
    <s v="Irene"/>
    <s v="Gill"/>
    <x v="1"/>
    <x v="2"/>
    <x v="1"/>
    <s v="Blue Collar"/>
    <x v="84"/>
    <n v="22906.99"/>
  </r>
  <r>
    <n v="400000639"/>
    <s v="Peter"/>
    <s v="Miller"/>
    <x v="0"/>
    <x v="38"/>
    <x v="1"/>
    <s v="White Collar"/>
    <x v="84"/>
    <n v="146569.76999999999"/>
  </r>
  <r>
    <n v="100000640"/>
    <s v="David"/>
    <s v="Arnold"/>
    <x v="0"/>
    <x v="4"/>
    <x v="0"/>
    <s v="Blue Collar"/>
    <x v="85"/>
    <n v="47824.63"/>
  </r>
  <r>
    <n v="100000641"/>
    <s v="Amanda"/>
    <s v="Payne"/>
    <x v="1"/>
    <x v="4"/>
    <x v="0"/>
    <s v="Other"/>
    <x v="85"/>
    <n v="30788.33"/>
  </r>
  <r>
    <n v="100000642"/>
    <s v="Eric"/>
    <s v="Wilson"/>
    <x v="0"/>
    <x v="30"/>
    <x v="0"/>
    <s v="Blue Collar"/>
    <x v="85"/>
    <n v="62631.040000000001"/>
  </r>
  <r>
    <n v="100000643"/>
    <s v="Alison"/>
    <s v="Parsons"/>
    <x v="1"/>
    <x v="3"/>
    <x v="0"/>
    <s v="Other"/>
    <x v="85"/>
    <n v="79617.5"/>
  </r>
  <r>
    <n v="200000644"/>
    <s v="Tim"/>
    <s v="Marshall"/>
    <x v="0"/>
    <x v="6"/>
    <x v="3"/>
    <s v="Blue Collar"/>
    <x v="85"/>
    <n v="9997.81"/>
  </r>
  <r>
    <n v="200000645"/>
    <s v="Joan"/>
    <s v="Abraham"/>
    <x v="1"/>
    <x v="28"/>
    <x v="3"/>
    <s v="Other"/>
    <x v="85"/>
    <n v="19366.89"/>
  </r>
  <r>
    <n v="200000646"/>
    <s v="Liam"/>
    <s v="Rutherford"/>
    <x v="0"/>
    <x v="19"/>
    <x v="3"/>
    <s v="Blue Collar"/>
    <x v="85"/>
    <n v="70840.070000000007"/>
  </r>
  <r>
    <n v="200000647"/>
    <s v="Liam"/>
    <s v="Wright"/>
    <x v="0"/>
    <x v="19"/>
    <x v="3"/>
    <s v="Other"/>
    <x v="85"/>
    <n v="48457.18"/>
  </r>
  <r>
    <n v="200000648"/>
    <s v="Gavin"/>
    <s v="Martin"/>
    <x v="0"/>
    <x v="17"/>
    <x v="3"/>
    <s v="Blue Collar"/>
    <x v="85"/>
    <n v="49590.89"/>
  </r>
  <r>
    <n v="200000649"/>
    <s v="Isaac"/>
    <s v="Quinn"/>
    <x v="0"/>
    <x v="27"/>
    <x v="3"/>
    <s v="Blue Collar"/>
    <x v="85"/>
    <n v="33269.35"/>
  </r>
  <r>
    <n v="300000650"/>
    <s v="Abigail"/>
    <s v="Short"/>
    <x v="1"/>
    <x v="21"/>
    <x v="2"/>
    <s v="Blue Collar"/>
    <x v="85"/>
    <n v="39944.639999999999"/>
  </r>
  <r>
    <n v="300000651"/>
    <s v="Una"/>
    <s v="Jones"/>
    <x v="1"/>
    <x v="2"/>
    <x v="2"/>
    <s v="White Collar"/>
    <x v="85"/>
    <n v="30255.26"/>
  </r>
  <r>
    <n v="300000652"/>
    <s v="Chloe"/>
    <s v="Forsyth"/>
    <x v="1"/>
    <x v="1"/>
    <x v="2"/>
    <s v="White Collar"/>
    <x v="85"/>
    <n v="28272.45"/>
  </r>
  <r>
    <n v="400000653"/>
    <s v="Sam"/>
    <s v="Campbell"/>
    <x v="0"/>
    <x v="22"/>
    <x v="1"/>
    <s v="White Collar"/>
    <x v="85"/>
    <n v="11638.39"/>
  </r>
  <r>
    <n v="400000654"/>
    <s v="Simon"/>
    <s v="Lawrence"/>
    <x v="0"/>
    <x v="20"/>
    <x v="1"/>
    <s v="Other"/>
    <x v="85"/>
    <n v="354.04"/>
  </r>
  <r>
    <n v="100000655"/>
    <s v="Brandon"/>
    <s v="Walsh"/>
    <x v="0"/>
    <x v="5"/>
    <x v="0"/>
    <s v="White Collar"/>
    <x v="86"/>
    <n v="18150.13"/>
  </r>
  <r>
    <n v="100000656"/>
    <s v="Dylan"/>
    <s v="Smith"/>
    <x v="0"/>
    <x v="3"/>
    <x v="0"/>
    <s v="Other"/>
    <x v="86"/>
    <n v="52580.7"/>
  </r>
  <r>
    <n v="100000657"/>
    <s v="Emily"/>
    <s v="Reid"/>
    <x v="1"/>
    <x v="6"/>
    <x v="0"/>
    <s v="White Collar"/>
    <x v="86"/>
    <n v="26493.26"/>
  </r>
  <r>
    <n v="200000658"/>
    <s v="John"/>
    <s v="Payne"/>
    <x v="0"/>
    <x v="34"/>
    <x v="3"/>
    <s v="Other"/>
    <x v="86"/>
    <n v="16824.599999999999"/>
  </r>
  <r>
    <n v="200000659"/>
    <s v="Stewart"/>
    <s v="Poole"/>
    <x v="0"/>
    <x v="17"/>
    <x v="3"/>
    <s v="Blue Collar"/>
    <x v="86"/>
    <n v="16849.990000000002"/>
  </r>
  <r>
    <n v="200000660"/>
    <s v="Keith"/>
    <s v="Parr"/>
    <x v="0"/>
    <x v="27"/>
    <x v="3"/>
    <s v="Blue Collar"/>
    <x v="86"/>
    <n v="66329.8"/>
  </r>
  <r>
    <n v="200000661"/>
    <s v="Lucas"/>
    <s v="Abraham"/>
    <x v="0"/>
    <x v="35"/>
    <x v="3"/>
    <s v="Blue Collar"/>
    <x v="86"/>
    <n v="25861.3"/>
  </r>
  <r>
    <n v="200000662"/>
    <s v="Trevor"/>
    <s v="Skinner"/>
    <x v="0"/>
    <x v="6"/>
    <x v="3"/>
    <s v="Blue Collar"/>
    <x v="86"/>
    <n v="29501.46"/>
  </r>
  <r>
    <n v="200000663"/>
    <s v="Leonard"/>
    <s v="Jackson"/>
    <x v="0"/>
    <x v="17"/>
    <x v="3"/>
    <s v="Other"/>
    <x v="86"/>
    <n v="58470.37"/>
  </r>
  <r>
    <n v="200000664"/>
    <s v="Harry"/>
    <s v="Hodges"/>
    <x v="0"/>
    <x v="4"/>
    <x v="3"/>
    <s v="White Collar"/>
    <x v="86"/>
    <n v="39702.17"/>
  </r>
  <r>
    <n v="200000665"/>
    <s v="Edward"/>
    <s v="Turner"/>
    <x v="0"/>
    <x v="6"/>
    <x v="3"/>
    <s v="Other"/>
    <x v="86"/>
    <n v="19419.68"/>
  </r>
  <r>
    <n v="300000666"/>
    <s v="Alan"/>
    <s v="Forsyth"/>
    <x v="0"/>
    <x v="22"/>
    <x v="2"/>
    <s v="Blue Collar"/>
    <x v="86"/>
    <n v="38041.18"/>
  </r>
  <r>
    <n v="300000667"/>
    <s v="Richard"/>
    <s v="Watson"/>
    <x v="0"/>
    <x v="22"/>
    <x v="2"/>
    <s v="White Collar"/>
    <x v="86"/>
    <n v="83727.16"/>
  </r>
  <r>
    <n v="300000668"/>
    <s v="Anthony"/>
    <s v="Ellison"/>
    <x v="0"/>
    <x v="7"/>
    <x v="2"/>
    <s v="White Collar"/>
    <x v="86"/>
    <n v="42548.69"/>
  </r>
  <r>
    <n v="200000669"/>
    <s v="Jake"/>
    <s v="Rutherford"/>
    <x v="0"/>
    <x v="17"/>
    <x v="3"/>
    <s v="Blue Collar"/>
    <x v="87"/>
    <n v="83902.83"/>
  </r>
  <r>
    <n v="200000670"/>
    <s v="Richard"/>
    <s v="Carr"/>
    <x v="0"/>
    <x v="8"/>
    <x v="3"/>
    <s v="Blue Collar"/>
    <x v="87"/>
    <n v="65655.360000000001"/>
  </r>
  <r>
    <n v="200000671"/>
    <s v="Carolyn"/>
    <s v="Arnold"/>
    <x v="1"/>
    <x v="33"/>
    <x v="3"/>
    <s v="Other"/>
    <x v="87"/>
    <n v="8367.59"/>
  </r>
  <r>
    <n v="200000672"/>
    <s v="Audrey"/>
    <s v="Ince"/>
    <x v="1"/>
    <x v="23"/>
    <x v="3"/>
    <s v="Other"/>
    <x v="87"/>
    <n v="24075.18"/>
  </r>
  <r>
    <n v="200000673"/>
    <s v="Cameron"/>
    <s v="Dyer"/>
    <x v="0"/>
    <x v="27"/>
    <x v="3"/>
    <s v="Other"/>
    <x v="87"/>
    <n v="71478.63"/>
  </r>
  <r>
    <n v="200000674"/>
    <s v="William"/>
    <s v="Lyman"/>
    <x v="0"/>
    <x v="18"/>
    <x v="3"/>
    <s v="Blue Collar"/>
    <x v="87"/>
    <n v="32611.26"/>
  </r>
  <r>
    <n v="300000675"/>
    <s v="Matt"/>
    <s v="Davies"/>
    <x v="0"/>
    <x v="21"/>
    <x v="2"/>
    <s v="Blue Collar"/>
    <x v="87"/>
    <n v="11076.52"/>
  </r>
  <r>
    <n v="400000676"/>
    <s v="Andrea"/>
    <s v="Nolan"/>
    <x v="1"/>
    <x v="26"/>
    <x v="1"/>
    <s v="Other"/>
    <x v="87"/>
    <n v="30117.88"/>
  </r>
  <r>
    <n v="100000677"/>
    <s v="Dominic"/>
    <s v="Langdon"/>
    <x v="0"/>
    <x v="16"/>
    <x v="0"/>
    <s v="White Collar"/>
    <x v="88"/>
    <n v="24558.98"/>
  </r>
  <r>
    <n v="100000678"/>
    <s v="Victoria"/>
    <s v="Thomson"/>
    <x v="1"/>
    <x v="20"/>
    <x v="0"/>
    <s v="White Collar"/>
    <x v="88"/>
    <n v="926.29"/>
  </r>
  <r>
    <n v="100000679"/>
    <s v="Yvonne"/>
    <s v="Lambert"/>
    <x v="1"/>
    <x v="30"/>
    <x v="0"/>
    <s v="White Collar"/>
    <x v="88"/>
    <n v="15392.76"/>
  </r>
  <r>
    <n v="100000680"/>
    <s v="Ruth"/>
    <s v="Short"/>
    <x v="1"/>
    <x v="9"/>
    <x v="0"/>
    <s v="Blue Collar"/>
    <x v="88"/>
    <n v="76093.119999999995"/>
  </r>
  <r>
    <n v="200000681"/>
    <s v="Maria"/>
    <s v="Welch"/>
    <x v="1"/>
    <x v="17"/>
    <x v="3"/>
    <s v="Other"/>
    <x v="88"/>
    <n v="17999.169999999998"/>
  </r>
  <r>
    <n v="200000682"/>
    <s v="Oliver"/>
    <s v="Paterson"/>
    <x v="0"/>
    <x v="14"/>
    <x v="3"/>
    <s v="Other"/>
    <x v="88"/>
    <n v="66522.710000000006"/>
  </r>
  <r>
    <n v="200000683"/>
    <s v="Piers"/>
    <s v="Gray"/>
    <x v="0"/>
    <x v="46"/>
    <x v="3"/>
    <s v="Blue Collar"/>
    <x v="88"/>
    <n v="13764.72"/>
  </r>
  <r>
    <n v="200000684"/>
    <s v="Leonard"/>
    <s v="Nash"/>
    <x v="0"/>
    <x v="36"/>
    <x v="3"/>
    <s v="Blue Collar"/>
    <x v="88"/>
    <n v="57918.09"/>
  </r>
  <r>
    <n v="300000685"/>
    <s v="Caroline"/>
    <s v="Ross"/>
    <x v="1"/>
    <x v="8"/>
    <x v="2"/>
    <s v="Blue Collar"/>
    <x v="88"/>
    <n v="30630.240000000002"/>
  </r>
  <r>
    <n v="300000686"/>
    <s v="Stephen"/>
    <s v="Taylor"/>
    <x v="0"/>
    <x v="1"/>
    <x v="2"/>
    <s v="Blue Collar"/>
    <x v="88"/>
    <n v="84898.38"/>
  </r>
  <r>
    <n v="300000687"/>
    <s v="Tim"/>
    <s v="Vance"/>
    <x v="0"/>
    <x v="12"/>
    <x v="2"/>
    <s v="Other"/>
    <x v="88"/>
    <n v="401.13"/>
  </r>
  <r>
    <n v="300000688"/>
    <s v="Wendy"/>
    <s v="Piper"/>
    <x v="1"/>
    <x v="7"/>
    <x v="2"/>
    <s v="White Collar"/>
    <x v="88"/>
    <n v="35636.26"/>
  </r>
  <r>
    <n v="300000689"/>
    <s v="Warren"/>
    <s v="Ferguson"/>
    <x v="0"/>
    <x v="7"/>
    <x v="2"/>
    <s v="White Collar"/>
    <x v="88"/>
    <n v="31308.46"/>
  </r>
  <r>
    <n v="400000690"/>
    <s v="Bernadette"/>
    <s v="Duncan"/>
    <x v="1"/>
    <x v="8"/>
    <x v="1"/>
    <s v="Other"/>
    <x v="88"/>
    <n v="96028.9"/>
  </r>
  <r>
    <n v="400000691"/>
    <s v="Jacob"/>
    <s v="Clarkson"/>
    <x v="0"/>
    <x v="43"/>
    <x v="1"/>
    <s v="White Collar"/>
    <x v="88"/>
    <n v="38879.769999999997"/>
  </r>
  <r>
    <n v="400000692"/>
    <s v="Hannah"/>
    <s v="Hudson"/>
    <x v="1"/>
    <x v="1"/>
    <x v="1"/>
    <s v="Other"/>
    <x v="88"/>
    <n v="121806.79"/>
  </r>
  <r>
    <n v="100000693"/>
    <s v="Kevin"/>
    <s v="Glover"/>
    <x v="0"/>
    <x v="3"/>
    <x v="0"/>
    <s v="White Collar"/>
    <x v="89"/>
    <n v="10926.7"/>
  </r>
  <r>
    <n v="100000694"/>
    <s v="Michael"/>
    <s v="Cameron"/>
    <x v="0"/>
    <x v="30"/>
    <x v="0"/>
    <s v="White Collar"/>
    <x v="89"/>
    <n v="20969.32"/>
  </r>
  <r>
    <n v="100000695"/>
    <s v="Penelope"/>
    <s v="Forsyth"/>
    <x v="1"/>
    <x v="34"/>
    <x v="0"/>
    <s v="White Collar"/>
    <x v="89"/>
    <n v="79000.320000000007"/>
  </r>
  <r>
    <n v="200000696"/>
    <s v="Benjamin"/>
    <s v="James"/>
    <x v="0"/>
    <x v="31"/>
    <x v="3"/>
    <s v="Other"/>
    <x v="89"/>
    <n v="30742.33"/>
  </r>
  <r>
    <n v="200000697"/>
    <s v="Paul"/>
    <s v="Wright"/>
    <x v="0"/>
    <x v="34"/>
    <x v="3"/>
    <s v="Other"/>
    <x v="89"/>
    <n v="74230.679999999993"/>
  </r>
  <r>
    <n v="200000698"/>
    <s v="Jacob"/>
    <s v="Sharp"/>
    <x v="0"/>
    <x v="34"/>
    <x v="3"/>
    <s v="Blue Collar"/>
    <x v="89"/>
    <n v="53086.19"/>
  </r>
  <r>
    <n v="200000699"/>
    <s v="Jason"/>
    <s v="Cameron"/>
    <x v="0"/>
    <x v="46"/>
    <x v="3"/>
    <s v="Other"/>
    <x v="89"/>
    <n v="49081.5"/>
  </r>
  <r>
    <n v="200000700"/>
    <s v="Sam"/>
    <s v="Ball"/>
    <x v="0"/>
    <x v="15"/>
    <x v="3"/>
    <s v="Blue Collar"/>
    <x v="89"/>
    <n v="61365.17"/>
  </r>
  <r>
    <n v="200000701"/>
    <s v="Joshua"/>
    <s v="Wilson"/>
    <x v="0"/>
    <x v="6"/>
    <x v="3"/>
    <s v="Other"/>
    <x v="89"/>
    <n v="17261.5"/>
  </r>
  <r>
    <n v="300000702"/>
    <s v="Diane"/>
    <s v="Underwood"/>
    <x v="1"/>
    <x v="13"/>
    <x v="2"/>
    <s v="White Collar"/>
    <x v="89"/>
    <n v="56873.89"/>
  </r>
  <r>
    <n v="300000703"/>
    <s v="Diana"/>
    <s v="Hodges"/>
    <x v="1"/>
    <x v="1"/>
    <x v="2"/>
    <s v="White Collar"/>
    <x v="89"/>
    <n v="24796.57"/>
  </r>
  <r>
    <n v="300000704"/>
    <s v="Bernadette"/>
    <s v="Cornish"/>
    <x v="1"/>
    <x v="9"/>
    <x v="2"/>
    <s v="White Collar"/>
    <x v="89"/>
    <n v="22691.31"/>
  </r>
  <r>
    <n v="300000705"/>
    <s v="Joshua"/>
    <s v="Coleman"/>
    <x v="0"/>
    <x v="1"/>
    <x v="2"/>
    <s v="White Collar"/>
    <x v="89"/>
    <n v="20385.54"/>
  </r>
  <r>
    <n v="400000706"/>
    <s v="Samantha"/>
    <s v="Mills"/>
    <x v="1"/>
    <x v="38"/>
    <x v="1"/>
    <s v="White Collar"/>
    <x v="89"/>
    <n v="34535.68"/>
  </r>
  <r>
    <n v="100000707"/>
    <s v="David"/>
    <s v="Graham"/>
    <x v="0"/>
    <x v="30"/>
    <x v="0"/>
    <s v="White Collar"/>
    <x v="90"/>
    <n v="74862.98"/>
  </r>
  <r>
    <n v="100000708"/>
    <s v="Jan"/>
    <s v="Roberts"/>
    <x v="1"/>
    <x v="3"/>
    <x v="0"/>
    <s v="White Collar"/>
    <x v="90"/>
    <n v="76517.17"/>
  </r>
  <r>
    <n v="100000709"/>
    <s v="Angela"/>
    <s v="Lawrence"/>
    <x v="1"/>
    <x v="4"/>
    <x v="0"/>
    <s v="White Collar"/>
    <x v="90"/>
    <n v="18169.189999999999"/>
  </r>
  <r>
    <n v="100000710"/>
    <s v="Julia"/>
    <s v="Harris"/>
    <x v="1"/>
    <x v="10"/>
    <x v="0"/>
    <s v="White Collar"/>
    <x v="90"/>
    <n v="52102.28"/>
  </r>
  <r>
    <n v="200000711"/>
    <s v="Kylie"/>
    <s v="Skinner"/>
    <x v="1"/>
    <x v="27"/>
    <x v="3"/>
    <s v="Other"/>
    <x v="90"/>
    <n v="82160.5"/>
  </r>
  <r>
    <n v="200000712"/>
    <s v="Gordon"/>
    <s v="Simpson"/>
    <x v="0"/>
    <x v="41"/>
    <x v="3"/>
    <s v="Blue Collar"/>
    <x v="90"/>
    <n v="87050.11"/>
  </r>
  <r>
    <n v="200000713"/>
    <s v="Liam"/>
    <s v="Greene"/>
    <x v="0"/>
    <x v="41"/>
    <x v="3"/>
    <s v="Blue Collar"/>
    <x v="90"/>
    <n v="55163.34"/>
  </r>
  <r>
    <n v="200000714"/>
    <s v="Ian"/>
    <s v="Manning"/>
    <x v="0"/>
    <x v="34"/>
    <x v="3"/>
    <s v="Other"/>
    <x v="90"/>
    <n v="15444.28"/>
  </r>
  <r>
    <n v="200000715"/>
    <s v="Sebastian"/>
    <s v="Mackenzie"/>
    <x v="0"/>
    <x v="39"/>
    <x v="3"/>
    <s v="Blue Collar"/>
    <x v="90"/>
    <n v="20747.04"/>
  </r>
  <r>
    <n v="200000716"/>
    <s v="Theresa"/>
    <s v="Fraser"/>
    <x v="1"/>
    <x v="23"/>
    <x v="3"/>
    <s v="White Collar"/>
    <x v="90"/>
    <n v="44129.74"/>
  </r>
  <r>
    <n v="300000717"/>
    <s v="Anne"/>
    <s v="Allan"/>
    <x v="1"/>
    <x v="5"/>
    <x v="2"/>
    <s v="White Collar"/>
    <x v="90"/>
    <n v="16103.61"/>
  </r>
  <r>
    <n v="300000718"/>
    <s v="Colin"/>
    <s v="Hill"/>
    <x v="0"/>
    <x v="3"/>
    <x v="2"/>
    <s v="White Collar"/>
    <x v="90"/>
    <n v="37564.21"/>
  </r>
  <r>
    <n v="300000719"/>
    <s v="Sebastian"/>
    <s v="North"/>
    <x v="0"/>
    <x v="3"/>
    <x v="2"/>
    <s v="White Collar"/>
    <x v="90"/>
    <n v="88416.84"/>
  </r>
  <r>
    <n v="400000720"/>
    <s v="William"/>
    <s v="Grant"/>
    <x v="0"/>
    <x v="21"/>
    <x v="1"/>
    <s v="White Collar"/>
    <x v="90"/>
    <n v="988.73"/>
  </r>
  <r>
    <n v="400000721"/>
    <s v="James"/>
    <s v="Dowd"/>
    <x v="0"/>
    <x v="7"/>
    <x v="1"/>
    <s v="White Collar"/>
    <x v="90"/>
    <n v="93525.03"/>
  </r>
  <r>
    <n v="100000722"/>
    <s v="Katherine"/>
    <s v="Paterson"/>
    <x v="1"/>
    <x v="12"/>
    <x v="0"/>
    <s v="White Collar"/>
    <x v="91"/>
    <n v="51542.67"/>
  </r>
  <r>
    <n v="100000723"/>
    <s v="Justin"/>
    <s v="Campbell"/>
    <x v="0"/>
    <x v="32"/>
    <x v="0"/>
    <s v="White Collar"/>
    <x v="91"/>
    <n v="39923.4"/>
  </r>
  <r>
    <n v="100000724"/>
    <s v="Una"/>
    <s v="Blake"/>
    <x v="1"/>
    <x v="16"/>
    <x v="0"/>
    <s v="White Collar"/>
    <x v="91"/>
    <n v="3786.28"/>
  </r>
  <r>
    <n v="200000725"/>
    <s v="Kevin"/>
    <s v="Hudson"/>
    <x v="0"/>
    <x v="23"/>
    <x v="3"/>
    <s v="Blue Collar"/>
    <x v="91"/>
    <n v="25916.21"/>
  </r>
  <r>
    <n v="200000726"/>
    <s v="Peter"/>
    <s v="Chapman"/>
    <x v="0"/>
    <x v="32"/>
    <x v="3"/>
    <s v="Other"/>
    <x v="91"/>
    <n v="2362.16"/>
  </r>
  <r>
    <n v="200000727"/>
    <s v="Steven"/>
    <s v="Jackson"/>
    <x v="0"/>
    <x v="27"/>
    <x v="3"/>
    <s v="Other"/>
    <x v="91"/>
    <n v="44740.65"/>
  </r>
  <r>
    <n v="200000728"/>
    <s v="John"/>
    <s v="Buckland"/>
    <x v="0"/>
    <x v="42"/>
    <x v="3"/>
    <s v="Other"/>
    <x v="91"/>
    <n v="23026.639999999999"/>
  </r>
  <r>
    <n v="300000729"/>
    <s v="James"/>
    <s v="Quinn"/>
    <x v="0"/>
    <x v="1"/>
    <x v="2"/>
    <s v="Blue Collar"/>
    <x v="91"/>
    <n v="61450.2"/>
  </r>
  <r>
    <n v="300000730"/>
    <s v="Nicola"/>
    <s v="Howard"/>
    <x v="1"/>
    <x v="7"/>
    <x v="2"/>
    <s v="White Collar"/>
    <x v="91"/>
    <n v="83889.98"/>
  </r>
  <r>
    <n v="300000731"/>
    <s v="Warren"/>
    <s v="Ince"/>
    <x v="0"/>
    <x v="13"/>
    <x v="2"/>
    <s v="White Collar"/>
    <x v="91"/>
    <n v="63986.32"/>
  </r>
  <r>
    <n v="300000732"/>
    <s v="Joshua"/>
    <s v="MacLeod"/>
    <x v="0"/>
    <x v="9"/>
    <x v="2"/>
    <s v="Blue Collar"/>
    <x v="91"/>
    <n v="19438.990000000002"/>
  </r>
  <r>
    <n v="300000733"/>
    <s v="Peter"/>
    <s v="Henderson"/>
    <x v="0"/>
    <x v="28"/>
    <x v="2"/>
    <s v="Blue Collar"/>
    <x v="91"/>
    <n v="8395.4500000000007"/>
  </r>
  <r>
    <n v="300000734"/>
    <s v="Sarah"/>
    <s v="Murray"/>
    <x v="1"/>
    <x v="34"/>
    <x v="2"/>
    <s v="White Collar"/>
    <x v="91"/>
    <n v="16542.71"/>
  </r>
  <r>
    <n v="300000735"/>
    <s v="John"/>
    <s v="Anderson"/>
    <x v="0"/>
    <x v="38"/>
    <x v="2"/>
    <s v="Other"/>
    <x v="91"/>
    <n v="18064.46"/>
  </r>
  <r>
    <n v="300000736"/>
    <s v="Anne"/>
    <s v="Butler"/>
    <x v="1"/>
    <x v="7"/>
    <x v="2"/>
    <s v="Blue Collar"/>
    <x v="91"/>
    <n v="33670.19"/>
  </r>
  <r>
    <n v="400000737"/>
    <s v="Katherine"/>
    <s v="Clark"/>
    <x v="1"/>
    <x v="4"/>
    <x v="1"/>
    <s v="Other"/>
    <x v="91"/>
    <n v="41266.870000000003"/>
  </r>
  <r>
    <n v="400000738"/>
    <s v="Natalie"/>
    <s v="Tucker"/>
    <x v="1"/>
    <x v="37"/>
    <x v="1"/>
    <s v="Other"/>
    <x v="91"/>
    <n v="25398.03"/>
  </r>
  <r>
    <n v="400000739"/>
    <s v="Yvonne"/>
    <s v="Bower"/>
    <x v="1"/>
    <x v="13"/>
    <x v="1"/>
    <s v="Other"/>
    <x v="91"/>
    <n v="34515.67"/>
  </r>
  <r>
    <n v="400000740"/>
    <s v="Michael"/>
    <s v="Hamilton"/>
    <x v="0"/>
    <x v="30"/>
    <x v="1"/>
    <s v="Blue Collar"/>
    <x v="91"/>
    <n v="56838.19"/>
  </r>
  <r>
    <n v="400000741"/>
    <s v="Fiona"/>
    <s v="Rees"/>
    <x v="1"/>
    <x v="4"/>
    <x v="1"/>
    <s v="Other"/>
    <x v="91"/>
    <n v="7828.3"/>
  </r>
  <r>
    <n v="100000742"/>
    <s v="Brandon"/>
    <s v="Churchill"/>
    <x v="0"/>
    <x v="1"/>
    <x v="0"/>
    <s v="White Collar"/>
    <x v="92"/>
    <n v="44552.66"/>
  </r>
  <r>
    <n v="100000743"/>
    <s v="Jan"/>
    <s v="Underwood"/>
    <x v="1"/>
    <x v="28"/>
    <x v="0"/>
    <s v="Other"/>
    <x v="92"/>
    <n v="83088.67"/>
  </r>
  <r>
    <n v="100000744"/>
    <s v="Ruth"/>
    <s v="Ince"/>
    <x v="1"/>
    <x v="4"/>
    <x v="0"/>
    <s v="White Collar"/>
    <x v="92"/>
    <n v="15989.89"/>
  </r>
  <r>
    <n v="100000745"/>
    <s v="Victor"/>
    <s v="Wilson"/>
    <x v="0"/>
    <x v="2"/>
    <x v="0"/>
    <s v="White Collar"/>
    <x v="92"/>
    <n v="47074.94"/>
  </r>
  <r>
    <n v="100000746"/>
    <s v="Ava"/>
    <s v="Gibson"/>
    <x v="1"/>
    <x v="1"/>
    <x v="0"/>
    <s v="Other"/>
    <x v="92"/>
    <n v="46037.55"/>
  </r>
  <r>
    <n v="200000747"/>
    <s v="Peter"/>
    <s v="Gibson"/>
    <x v="0"/>
    <x v="28"/>
    <x v="3"/>
    <s v="Blue Collar"/>
    <x v="92"/>
    <n v="6187.55"/>
  </r>
  <r>
    <n v="200000748"/>
    <s v="Lucas"/>
    <s v="Graham"/>
    <x v="0"/>
    <x v="35"/>
    <x v="3"/>
    <s v="Blue Collar"/>
    <x v="92"/>
    <n v="17188.7"/>
  </r>
  <r>
    <n v="200000749"/>
    <s v="Anthony"/>
    <s v="Quinn"/>
    <x v="0"/>
    <x v="12"/>
    <x v="3"/>
    <s v="Blue Collar"/>
    <x v="92"/>
    <n v="16694.22"/>
  </r>
  <r>
    <n v="200000750"/>
    <s v="Anthony"/>
    <s v="Mackenzie"/>
    <x v="0"/>
    <x v="32"/>
    <x v="3"/>
    <s v="Other"/>
    <x v="92"/>
    <n v="12188.75"/>
  </r>
  <r>
    <n v="200000751"/>
    <s v="Brian"/>
    <s v="Bond"/>
    <x v="0"/>
    <x v="26"/>
    <x v="3"/>
    <s v="Blue Collar"/>
    <x v="92"/>
    <n v="837.33"/>
  </r>
  <r>
    <n v="300000752"/>
    <s v="Melanie"/>
    <s v="Buckland"/>
    <x v="1"/>
    <x v="22"/>
    <x v="2"/>
    <s v="White Collar"/>
    <x v="92"/>
    <n v="45887.56"/>
  </r>
  <r>
    <n v="300000753"/>
    <s v="David"/>
    <s v="Mills"/>
    <x v="0"/>
    <x v="1"/>
    <x v="2"/>
    <s v="Other"/>
    <x v="92"/>
    <n v="35449.82"/>
  </r>
  <r>
    <n v="400000754"/>
    <s v="Emily"/>
    <s v="Clarkson"/>
    <x v="1"/>
    <x v="20"/>
    <x v="1"/>
    <s v="Other"/>
    <x v="92"/>
    <n v="16380.24"/>
  </r>
  <r>
    <n v="400000755"/>
    <s v="Angela"/>
    <s v="Oliver"/>
    <x v="1"/>
    <x v="29"/>
    <x v="1"/>
    <s v="Other"/>
    <x v="92"/>
    <n v="4733.29"/>
  </r>
  <r>
    <n v="400000756"/>
    <s v="Joanne"/>
    <s v="May"/>
    <x v="1"/>
    <x v="14"/>
    <x v="1"/>
    <s v="Other"/>
    <x v="92"/>
    <n v="81504.12"/>
  </r>
  <r>
    <n v="400000757"/>
    <s v="Joanne"/>
    <s v="King"/>
    <x v="1"/>
    <x v="34"/>
    <x v="1"/>
    <s v="Other"/>
    <x v="92"/>
    <n v="9490.02"/>
  </r>
  <r>
    <n v="400000758"/>
    <s v="Julia"/>
    <s v="McDonald"/>
    <x v="1"/>
    <x v="21"/>
    <x v="1"/>
    <s v="White Collar"/>
    <x v="92"/>
    <n v="9406.1200000000008"/>
  </r>
  <r>
    <n v="400000759"/>
    <s v="Neil"/>
    <s v="James"/>
    <x v="0"/>
    <x v="14"/>
    <x v="1"/>
    <s v="White Collar"/>
    <x v="92"/>
    <n v="47245.760000000002"/>
  </r>
  <r>
    <n v="100000760"/>
    <s v="Keith"/>
    <s v="Walker"/>
    <x v="0"/>
    <x v="9"/>
    <x v="0"/>
    <s v="White Collar"/>
    <x v="93"/>
    <n v="919.39"/>
  </r>
  <r>
    <n v="100000761"/>
    <s v="Wendy"/>
    <s v="Hardacre"/>
    <x v="1"/>
    <x v="4"/>
    <x v="0"/>
    <s v="White Collar"/>
    <x v="93"/>
    <n v="23848.799999999999"/>
  </r>
  <r>
    <n v="200000762"/>
    <s v="Andrea"/>
    <s v="Robertson"/>
    <x v="1"/>
    <x v="17"/>
    <x v="3"/>
    <s v="Other"/>
    <x v="93"/>
    <n v="44756.41"/>
  </r>
  <r>
    <n v="200000763"/>
    <s v="William"/>
    <s v="Lyman"/>
    <x v="0"/>
    <x v="2"/>
    <x v="3"/>
    <s v="White Collar"/>
    <x v="93"/>
    <n v="46084.51"/>
  </r>
  <r>
    <n v="200000764"/>
    <s v="Carl"/>
    <s v="Arnold"/>
    <x v="0"/>
    <x v="6"/>
    <x v="3"/>
    <s v="Other"/>
    <x v="93"/>
    <n v="137330.94"/>
  </r>
  <r>
    <n v="200000765"/>
    <s v="Paul"/>
    <s v="Baker"/>
    <x v="0"/>
    <x v="31"/>
    <x v="3"/>
    <s v="Blue Collar"/>
    <x v="93"/>
    <n v="5784.28"/>
  </r>
  <r>
    <n v="200000766"/>
    <s v="Keith"/>
    <s v="Ross"/>
    <x v="0"/>
    <x v="34"/>
    <x v="3"/>
    <s v="Blue Collar"/>
    <x v="93"/>
    <n v="85726.19"/>
  </r>
  <r>
    <n v="300000767"/>
    <s v="Chloe"/>
    <s v="Bond"/>
    <x v="1"/>
    <x v="1"/>
    <x v="2"/>
    <s v="White Collar"/>
    <x v="93"/>
    <n v="106555.59"/>
  </r>
  <r>
    <n v="300000768"/>
    <s v="Tracey"/>
    <s v="Clark"/>
    <x v="1"/>
    <x v="10"/>
    <x v="2"/>
    <s v="Other"/>
    <x v="93"/>
    <n v="747.35"/>
  </r>
  <r>
    <n v="400000769"/>
    <s v="Jason"/>
    <s v="Walker"/>
    <x v="0"/>
    <x v="11"/>
    <x v="1"/>
    <s v="White Collar"/>
    <x v="93"/>
    <n v="78004.289999999994"/>
  </r>
  <r>
    <n v="400000770"/>
    <s v="Bella"/>
    <s v="Vaughan"/>
    <x v="1"/>
    <x v="26"/>
    <x v="1"/>
    <s v="White Collar"/>
    <x v="93"/>
    <n v="58585.68"/>
  </r>
  <r>
    <n v="100000771"/>
    <s v="Joe"/>
    <s v="Short"/>
    <x v="0"/>
    <x v="31"/>
    <x v="0"/>
    <s v="White Collar"/>
    <x v="94"/>
    <n v="15861"/>
  </r>
  <r>
    <n v="100000772"/>
    <s v="Alexander"/>
    <s v="Anderson"/>
    <x v="0"/>
    <x v="3"/>
    <x v="0"/>
    <s v="White Collar"/>
    <x v="94"/>
    <n v="97377.64"/>
  </r>
  <r>
    <n v="100000773"/>
    <s v="Austin"/>
    <s v="Lee"/>
    <x v="0"/>
    <x v="34"/>
    <x v="0"/>
    <s v="Other"/>
    <x v="94"/>
    <n v="53554.5"/>
  </r>
  <r>
    <n v="200000774"/>
    <s v="Blake"/>
    <s v="Vance"/>
    <x v="0"/>
    <x v="1"/>
    <x v="3"/>
    <s v="Blue Collar"/>
    <x v="94"/>
    <n v="9347.83"/>
  </r>
  <r>
    <n v="200000775"/>
    <s v="Warren"/>
    <s v="Roberts"/>
    <x v="0"/>
    <x v="14"/>
    <x v="3"/>
    <s v="Blue Collar"/>
    <x v="94"/>
    <n v="69.010000000000005"/>
  </r>
  <r>
    <n v="300000776"/>
    <s v="Connor"/>
    <s v="Nolan"/>
    <x v="0"/>
    <x v="3"/>
    <x v="2"/>
    <s v="Other"/>
    <x v="94"/>
    <n v="62131.4"/>
  </r>
  <r>
    <n v="300000777"/>
    <s v="Jasmine"/>
    <s v="Lee"/>
    <x v="1"/>
    <x v="26"/>
    <x v="2"/>
    <s v="White Collar"/>
    <x v="94"/>
    <n v="47414.52"/>
  </r>
  <r>
    <n v="300000778"/>
    <s v="Christopher"/>
    <s v="McGrath"/>
    <x v="0"/>
    <x v="38"/>
    <x v="2"/>
    <s v="Blue Collar"/>
    <x v="94"/>
    <n v="2511.02"/>
  </r>
  <r>
    <n v="300000779"/>
    <s v="Deirdre"/>
    <s v="Parsons"/>
    <x v="1"/>
    <x v="12"/>
    <x v="2"/>
    <s v="White Collar"/>
    <x v="94"/>
    <n v="39797.910000000003"/>
  </r>
  <r>
    <n v="400000780"/>
    <s v="Victor"/>
    <s v="Quinn"/>
    <x v="0"/>
    <x v="13"/>
    <x v="1"/>
    <s v="Blue Collar"/>
    <x v="94"/>
    <n v="96409.06"/>
  </r>
  <r>
    <n v="100000781"/>
    <s v="Sonia"/>
    <s v="Welch"/>
    <x v="1"/>
    <x v="3"/>
    <x v="0"/>
    <s v="Other"/>
    <x v="95"/>
    <n v="74530.06"/>
  </r>
  <r>
    <n v="100000782"/>
    <s v="Penelope"/>
    <s v="Rampling"/>
    <x v="1"/>
    <x v="13"/>
    <x v="0"/>
    <s v="White Collar"/>
    <x v="95"/>
    <n v="12994.54"/>
  </r>
  <r>
    <n v="100000783"/>
    <s v="Christopher"/>
    <s v="Davies"/>
    <x v="0"/>
    <x v="6"/>
    <x v="0"/>
    <s v="White Collar"/>
    <x v="95"/>
    <n v="9344.48"/>
  </r>
  <r>
    <n v="200000784"/>
    <s v="Dominic"/>
    <s v="Hart"/>
    <x v="0"/>
    <x v="28"/>
    <x v="3"/>
    <s v="Blue Collar"/>
    <x v="95"/>
    <n v="24930.12"/>
  </r>
  <r>
    <n v="200000785"/>
    <s v="Joshua"/>
    <s v="Henderson"/>
    <x v="0"/>
    <x v="27"/>
    <x v="3"/>
    <s v="White Collar"/>
    <x v="95"/>
    <n v="25554.52"/>
  </r>
  <r>
    <n v="300000786"/>
    <s v="Bernadette"/>
    <s v="Jackson"/>
    <x v="1"/>
    <x v="12"/>
    <x v="2"/>
    <s v="Blue Collar"/>
    <x v="95"/>
    <n v="65364.639999999999"/>
  </r>
  <r>
    <n v="300000787"/>
    <s v="Neil"/>
    <s v="Sanderson"/>
    <x v="0"/>
    <x v="4"/>
    <x v="2"/>
    <s v="Blue Collar"/>
    <x v="95"/>
    <n v="69471.06"/>
  </r>
  <r>
    <n v="100000788"/>
    <s v="Kylie"/>
    <s v="Lawrence"/>
    <x v="1"/>
    <x v="28"/>
    <x v="0"/>
    <s v="White Collar"/>
    <x v="96"/>
    <n v="39175.760000000002"/>
  </r>
  <r>
    <n v="100000789"/>
    <s v="Brian"/>
    <s v="Thomson"/>
    <x v="0"/>
    <x v="26"/>
    <x v="0"/>
    <s v="White Collar"/>
    <x v="96"/>
    <n v="3932.55"/>
  </r>
  <r>
    <n v="100000790"/>
    <s v="Sonia"/>
    <s v="Hughes"/>
    <x v="1"/>
    <x v="35"/>
    <x v="0"/>
    <s v="White Collar"/>
    <x v="96"/>
    <n v="10872.02"/>
  </r>
  <r>
    <n v="200000791"/>
    <s v="Pippa"/>
    <s v="Walsh"/>
    <x v="1"/>
    <x v="34"/>
    <x v="3"/>
    <s v="White Collar"/>
    <x v="96"/>
    <n v="56216.25"/>
  </r>
  <r>
    <n v="200000792"/>
    <s v="Victor"/>
    <s v="Mathis"/>
    <x v="0"/>
    <x v="18"/>
    <x v="3"/>
    <s v="Blue Collar"/>
    <x v="96"/>
    <n v="8441.89"/>
  </r>
  <r>
    <n v="200000793"/>
    <s v="Charles"/>
    <s v="McDonald"/>
    <x v="0"/>
    <x v="28"/>
    <x v="3"/>
    <s v="Other"/>
    <x v="96"/>
    <n v="17538.34"/>
  </r>
  <r>
    <n v="300000794"/>
    <s v="Cameron"/>
    <s v="Alsop"/>
    <x v="0"/>
    <x v="16"/>
    <x v="2"/>
    <s v="White Collar"/>
    <x v="96"/>
    <n v="132675.53"/>
  </r>
  <r>
    <n v="400000795"/>
    <s v="Amanda"/>
    <s v="King"/>
    <x v="1"/>
    <x v="13"/>
    <x v="1"/>
    <s v="Other"/>
    <x v="96"/>
    <n v="18645.55"/>
  </r>
  <r>
    <n v="100000796"/>
    <s v="Tracey"/>
    <s v="Ogden"/>
    <x v="1"/>
    <x v="38"/>
    <x v="0"/>
    <s v="White Collar"/>
    <x v="97"/>
    <n v="34796.83"/>
  </r>
  <r>
    <n v="100000797"/>
    <s v="Penelope"/>
    <s v="Mackenzie"/>
    <x v="1"/>
    <x v="30"/>
    <x v="0"/>
    <s v="Blue Collar"/>
    <x v="97"/>
    <n v="33338.42"/>
  </r>
  <r>
    <n v="100000798"/>
    <s v="Karen"/>
    <s v="Tucker"/>
    <x v="1"/>
    <x v="24"/>
    <x v="0"/>
    <s v="Other"/>
    <x v="97"/>
    <n v="8680.3700000000008"/>
  </r>
  <r>
    <n v="200000799"/>
    <s v="Leonard"/>
    <s v="Ogden"/>
    <x v="0"/>
    <x v="34"/>
    <x v="3"/>
    <s v="Blue Collar"/>
    <x v="97"/>
    <n v="62071.23"/>
  </r>
  <r>
    <n v="200000800"/>
    <s v="Nathan"/>
    <s v="Vaughan"/>
    <x v="0"/>
    <x v="10"/>
    <x v="3"/>
    <s v="Blue Collar"/>
    <x v="97"/>
    <n v="27582.12"/>
  </r>
  <r>
    <n v="200000801"/>
    <s v="Karen"/>
    <s v="MacDonald"/>
    <x v="1"/>
    <x v="27"/>
    <x v="3"/>
    <s v="White Collar"/>
    <x v="97"/>
    <n v="35865.54"/>
  </r>
  <r>
    <n v="200000802"/>
    <s v="Eric"/>
    <s v="Slater"/>
    <x v="0"/>
    <x v="41"/>
    <x v="3"/>
    <s v="Other"/>
    <x v="97"/>
    <n v="8844.8700000000008"/>
  </r>
  <r>
    <n v="200000803"/>
    <s v="Jason"/>
    <s v="Clark"/>
    <x v="0"/>
    <x v="25"/>
    <x v="3"/>
    <s v="Blue Collar"/>
    <x v="97"/>
    <n v="56825.53"/>
  </r>
  <r>
    <n v="200000804"/>
    <s v="Yvonne"/>
    <s v="Burgess"/>
    <x v="1"/>
    <x v="2"/>
    <x v="3"/>
    <s v="White Collar"/>
    <x v="97"/>
    <n v="34711.980000000003"/>
  </r>
  <r>
    <n v="200000805"/>
    <s v="John"/>
    <s v="Cameron"/>
    <x v="0"/>
    <x v="17"/>
    <x v="3"/>
    <s v="Other"/>
    <x v="97"/>
    <n v="17953.05"/>
  </r>
  <r>
    <n v="100000806"/>
    <s v="Fiona"/>
    <s v="Allan"/>
    <x v="1"/>
    <x v="10"/>
    <x v="0"/>
    <s v="White Collar"/>
    <x v="98"/>
    <n v="26507.93"/>
  </r>
  <r>
    <n v="100000807"/>
    <s v="Gordon"/>
    <s v="May"/>
    <x v="0"/>
    <x v="10"/>
    <x v="0"/>
    <s v="White Collar"/>
    <x v="98"/>
    <n v="68856.42"/>
  </r>
  <r>
    <n v="100000808"/>
    <s v="Steven"/>
    <s v="Davidson"/>
    <x v="0"/>
    <x v="16"/>
    <x v="0"/>
    <s v="White Collar"/>
    <x v="98"/>
    <n v="37768.870000000003"/>
  </r>
  <r>
    <n v="100000809"/>
    <s v="Dylan"/>
    <s v="Mathis"/>
    <x v="0"/>
    <x v="30"/>
    <x v="0"/>
    <s v="White Collar"/>
    <x v="98"/>
    <n v="9644.68"/>
  </r>
  <r>
    <n v="200000810"/>
    <s v="Felicity"/>
    <s v="Wilkins"/>
    <x v="1"/>
    <x v="6"/>
    <x v="3"/>
    <s v="Other"/>
    <x v="98"/>
    <n v="58229.1"/>
  </r>
  <r>
    <n v="200000811"/>
    <s v="Sonia"/>
    <s v="Peters"/>
    <x v="1"/>
    <x v="17"/>
    <x v="3"/>
    <s v="Other"/>
    <x v="98"/>
    <n v="45693.279999999999"/>
  </r>
  <r>
    <n v="300000812"/>
    <s v="Natalie"/>
    <s v="Wallace"/>
    <x v="1"/>
    <x v="36"/>
    <x v="2"/>
    <s v="White Collar"/>
    <x v="98"/>
    <n v="46151.71"/>
  </r>
  <r>
    <n v="300000813"/>
    <s v="Diane"/>
    <s v="Piper"/>
    <x v="1"/>
    <x v="7"/>
    <x v="2"/>
    <s v="White Collar"/>
    <x v="98"/>
    <n v="91205.06"/>
  </r>
  <r>
    <n v="300000814"/>
    <s v="James"/>
    <s v="Newman"/>
    <x v="0"/>
    <x v="7"/>
    <x v="2"/>
    <s v="Other"/>
    <x v="98"/>
    <n v="1657.46"/>
  </r>
  <r>
    <n v="300000815"/>
    <s v="Pippa"/>
    <s v="Robertson"/>
    <x v="1"/>
    <x v="30"/>
    <x v="2"/>
    <s v="White Collar"/>
    <x v="98"/>
    <n v="15006.48"/>
  </r>
  <r>
    <n v="100000816"/>
    <s v="Cameron"/>
    <s v="Chapman"/>
    <x v="0"/>
    <x v="34"/>
    <x v="0"/>
    <s v="White Collar"/>
    <x v="99"/>
    <n v="14279.24"/>
  </r>
  <r>
    <n v="100000817"/>
    <s v="Melanie"/>
    <s v="Ogden"/>
    <x v="1"/>
    <x v="1"/>
    <x v="0"/>
    <s v="White Collar"/>
    <x v="99"/>
    <n v="84823.05"/>
  </r>
  <r>
    <n v="100000818"/>
    <s v="Tracey"/>
    <s v="Sharp"/>
    <x v="1"/>
    <x v="28"/>
    <x v="0"/>
    <s v="White Collar"/>
    <x v="99"/>
    <n v="15879.06"/>
  </r>
  <r>
    <n v="200000819"/>
    <s v="Katherine"/>
    <s v="Grant"/>
    <x v="1"/>
    <x v="18"/>
    <x v="3"/>
    <s v="Other"/>
    <x v="99"/>
    <n v="9885.69"/>
  </r>
  <r>
    <n v="200000820"/>
    <s v="Lucas"/>
    <s v="Walsh"/>
    <x v="0"/>
    <x v="17"/>
    <x v="3"/>
    <s v="Blue Collar"/>
    <x v="99"/>
    <n v="19187.18"/>
  </r>
  <r>
    <n v="200000821"/>
    <s v="Charles"/>
    <s v="Underwood"/>
    <x v="0"/>
    <x v="27"/>
    <x v="3"/>
    <s v="Blue Collar"/>
    <x v="99"/>
    <n v="42226.31"/>
  </r>
  <r>
    <n v="300000822"/>
    <s v="Leonard"/>
    <s v="Fisher"/>
    <x v="0"/>
    <x v="1"/>
    <x v="2"/>
    <s v="Blue Collar"/>
    <x v="99"/>
    <n v="29527.41"/>
  </r>
  <r>
    <n v="100000823"/>
    <s v="Trevor"/>
    <s v="Tucker"/>
    <x v="0"/>
    <x v="12"/>
    <x v="0"/>
    <s v="Blue Collar"/>
    <x v="100"/>
    <n v="61120.3"/>
  </r>
  <r>
    <n v="100000824"/>
    <s v="Heather"/>
    <s v="Davies"/>
    <x v="1"/>
    <x v="1"/>
    <x v="0"/>
    <s v="White Collar"/>
    <x v="100"/>
    <n v="22808.73"/>
  </r>
  <r>
    <n v="100000825"/>
    <s v="Jason"/>
    <s v="Berry"/>
    <x v="0"/>
    <x v="7"/>
    <x v="0"/>
    <s v="Other"/>
    <x v="100"/>
    <n v="27818.080000000002"/>
  </r>
  <r>
    <n v="100000826"/>
    <s v="Sean"/>
    <s v="Burgess"/>
    <x v="0"/>
    <x v="22"/>
    <x v="0"/>
    <s v="White Collar"/>
    <x v="100"/>
    <n v="36442.300000000003"/>
  </r>
  <r>
    <n v="100000827"/>
    <s v="Amy"/>
    <s v="Buckland"/>
    <x v="1"/>
    <x v="13"/>
    <x v="0"/>
    <s v="White Collar"/>
    <x v="100"/>
    <n v="71026.81"/>
  </r>
  <r>
    <n v="200000828"/>
    <s v="Christopher"/>
    <s v="Langdon"/>
    <x v="0"/>
    <x v="34"/>
    <x v="3"/>
    <s v="Other"/>
    <x v="100"/>
    <n v="13683.26"/>
  </r>
  <r>
    <n v="400000829"/>
    <s v="Lillian"/>
    <s v="Hemmings"/>
    <x v="1"/>
    <x v="30"/>
    <x v="1"/>
    <s v="Other"/>
    <x v="100"/>
    <n v="57983.8"/>
  </r>
  <r>
    <n v="400000830"/>
    <s v="Trevor"/>
    <s v="Mitchell"/>
    <x v="0"/>
    <x v="0"/>
    <x v="1"/>
    <s v="White Collar"/>
    <x v="100"/>
    <n v="27022.94"/>
  </r>
  <r>
    <n v="100000831"/>
    <s v="Steven"/>
    <s v="Morrison"/>
    <x v="0"/>
    <x v="14"/>
    <x v="0"/>
    <s v="White Collar"/>
    <x v="101"/>
    <n v="17556.02"/>
  </r>
  <r>
    <n v="100000832"/>
    <s v="David"/>
    <s v="Turner"/>
    <x v="0"/>
    <x v="12"/>
    <x v="0"/>
    <s v="White Collar"/>
    <x v="101"/>
    <n v="65227.05"/>
  </r>
  <r>
    <n v="200000833"/>
    <s v="Benjamin"/>
    <s v="King"/>
    <x v="0"/>
    <x v="41"/>
    <x v="3"/>
    <s v="Blue Collar"/>
    <x v="101"/>
    <n v="30687.34"/>
  </r>
  <r>
    <n v="200000834"/>
    <s v="Sebastian"/>
    <s v="Morgan"/>
    <x v="0"/>
    <x v="8"/>
    <x v="3"/>
    <s v="Other"/>
    <x v="101"/>
    <n v="62472.65"/>
  </r>
  <r>
    <n v="100000835"/>
    <s v="Leonard"/>
    <s v="Gibson"/>
    <x v="0"/>
    <x v="9"/>
    <x v="0"/>
    <s v="White Collar"/>
    <x v="102"/>
    <n v="38087.629999999997"/>
  </r>
  <r>
    <n v="100000836"/>
    <s v="Bella"/>
    <s v="Metcalfe"/>
    <x v="1"/>
    <x v="22"/>
    <x v="0"/>
    <s v="White Collar"/>
    <x v="102"/>
    <n v="48766.55"/>
  </r>
  <r>
    <n v="400000837"/>
    <s v="Sean"/>
    <s v="Rampling"/>
    <x v="0"/>
    <x v="30"/>
    <x v="1"/>
    <s v="White Collar"/>
    <x v="102"/>
    <n v="57397.59"/>
  </r>
  <r>
    <n v="100000838"/>
    <s v="Felicity"/>
    <s v="MacLeod"/>
    <x v="1"/>
    <x v="20"/>
    <x v="0"/>
    <s v="White Collar"/>
    <x v="103"/>
    <n v="130797.71"/>
  </r>
  <r>
    <n v="100000839"/>
    <s v="Nathan"/>
    <s v="Kerr"/>
    <x v="0"/>
    <x v="31"/>
    <x v="0"/>
    <s v="White Collar"/>
    <x v="103"/>
    <n v="55484.77"/>
  </r>
  <r>
    <n v="100000840"/>
    <s v="Gavin"/>
    <s v="Forsyth"/>
    <x v="0"/>
    <x v="3"/>
    <x v="0"/>
    <s v="White Collar"/>
    <x v="103"/>
    <n v="27236.35"/>
  </r>
  <r>
    <n v="100000841"/>
    <s v="Donna"/>
    <s v="Davidson"/>
    <x v="1"/>
    <x v="8"/>
    <x v="0"/>
    <s v="Other"/>
    <x v="103"/>
    <n v="1081.3800000000001"/>
  </r>
  <r>
    <n v="200000842"/>
    <s v="Matt"/>
    <s v="Manning"/>
    <x v="0"/>
    <x v="47"/>
    <x v="3"/>
    <s v="Blue Collar"/>
    <x v="103"/>
    <n v="3775.44"/>
  </r>
  <r>
    <n v="200000843"/>
    <s v="Adam"/>
    <s v="Gibson"/>
    <x v="0"/>
    <x v="25"/>
    <x v="3"/>
    <s v="Blue Collar"/>
    <x v="103"/>
    <n v="56695.35"/>
  </r>
  <r>
    <n v="200000844"/>
    <s v="Sarah"/>
    <s v="Blake"/>
    <x v="1"/>
    <x v="22"/>
    <x v="3"/>
    <s v="Other"/>
    <x v="103"/>
    <n v="22134.94"/>
  </r>
  <r>
    <n v="300000845"/>
    <s v="Christopher"/>
    <s v="Ogden"/>
    <x v="0"/>
    <x v="34"/>
    <x v="2"/>
    <s v="Blue Collar"/>
    <x v="103"/>
    <n v="70114.570000000007"/>
  </r>
  <r>
    <n v="100000846"/>
    <s v="Felicity"/>
    <s v="Butler"/>
    <x v="1"/>
    <x v="2"/>
    <x v="0"/>
    <s v="Blue Collar"/>
    <x v="104"/>
    <n v="20515.25"/>
  </r>
  <r>
    <n v="100000847"/>
    <s v="Virginia"/>
    <s v="Newman"/>
    <x v="1"/>
    <x v="30"/>
    <x v="0"/>
    <s v="White Collar"/>
    <x v="104"/>
    <n v="31495.71"/>
  </r>
  <r>
    <n v="100000848"/>
    <s v="Tim"/>
    <s v="Hamilton"/>
    <x v="0"/>
    <x v="24"/>
    <x v="0"/>
    <s v="White Collar"/>
    <x v="104"/>
    <n v="78010.570000000007"/>
  </r>
  <r>
    <n v="100000849"/>
    <s v="Lily"/>
    <s v="Gill"/>
    <x v="1"/>
    <x v="20"/>
    <x v="0"/>
    <s v="White Collar"/>
    <x v="104"/>
    <n v="2703.33"/>
  </r>
  <r>
    <n v="100000850"/>
    <s v="Austin"/>
    <s v="Chapman"/>
    <x v="0"/>
    <x v="12"/>
    <x v="0"/>
    <s v="Blue Collar"/>
    <x v="104"/>
    <n v="44399.73"/>
  </r>
  <r>
    <n v="100000851"/>
    <s v="Victor"/>
    <s v="Clark"/>
    <x v="0"/>
    <x v="3"/>
    <x v="0"/>
    <s v="White Collar"/>
    <x v="104"/>
    <n v="19378.62"/>
  </r>
  <r>
    <n v="300000852"/>
    <s v="Kevin"/>
    <s v="Parsons"/>
    <x v="0"/>
    <x v="27"/>
    <x v="2"/>
    <s v="White Collar"/>
    <x v="104"/>
    <n v="22477.05"/>
  </r>
  <r>
    <n v="100000853"/>
    <s v="Claire"/>
    <s v="Hudson"/>
    <x v="1"/>
    <x v="12"/>
    <x v="0"/>
    <s v="White Collar"/>
    <x v="105"/>
    <n v="15461.71"/>
  </r>
  <r>
    <n v="100000854"/>
    <s v="Carl"/>
    <s v="Clark"/>
    <x v="0"/>
    <x v="8"/>
    <x v="0"/>
    <s v="White Collar"/>
    <x v="105"/>
    <n v="40303.71"/>
  </r>
  <r>
    <n v="200000855"/>
    <s v="John"/>
    <s v="Campbell"/>
    <x v="0"/>
    <x v="9"/>
    <x v="3"/>
    <s v="Blue Collar"/>
    <x v="105"/>
    <n v="10718.8"/>
  </r>
  <r>
    <n v="200000856"/>
    <s v="William"/>
    <s v="McLean"/>
    <x v="0"/>
    <x v="16"/>
    <x v="3"/>
    <s v="Blue Collar"/>
    <x v="105"/>
    <n v="67100.09"/>
  </r>
  <r>
    <n v="300000857"/>
    <s v="Sophie"/>
    <s v="Ince"/>
    <x v="1"/>
    <x v="20"/>
    <x v="2"/>
    <s v="Blue Collar"/>
    <x v="105"/>
    <n v="15700.14"/>
  </r>
  <r>
    <n v="100000858"/>
    <s v="Simon"/>
    <s v="Baker"/>
    <x v="0"/>
    <x v="34"/>
    <x v="0"/>
    <s v="Blue Collar"/>
    <x v="106"/>
    <n v="12326.19"/>
  </r>
  <r>
    <n v="100000859"/>
    <s v="Amy"/>
    <s v="Glover"/>
    <x v="1"/>
    <x v="7"/>
    <x v="0"/>
    <s v="White Collar"/>
    <x v="106"/>
    <n v="20019.580000000002"/>
  </r>
  <r>
    <n v="100000860"/>
    <s v="Rebecca"/>
    <s v="Ross"/>
    <x v="1"/>
    <x v="4"/>
    <x v="0"/>
    <s v="White Collar"/>
    <x v="106"/>
    <n v="9100.32"/>
  </r>
  <r>
    <n v="100000861"/>
    <s v="Sally"/>
    <s v="Graham"/>
    <x v="1"/>
    <x v="28"/>
    <x v="0"/>
    <s v="Blue Collar"/>
    <x v="106"/>
    <n v="9098.32"/>
  </r>
  <r>
    <n v="100000862"/>
    <s v="Jack"/>
    <s v="Young"/>
    <x v="0"/>
    <x v="13"/>
    <x v="0"/>
    <s v="Other"/>
    <x v="106"/>
    <n v="20938.59"/>
  </r>
  <r>
    <n v="200000863"/>
    <s v="Theresa"/>
    <s v="Quinn"/>
    <x v="1"/>
    <x v="8"/>
    <x v="3"/>
    <s v="Other"/>
    <x v="106"/>
    <n v="82725.38"/>
  </r>
  <r>
    <n v="200000864"/>
    <s v="Harry"/>
    <s v="Hardacre"/>
    <x v="0"/>
    <x v="15"/>
    <x v="3"/>
    <s v="Blue Collar"/>
    <x v="106"/>
    <n v="36743"/>
  </r>
  <r>
    <n v="200000865"/>
    <s v="Kimberly"/>
    <s v="Cornish"/>
    <x v="1"/>
    <x v="32"/>
    <x v="3"/>
    <s v="Other"/>
    <x v="106"/>
    <n v="57420.82"/>
  </r>
  <r>
    <n v="200000866"/>
    <s v="James"/>
    <s v="Gibson"/>
    <x v="0"/>
    <x v="39"/>
    <x v="3"/>
    <s v="Blue Collar"/>
    <x v="106"/>
    <n v="31933.56"/>
  </r>
  <r>
    <n v="100000867"/>
    <s v="Evan"/>
    <s v="Abraham"/>
    <x v="0"/>
    <x v="4"/>
    <x v="0"/>
    <s v="White Collar"/>
    <x v="107"/>
    <n v="4562.7700000000004"/>
  </r>
  <r>
    <n v="100000868"/>
    <s v="Nicola"/>
    <s v="Walsh"/>
    <x v="1"/>
    <x v="31"/>
    <x v="0"/>
    <s v="White Collar"/>
    <x v="107"/>
    <n v="19645.169999999998"/>
  </r>
  <r>
    <n v="100000869"/>
    <s v="Justin"/>
    <s v="Chapman"/>
    <x v="0"/>
    <x v="1"/>
    <x v="0"/>
    <s v="White Collar"/>
    <x v="107"/>
    <n v="22571.15"/>
  </r>
  <r>
    <n v="100000870"/>
    <s v="Max"/>
    <s v="Rees"/>
    <x v="0"/>
    <x v="4"/>
    <x v="0"/>
    <s v="White Collar"/>
    <x v="107"/>
    <n v="19703.37"/>
  </r>
  <r>
    <n v="100000871"/>
    <s v="Joshua"/>
    <s v="Kelly"/>
    <x v="0"/>
    <x v="9"/>
    <x v="0"/>
    <s v="White Collar"/>
    <x v="107"/>
    <n v="79434.98"/>
  </r>
  <r>
    <n v="100000872"/>
    <s v="Sally"/>
    <s v="MacDonald"/>
    <x v="1"/>
    <x v="2"/>
    <x v="0"/>
    <s v="White Collar"/>
    <x v="107"/>
    <n v="20383.64"/>
  </r>
  <r>
    <n v="100000873"/>
    <s v="Chloe"/>
    <s v="McDonald"/>
    <x v="1"/>
    <x v="5"/>
    <x v="0"/>
    <s v="White Collar"/>
    <x v="107"/>
    <n v="35243.71"/>
  </r>
  <r>
    <n v="100000874"/>
    <s v="Julia"/>
    <s v="Alsop"/>
    <x v="1"/>
    <x v="1"/>
    <x v="0"/>
    <s v="White Collar"/>
    <x v="107"/>
    <n v="10218.700000000001"/>
  </r>
  <r>
    <n v="100000875"/>
    <s v="Jason"/>
    <s v="MacLeod"/>
    <x v="0"/>
    <x v="28"/>
    <x v="0"/>
    <s v="White Collar"/>
    <x v="107"/>
    <n v="69979.67"/>
  </r>
  <r>
    <n v="100000876"/>
    <s v="Tracey"/>
    <s v="Pullman"/>
    <x v="1"/>
    <x v="22"/>
    <x v="0"/>
    <s v="White Collar"/>
    <x v="107"/>
    <n v="26731.119999999999"/>
  </r>
  <r>
    <n v="100000877"/>
    <s v="Megan"/>
    <s v="Reid"/>
    <x v="1"/>
    <x v="1"/>
    <x v="0"/>
    <s v="White Collar"/>
    <x v="107"/>
    <n v="76181.33"/>
  </r>
  <r>
    <n v="100000878"/>
    <s v="Felicity"/>
    <s v="Metcalfe"/>
    <x v="1"/>
    <x v="26"/>
    <x v="0"/>
    <s v="White Collar"/>
    <x v="108"/>
    <n v="31498.959999999999"/>
  </r>
  <r>
    <n v="100000879"/>
    <s v="Ryan"/>
    <s v="Russell"/>
    <x v="0"/>
    <x v="13"/>
    <x v="0"/>
    <s v="White Collar"/>
    <x v="108"/>
    <n v="38820.410000000003"/>
  </r>
  <r>
    <n v="100000880"/>
    <s v="Rachel"/>
    <s v="Springer"/>
    <x v="1"/>
    <x v="13"/>
    <x v="0"/>
    <s v="Blue Collar"/>
    <x v="108"/>
    <n v="20304.099999999999"/>
  </r>
  <r>
    <n v="100000881"/>
    <s v="Joan"/>
    <s v="Nash"/>
    <x v="1"/>
    <x v="4"/>
    <x v="0"/>
    <s v="Blue Collar"/>
    <x v="108"/>
    <n v="40515.599999999999"/>
  </r>
  <r>
    <n v="100000882"/>
    <s v="Piers"/>
    <s v="Simpson"/>
    <x v="0"/>
    <x v="36"/>
    <x v="0"/>
    <s v="White Collar"/>
    <x v="108"/>
    <n v="13049.38"/>
  </r>
  <r>
    <n v="100000883"/>
    <s v="Sarah"/>
    <s v="Skinner"/>
    <x v="1"/>
    <x v="8"/>
    <x v="0"/>
    <s v="White Collar"/>
    <x v="108"/>
    <n v="38638.28"/>
  </r>
  <r>
    <n v="100000884"/>
    <s v="Lisa"/>
    <s v="Turner"/>
    <x v="1"/>
    <x v="11"/>
    <x v="0"/>
    <s v="White Collar"/>
    <x v="108"/>
    <n v="38243.22"/>
  </r>
  <r>
    <n v="100000885"/>
    <s v="Vanessa"/>
    <s v="Manning"/>
    <x v="1"/>
    <x v="34"/>
    <x v="0"/>
    <s v="White Collar"/>
    <x v="108"/>
    <n v="29123.62"/>
  </r>
  <r>
    <n v="200000886"/>
    <s v="Joe"/>
    <s v="Baker"/>
    <x v="0"/>
    <x v="41"/>
    <x v="3"/>
    <s v="Blue Collar"/>
    <x v="108"/>
    <n v="55672.22"/>
  </r>
  <r>
    <n v="200000887"/>
    <s v="Jan"/>
    <s v="Robertson"/>
    <x v="1"/>
    <x v="4"/>
    <x v="3"/>
    <s v="Other"/>
    <x v="108"/>
    <n v="18241.98"/>
  </r>
  <r>
    <n v="300000888"/>
    <s v="Pippa"/>
    <s v="Gray"/>
    <x v="1"/>
    <x v="21"/>
    <x v="2"/>
    <s v="White Collar"/>
    <x v="108"/>
    <n v="54186.89"/>
  </r>
  <r>
    <n v="100000889"/>
    <s v="Stephen"/>
    <s v="Bailey"/>
    <x v="0"/>
    <x v="14"/>
    <x v="0"/>
    <s v="White Collar"/>
    <x v="109"/>
    <n v="44096.51"/>
  </r>
  <r>
    <n v="100000890"/>
    <s v="Piers"/>
    <s v="Peake"/>
    <x v="0"/>
    <x v="21"/>
    <x v="0"/>
    <s v="Blue Collar"/>
    <x v="109"/>
    <n v="70346.539999999994"/>
  </r>
  <r>
    <n v="100000891"/>
    <s v="Alexandra"/>
    <s v="Mathis"/>
    <x v="1"/>
    <x v="3"/>
    <x v="0"/>
    <s v="Other"/>
    <x v="109"/>
    <n v="48355"/>
  </r>
  <r>
    <n v="100000892"/>
    <s v="Christopher"/>
    <s v="Anderson"/>
    <x v="0"/>
    <x v="24"/>
    <x v="0"/>
    <s v="White Collar"/>
    <x v="109"/>
    <n v="37191.94"/>
  </r>
  <r>
    <n v="100000893"/>
    <s v="Donna"/>
    <s v="Butler"/>
    <x v="1"/>
    <x v="16"/>
    <x v="0"/>
    <s v="White Collar"/>
    <x v="109"/>
    <n v="12212.85"/>
  </r>
  <r>
    <n v="100000894"/>
    <s v="Faith"/>
    <s v="Buckland"/>
    <x v="1"/>
    <x v="10"/>
    <x v="0"/>
    <s v="Other"/>
    <x v="109"/>
    <n v="46957.62"/>
  </r>
  <r>
    <n v="100000895"/>
    <s v="Hannah"/>
    <s v="Terry"/>
    <x v="1"/>
    <x v="7"/>
    <x v="0"/>
    <s v="White Collar"/>
    <x v="109"/>
    <n v="20359.61"/>
  </r>
  <r>
    <n v="200000896"/>
    <s v="Paul"/>
    <s v="Allan"/>
    <x v="0"/>
    <x v="23"/>
    <x v="3"/>
    <s v="Blue Collar"/>
    <x v="109"/>
    <n v="21784.09"/>
  </r>
  <r>
    <n v="200000897"/>
    <s v="Boris"/>
    <s v="Nash"/>
    <x v="0"/>
    <x v="25"/>
    <x v="3"/>
    <s v="Blue Collar"/>
    <x v="109"/>
    <n v="66375.91"/>
  </r>
  <r>
    <n v="100000898"/>
    <s v="Samantha"/>
    <s v="Ross"/>
    <x v="1"/>
    <x v="28"/>
    <x v="0"/>
    <s v="White Collar"/>
    <x v="110"/>
    <n v="24797.11"/>
  </r>
  <r>
    <n v="100000899"/>
    <s v="Amelia"/>
    <s v="Parsons"/>
    <x v="1"/>
    <x v="9"/>
    <x v="0"/>
    <s v="Blue Collar"/>
    <x v="110"/>
    <n v="27635.279999999999"/>
  </r>
  <r>
    <n v="100000900"/>
    <s v="Fiona"/>
    <s v="Miller"/>
    <x v="1"/>
    <x v="1"/>
    <x v="0"/>
    <s v="White Collar"/>
    <x v="110"/>
    <n v="17308.75"/>
  </r>
  <r>
    <n v="100000901"/>
    <s v="Rose"/>
    <s v="Butler"/>
    <x v="1"/>
    <x v="4"/>
    <x v="0"/>
    <s v="White Collar"/>
    <x v="110"/>
    <n v="95477.25"/>
  </r>
  <r>
    <n v="100000902"/>
    <s v="Jake"/>
    <s v="White"/>
    <x v="0"/>
    <x v="14"/>
    <x v="0"/>
    <s v="White Collar"/>
    <x v="110"/>
    <n v="46682.59"/>
  </r>
  <r>
    <n v="200000903"/>
    <s v="Jake"/>
    <s v="Peters"/>
    <x v="0"/>
    <x v="32"/>
    <x v="3"/>
    <s v="Other"/>
    <x v="110"/>
    <n v="21136.880000000001"/>
  </r>
  <r>
    <n v="200000904"/>
    <s v="Ryan"/>
    <s v="Gray"/>
    <x v="0"/>
    <x v="17"/>
    <x v="3"/>
    <s v="Blue Collar"/>
    <x v="110"/>
    <n v="51689.74"/>
  </r>
  <r>
    <n v="300000905"/>
    <s v="Amy"/>
    <s v="Morgan"/>
    <x v="1"/>
    <x v="30"/>
    <x v="2"/>
    <s v="Other"/>
    <x v="110"/>
    <n v="16037.16"/>
  </r>
  <r>
    <n v="100000906"/>
    <s v="Caroline"/>
    <s v="Robertson"/>
    <x v="1"/>
    <x v="13"/>
    <x v="0"/>
    <s v="White Collar"/>
    <x v="111"/>
    <n v="24602.080000000002"/>
  </r>
  <r>
    <n v="100000907"/>
    <s v="Edward"/>
    <s v="Chapman"/>
    <x v="0"/>
    <x v="28"/>
    <x v="0"/>
    <s v="White Collar"/>
    <x v="111"/>
    <n v="71446.539999999994"/>
  </r>
  <r>
    <n v="100000908"/>
    <s v="Christopher"/>
    <s v="Peake"/>
    <x v="0"/>
    <x v="13"/>
    <x v="0"/>
    <s v="White Collar"/>
    <x v="111"/>
    <n v="35693.86"/>
  </r>
  <r>
    <n v="200000909"/>
    <s v="Melanie"/>
    <s v="Hunter"/>
    <x v="1"/>
    <x v="31"/>
    <x v="3"/>
    <s v="Other"/>
    <x v="111"/>
    <n v="96860.93"/>
  </r>
  <r>
    <n v="200000910"/>
    <s v="Owen"/>
    <s v="Henderson"/>
    <x v="0"/>
    <x v="32"/>
    <x v="3"/>
    <s v="Blue Collar"/>
    <x v="111"/>
    <n v="30323.97"/>
  </r>
  <r>
    <n v="200000911"/>
    <s v="Julian"/>
    <s v="Hunter"/>
    <x v="0"/>
    <x v="6"/>
    <x v="3"/>
    <s v="Other"/>
    <x v="111"/>
    <n v="1341.31"/>
  </r>
  <r>
    <n v="200000912"/>
    <s v="Brian"/>
    <s v="Bower"/>
    <x v="0"/>
    <x v="39"/>
    <x v="3"/>
    <s v="Other"/>
    <x v="111"/>
    <n v="40922.28"/>
  </r>
  <r>
    <n v="300000913"/>
    <s v="Dan"/>
    <s v="Robertson"/>
    <x v="0"/>
    <x v="10"/>
    <x v="2"/>
    <s v="Blue Collar"/>
    <x v="111"/>
    <n v="54165.919999999998"/>
  </r>
  <r>
    <n v="400000914"/>
    <s v="Anna"/>
    <s v="Randall"/>
    <x v="1"/>
    <x v="20"/>
    <x v="1"/>
    <s v="Blue Collar"/>
    <x v="111"/>
    <n v="149698.12"/>
  </r>
  <r>
    <n v="400000915"/>
    <s v="Melanie"/>
    <s v="Hemmings"/>
    <x v="1"/>
    <x v="21"/>
    <x v="1"/>
    <s v="Other"/>
    <x v="111"/>
    <n v="54272.56"/>
  </r>
  <r>
    <n v="400000916"/>
    <s v="Matt"/>
    <s v="Grant"/>
    <x v="0"/>
    <x v="22"/>
    <x v="1"/>
    <s v="White Collar"/>
    <x v="111"/>
    <n v="93787.01"/>
  </r>
  <r>
    <n v="100000917"/>
    <s v="Andrea"/>
    <s v="Newman"/>
    <x v="1"/>
    <x v="1"/>
    <x v="0"/>
    <s v="Other"/>
    <x v="112"/>
    <n v="57387.06"/>
  </r>
  <r>
    <n v="100000918"/>
    <s v="Deirdre"/>
    <s v="Nolan"/>
    <x v="1"/>
    <x v="11"/>
    <x v="0"/>
    <s v="White Collar"/>
    <x v="112"/>
    <n v="41988.65"/>
  </r>
  <r>
    <n v="100000919"/>
    <s v="Natalie"/>
    <s v="Duncan"/>
    <x v="1"/>
    <x v="38"/>
    <x v="0"/>
    <s v="White Collar"/>
    <x v="112"/>
    <n v="73859.27"/>
  </r>
  <r>
    <n v="100000920"/>
    <s v="Steven"/>
    <s v="Hill"/>
    <x v="0"/>
    <x v="36"/>
    <x v="0"/>
    <s v="Other"/>
    <x v="112"/>
    <n v="50104.04"/>
  </r>
  <r>
    <n v="100000921"/>
    <s v="William"/>
    <s v="Gibson"/>
    <x v="0"/>
    <x v="32"/>
    <x v="0"/>
    <s v="White Collar"/>
    <x v="112"/>
    <n v="29188.400000000001"/>
  </r>
  <r>
    <n v="100000922"/>
    <s v="Sally"/>
    <s v="Glover"/>
    <x v="1"/>
    <x v="5"/>
    <x v="0"/>
    <s v="White Collar"/>
    <x v="112"/>
    <n v="73490.09"/>
  </r>
  <r>
    <n v="100000923"/>
    <s v="Andrea"/>
    <s v="Henderson"/>
    <x v="1"/>
    <x v="9"/>
    <x v="0"/>
    <s v="White Collar"/>
    <x v="112"/>
    <n v="62886.29"/>
  </r>
  <r>
    <n v="200000924"/>
    <s v="Gabrielle"/>
    <s v="Blake"/>
    <x v="1"/>
    <x v="46"/>
    <x v="3"/>
    <s v="Other"/>
    <x v="112"/>
    <n v="66713"/>
  </r>
  <r>
    <n v="100000925"/>
    <s v="Andrew"/>
    <s v="Bell"/>
    <x v="0"/>
    <x v="1"/>
    <x v="0"/>
    <s v="White Collar"/>
    <x v="113"/>
    <n v="7729.88"/>
  </r>
  <r>
    <n v="100000926"/>
    <s v="Dan"/>
    <s v="Johnston"/>
    <x v="0"/>
    <x v="25"/>
    <x v="0"/>
    <s v="White Collar"/>
    <x v="113"/>
    <n v="60180.76"/>
  </r>
  <r>
    <n v="100000927"/>
    <s v="Victoria"/>
    <s v="Wilson"/>
    <x v="1"/>
    <x v="14"/>
    <x v="0"/>
    <s v="White Collar"/>
    <x v="113"/>
    <n v="87912.9"/>
  </r>
  <r>
    <n v="100000928"/>
    <s v="Stephen"/>
    <s v="Glover"/>
    <x v="0"/>
    <x v="5"/>
    <x v="0"/>
    <s v="White Collar"/>
    <x v="113"/>
    <n v="21157.3"/>
  </r>
  <r>
    <n v="100000929"/>
    <s v="Fiona"/>
    <s v="Wright"/>
    <x v="1"/>
    <x v="22"/>
    <x v="0"/>
    <s v="White Collar"/>
    <x v="113"/>
    <n v="22932.94"/>
  </r>
  <r>
    <n v="100000930"/>
    <s v="Amelia"/>
    <s v="Hughes"/>
    <x v="1"/>
    <x v="22"/>
    <x v="0"/>
    <s v="White Collar"/>
    <x v="113"/>
    <n v="21314.68"/>
  </r>
  <r>
    <n v="100000931"/>
    <s v="Maria"/>
    <s v="Lawrence"/>
    <x v="1"/>
    <x v="8"/>
    <x v="0"/>
    <s v="White Collar"/>
    <x v="113"/>
    <n v="22298.93"/>
  </r>
  <r>
    <n v="100000932"/>
    <s v="Abigail"/>
    <s v="Ferguson"/>
    <x v="1"/>
    <x v="5"/>
    <x v="0"/>
    <s v="White Collar"/>
    <x v="113"/>
    <n v="14184.7"/>
  </r>
  <r>
    <n v="100000933"/>
    <s v="Gavin"/>
    <s v="Harris"/>
    <x v="0"/>
    <x v="3"/>
    <x v="0"/>
    <s v="Blue Collar"/>
    <x v="113"/>
    <n v="23899.56"/>
  </r>
  <r>
    <n v="100000934"/>
    <s v="Heather"/>
    <s v="Abraham"/>
    <x v="1"/>
    <x v="22"/>
    <x v="0"/>
    <s v="White Collar"/>
    <x v="113"/>
    <n v="14360.43"/>
  </r>
  <r>
    <n v="100000935"/>
    <s v="Felicity"/>
    <s v="Miller"/>
    <x v="1"/>
    <x v="3"/>
    <x v="0"/>
    <s v="Other"/>
    <x v="113"/>
    <n v="42248.4"/>
  </r>
  <r>
    <n v="100000936"/>
    <s v="Alexandra"/>
    <s v="Henderson"/>
    <x v="1"/>
    <x v="12"/>
    <x v="0"/>
    <s v="White Collar"/>
    <x v="113"/>
    <n v="9406.07"/>
  </r>
  <r>
    <n v="100000937"/>
    <s v="Karen"/>
    <s v="White"/>
    <x v="1"/>
    <x v="38"/>
    <x v="0"/>
    <s v="Blue Collar"/>
    <x v="113"/>
    <n v="6921.74"/>
  </r>
  <r>
    <n v="200000938"/>
    <s v="Trevor"/>
    <s v="Harris"/>
    <x v="0"/>
    <x v="17"/>
    <x v="3"/>
    <s v="Blue Collar"/>
    <x v="113"/>
    <n v="29715"/>
  </r>
  <r>
    <n v="200000939"/>
    <s v="Alan"/>
    <s v="Dyer"/>
    <x v="0"/>
    <x v="8"/>
    <x v="3"/>
    <s v="Other"/>
    <x v="113"/>
    <n v="65530.32"/>
  </r>
  <r>
    <n v="200000940"/>
    <s v="Victor"/>
    <s v="Sutherland"/>
    <x v="0"/>
    <x v="15"/>
    <x v="3"/>
    <s v="Blue Collar"/>
    <x v="113"/>
    <n v="27878.55"/>
  </r>
  <r>
    <n v="200000941"/>
    <s v="Benjamin"/>
    <s v="Manning"/>
    <x v="0"/>
    <x v="6"/>
    <x v="3"/>
    <s v="Blue Collar"/>
    <x v="113"/>
    <n v="4941.6499999999996"/>
  </r>
  <r>
    <n v="200000942"/>
    <s v="Richard"/>
    <s v="Roberts"/>
    <x v="0"/>
    <x v="9"/>
    <x v="3"/>
    <s v="White Collar"/>
    <x v="113"/>
    <n v="32790.32"/>
  </r>
  <r>
    <n v="200000943"/>
    <s v="Caroline"/>
    <s v="Walker"/>
    <x v="1"/>
    <x v="28"/>
    <x v="3"/>
    <s v="Other"/>
    <x v="113"/>
    <n v="29481.759999999998"/>
  </r>
  <r>
    <n v="200000944"/>
    <s v="Paul"/>
    <s v="Lyman"/>
    <x v="0"/>
    <x v="28"/>
    <x v="3"/>
    <s v="Other"/>
    <x v="113"/>
    <n v="15090.98"/>
  </r>
  <r>
    <n v="200000945"/>
    <s v="Eric"/>
    <s v="Payne"/>
    <x v="0"/>
    <x v="45"/>
    <x v="3"/>
    <s v="Blue Collar"/>
    <x v="113"/>
    <n v="29719.47"/>
  </r>
  <r>
    <n v="200000946"/>
    <s v="Matt"/>
    <s v="Gibson"/>
    <x v="0"/>
    <x v="27"/>
    <x v="3"/>
    <s v="Blue Collar"/>
    <x v="113"/>
    <n v="15668.02"/>
  </r>
  <r>
    <n v="200000947"/>
    <s v="Katherine"/>
    <s v="Ball"/>
    <x v="1"/>
    <x v="39"/>
    <x v="3"/>
    <s v="Other"/>
    <x v="113"/>
    <n v="105138.65"/>
  </r>
  <r>
    <n v="200000948"/>
    <s v="Zoe"/>
    <s v="Reid"/>
    <x v="1"/>
    <x v="27"/>
    <x v="3"/>
    <s v="White Collar"/>
    <x v="113"/>
    <n v="45663.95"/>
  </r>
  <r>
    <n v="200000949"/>
    <s v="Dylan"/>
    <s v="Ellison"/>
    <x v="0"/>
    <x v="19"/>
    <x v="3"/>
    <s v="Other"/>
    <x v="113"/>
    <n v="2347.34"/>
  </r>
  <r>
    <n v="200000950"/>
    <s v="Adrian"/>
    <s v="Dowd"/>
    <x v="0"/>
    <x v="18"/>
    <x v="3"/>
    <s v="Blue Collar"/>
    <x v="113"/>
    <n v="12231.08"/>
  </r>
  <r>
    <n v="300000951"/>
    <s v="Sean"/>
    <s v="Nash"/>
    <x v="0"/>
    <x v="12"/>
    <x v="2"/>
    <s v="Blue Collar"/>
    <x v="113"/>
    <n v="56653.07"/>
  </r>
  <r>
    <n v="300000952"/>
    <s v="Heather"/>
    <s v="Jones"/>
    <x v="1"/>
    <x v="9"/>
    <x v="2"/>
    <s v="White Collar"/>
    <x v="113"/>
    <n v="24435.72"/>
  </r>
  <r>
    <n v="300000953"/>
    <s v="Paul"/>
    <s v="Robertson"/>
    <x v="0"/>
    <x v="16"/>
    <x v="2"/>
    <s v="Blue Collar"/>
    <x v="113"/>
    <n v="77995.62"/>
  </r>
  <r>
    <n v="300000954"/>
    <s v="Richard"/>
    <s v="Parsons"/>
    <x v="0"/>
    <x v="7"/>
    <x v="2"/>
    <s v="White Collar"/>
    <x v="113"/>
    <n v="49775.7"/>
  </r>
  <r>
    <n v="400000955"/>
    <s v="Joseph"/>
    <s v="Greene"/>
    <x v="0"/>
    <x v="16"/>
    <x v="1"/>
    <s v="White Collar"/>
    <x v="113"/>
    <n v="53685.06"/>
  </r>
  <r>
    <n v="400000956"/>
    <s v="Amelia"/>
    <s v="Bower"/>
    <x v="1"/>
    <x v="26"/>
    <x v="1"/>
    <s v="White Collar"/>
    <x v="113"/>
    <n v="22515.19"/>
  </r>
  <r>
    <n v="100000957"/>
    <s v="Frank"/>
    <s v="Knox"/>
    <x v="0"/>
    <x v="4"/>
    <x v="0"/>
    <s v="Other"/>
    <x v="114"/>
    <n v="80709.149999999994"/>
  </r>
  <r>
    <n v="100000958"/>
    <s v="Justin"/>
    <s v="Johnston"/>
    <x v="0"/>
    <x v="7"/>
    <x v="0"/>
    <s v="White Collar"/>
    <x v="114"/>
    <n v="60205.51"/>
  </r>
  <r>
    <n v="100000959"/>
    <s v="Jessica"/>
    <s v="McGrath"/>
    <x v="1"/>
    <x v="21"/>
    <x v="0"/>
    <s v="Blue Collar"/>
    <x v="114"/>
    <n v="23694.9"/>
  </r>
  <r>
    <n v="100000960"/>
    <s v="Abigail"/>
    <s v="Allan"/>
    <x v="1"/>
    <x v="12"/>
    <x v="0"/>
    <s v="White Collar"/>
    <x v="114"/>
    <n v="31644.37"/>
  </r>
  <r>
    <n v="200000961"/>
    <s v="Una"/>
    <s v="Short"/>
    <x v="1"/>
    <x v="25"/>
    <x v="3"/>
    <s v="Other"/>
    <x v="114"/>
    <n v="26688.85"/>
  </r>
  <r>
    <n v="200000962"/>
    <s v="Joe"/>
    <s v="Murray"/>
    <x v="0"/>
    <x v="19"/>
    <x v="3"/>
    <s v="Blue Collar"/>
    <x v="114"/>
    <n v="38577.660000000003"/>
  </r>
  <r>
    <n v="200000963"/>
    <s v="Ian"/>
    <s v="Coleman"/>
    <x v="0"/>
    <x v="39"/>
    <x v="3"/>
    <s v="Other"/>
    <x v="114"/>
    <n v="54809.65"/>
  </r>
  <r>
    <n v="200000964"/>
    <s v="Andrea"/>
    <s v="MacDonald"/>
    <x v="1"/>
    <x v="23"/>
    <x v="3"/>
    <s v="Blue Collar"/>
    <x v="114"/>
    <n v="29417.52"/>
  </r>
  <r>
    <n v="200000965"/>
    <s v="Julian"/>
    <s v="Anderson"/>
    <x v="0"/>
    <x v="17"/>
    <x v="3"/>
    <s v="Blue Collar"/>
    <x v="114"/>
    <n v="30981.38"/>
  </r>
  <r>
    <n v="300000966"/>
    <s v="Lauren"/>
    <s v="Bond"/>
    <x v="1"/>
    <x v="4"/>
    <x v="2"/>
    <s v="Blue Collar"/>
    <x v="114"/>
    <n v="23669.58"/>
  </r>
  <r>
    <n v="300000967"/>
    <s v="Victoria"/>
    <s v="Morrison"/>
    <x v="1"/>
    <x v="8"/>
    <x v="2"/>
    <s v="White Collar"/>
    <x v="114"/>
    <n v="61134.99"/>
  </r>
  <r>
    <n v="100000968"/>
    <s v="Edward"/>
    <s v="Martin"/>
    <x v="0"/>
    <x v="4"/>
    <x v="0"/>
    <s v="White Collar"/>
    <x v="115"/>
    <n v="21138.46"/>
  </r>
  <r>
    <n v="100000969"/>
    <s v="Sophie"/>
    <s v="Parsons"/>
    <x v="1"/>
    <x v="0"/>
    <x v="0"/>
    <s v="White Collar"/>
    <x v="115"/>
    <n v="89067.87"/>
  </r>
  <r>
    <n v="100000970"/>
    <s v="Abigail"/>
    <s v="Oliver"/>
    <x v="1"/>
    <x v="3"/>
    <x v="0"/>
    <s v="White Collar"/>
    <x v="115"/>
    <n v="20852.18"/>
  </r>
  <r>
    <n v="100000971"/>
    <s v="Peter"/>
    <s v="Young"/>
    <x v="0"/>
    <x v="36"/>
    <x v="0"/>
    <s v="White Collar"/>
    <x v="115"/>
    <n v="28959.8"/>
  </r>
  <r>
    <n v="100000972"/>
    <s v="Liam"/>
    <s v="Forsyth"/>
    <x v="0"/>
    <x v="3"/>
    <x v="0"/>
    <s v="White Collar"/>
    <x v="116"/>
    <n v="85709.46"/>
  </r>
  <r>
    <n v="100000973"/>
    <s v="Julia"/>
    <s v="Avery"/>
    <x v="1"/>
    <x v="20"/>
    <x v="0"/>
    <s v="Other"/>
    <x v="116"/>
    <n v="86275.31"/>
  </r>
  <r>
    <n v="200000974"/>
    <s v="Richard"/>
    <s v="North"/>
    <x v="0"/>
    <x v="15"/>
    <x v="3"/>
    <s v="Other"/>
    <x v="116"/>
    <n v="11596.34"/>
  </r>
  <r>
    <n v="200000975"/>
    <s v="Anthony"/>
    <s v="Mackenzie"/>
    <x v="0"/>
    <x v="32"/>
    <x v="3"/>
    <s v="Blue Collar"/>
    <x v="116"/>
    <n v="74155.05"/>
  </r>
  <r>
    <n v="200000976"/>
    <s v="Wanda"/>
    <s v="Clark"/>
    <x v="1"/>
    <x v="33"/>
    <x v="3"/>
    <s v="Other"/>
    <x v="116"/>
    <n v="75200.679999999993"/>
  </r>
  <r>
    <n v="200000977"/>
    <s v="Jennifer"/>
    <s v="Blake"/>
    <x v="1"/>
    <x v="32"/>
    <x v="3"/>
    <s v="Other"/>
    <x v="116"/>
    <n v="27580.15"/>
  </r>
  <r>
    <n v="300000978"/>
    <s v="Jessica"/>
    <s v="Wallace"/>
    <x v="1"/>
    <x v="34"/>
    <x v="2"/>
    <s v="White Collar"/>
    <x v="116"/>
    <n v="17753.009999999998"/>
  </r>
  <r>
    <n v="300000979"/>
    <s v="Trevor"/>
    <s v="Hunter"/>
    <x v="0"/>
    <x v="38"/>
    <x v="2"/>
    <s v="White Collar"/>
    <x v="116"/>
    <n v="28240.06"/>
  </r>
  <r>
    <n v="100000980"/>
    <s v="William"/>
    <s v="Hart"/>
    <x v="0"/>
    <x v="29"/>
    <x v="0"/>
    <s v="White Collar"/>
    <x v="117"/>
    <n v="65493.89"/>
  </r>
  <r>
    <n v="100000981"/>
    <s v="Victoria"/>
    <s v="Ince"/>
    <x v="1"/>
    <x v="13"/>
    <x v="0"/>
    <s v="Other"/>
    <x v="117"/>
    <n v="74414.09"/>
  </r>
  <r>
    <n v="100000982"/>
    <s v="Deirdre"/>
    <s v="Avery"/>
    <x v="1"/>
    <x v="1"/>
    <x v="0"/>
    <s v="White Collar"/>
    <x v="117"/>
    <n v="107641.39"/>
  </r>
  <r>
    <n v="200000983"/>
    <s v="Jessica"/>
    <s v="Rutherford"/>
    <x v="1"/>
    <x v="14"/>
    <x v="3"/>
    <s v="Other"/>
    <x v="117"/>
    <n v="42322.58"/>
  </r>
  <r>
    <n v="200000984"/>
    <s v="Lauren"/>
    <s v="Ince"/>
    <x v="1"/>
    <x v="40"/>
    <x v="3"/>
    <s v="Other"/>
    <x v="117"/>
    <n v="64620.15"/>
  </r>
  <r>
    <n v="200000985"/>
    <s v="Peter"/>
    <s v="MacLeod"/>
    <x v="0"/>
    <x v="39"/>
    <x v="3"/>
    <s v="Blue Collar"/>
    <x v="117"/>
    <n v="48707.14"/>
  </r>
  <r>
    <n v="200000986"/>
    <s v="Victor"/>
    <s v="Thomson"/>
    <x v="0"/>
    <x v="39"/>
    <x v="3"/>
    <s v="Blue Collar"/>
    <x v="117"/>
    <n v="27458.53"/>
  </r>
  <r>
    <n v="200000987"/>
    <s v="Dylan"/>
    <s v="Bond"/>
    <x v="0"/>
    <x v="8"/>
    <x v="3"/>
    <s v="Blue Collar"/>
    <x v="117"/>
    <n v="7562.83"/>
  </r>
  <r>
    <n v="400000988"/>
    <s v="Hannah"/>
    <s v="Hardacre"/>
    <x v="1"/>
    <x v="10"/>
    <x v="1"/>
    <s v="White Collar"/>
    <x v="117"/>
    <n v="107680.1"/>
  </r>
  <r>
    <n v="100000989"/>
    <s v="Michelle"/>
    <s v="McLean"/>
    <x v="1"/>
    <x v="1"/>
    <x v="0"/>
    <s v="Other"/>
    <x v="118"/>
    <n v="40542.83"/>
  </r>
  <r>
    <n v="100000990"/>
    <s v="Andrew"/>
    <s v="Manning"/>
    <x v="0"/>
    <x v="32"/>
    <x v="0"/>
    <s v="Blue Collar"/>
    <x v="118"/>
    <n v="80880.83"/>
  </r>
  <r>
    <n v="100000991"/>
    <s v="Benjamin"/>
    <s v="Welch"/>
    <x v="0"/>
    <x v="7"/>
    <x v="0"/>
    <s v="White Collar"/>
    <x v="118"/>
    <n v="3226.71"/>
  </r>
  <r>
    <n v="200000992"/>
    <s v="Paul"/>
    <s v="Taylor"/>
    <x v="0"/>
    <x v="32"/>
    <x v="3"/>
    <s v="Blue Collar"/>
    <x v="118"/>
    <n v="68551.149999999994"/>
  </r>
  <r>
    <n v="300000993"/>
    <s v="Gordon"/>
    <s v="Grant"/>
    <x v="0"/>
    <x v="7"/>
    <x v="2"/>
    <s v="Blue Collar"/>
    <x v="118"/>
    <n v="77870.460000000006"/>
  </r>
  <r>
    <n v="300000994"/>
    <s v="Dominic"/>
    <s v="Dickens"/>
    <x v="0"/>
    <x v="22"/>
    <x v="2"/>
    <s v="Blue Collar"/>
    <x v="118"/>
    <n v="56611.75"/>
  </r>
  <r>
    <n v="100000995"/>
    <s v="Felicity"/>
    <s v="Anderson"/>
    <x v="1"/>
    <x v="30"/>
    <x v="0"/>
    <s v="Other"/>
    <x v="119"/>
    <n v="81080.08"/>
  </r>
  <r>
    <n v="100000996"/>
    <s v="Paul"/>
    <s v="Bower"/>
    <x v="0"/>
    <x v="1"/>
    <x v="0"/>
    <s v="White Collar"/>
    <x v="119"/>
    <n v="40109.99"/>
  </r>
  <r>
    <n v="100000997"/>
    <s v="Grace"/>
    <s v="Edmunds"/>
    <x v="1"/>
    <x v="31"/>
    <x v="0"/>
    <s v="White Collar"/>
    <x v="119"/>
    <n v="74948.240000000005"/>
  </r>
  <r>
    <n v="100000998"/>
    <s v="Michael"/>
    <s v="Allan"/>
    <x v="0"/>
    <x v="12"/>
    <x v="0"/>
    <s v="Other"/>
    <x v="119"/>
    <n v="82776.89"/>
  </r>
  <r>
    <n v="200000999"/>
    <s v="Kevin"/>
    <s v="Dickens"/>
    <x v="0"/>
    <x v="46"/>
    <x v="3"/>
    <s v="Other"/>
    <x v="119"/>
    <n v="34597.56"/>
  </r>
  <r>
    <n v="400001000"/>
    <s v="Lisa"/>
    <s v="Thomson"/>
    <x v="1"/>
    <x v="30"/>
    <x v="1"/>
    <s v="Other"/>
    <x v="119"/>
    <n v="4406.82"/>
  </r>
  <r>
    <n v="400001001"/>
    <s v="Grace"/>
    <s v="Duncan"/>
    <x v="1"/>
    <x v="13"/>
    <x v="1"/>
    <s v="Other"/>
    <x v="119"/>
    <n v="32162.34"/>
  </r>
  <r>
    <n v="100001002"/>
    <s v="Cameron"/>
    <s v="Smith"/>
    <x v="0"/>
    <x v="30"/>
    <x v="0"/>
    <s v="White Collar"/>
    <x v="120"/>
    <n v="18808.61"/>
  </r>
  <r>
    <n v="100001003"/>
    <s v="Amy"/>
    <s v="Howard"/>
    <x v="1"/>
    <x v="3"/>
    <x v="0"/>
    <s v="Blue Collar"/>
    <x v="120"/>
    <n v="12013.82"/>
  </r>
  <r>
    <n v="100001004"/>
    <s v="Luke"/>
    <s v="Lewis"/>
    <x v="0"/>
    <x v="0"/>
    <x v="0"/>
    <s v="White Collar"/>
    <x v="120"/>
    <n v="40886.21"/>
  </r>
  <r>
    <n v="100001005"/>
    <s v="Chloe"/>
    <s v="Jones"/>
    <x v="1"/>
    <x v="4"/>
    <x v="0"/>
    <s v="White Collar"/>
    <x v="120"/>
    <n v="49490.42"/>
  </r>
  <r>
    <n v="100001006"/>
    <s v="Lauren"/>
    <s v="Martin"/>
    <x v="1"/>
    <x v="24"/>
    <x v="0"/>
    <s v="Blue Collar"/>
    <x v="120"/>
    <n v="51197.279999999999"/>
  </r>
  <r>
    <n v="100001007"/>
    <s v="Robert"/>
    <s v="Lyman"/>
    <x v="0"/>
    <x v="28"/>
    <x v="0"/>
    <s v="Blue Collar"/>
    <x v="120"/>
    <n v="8610.86"/>
  </r>
  <r>
    <n v="300001008"/>
    <s v="Justin"/>
    <s v="Carr"/>
    <x v="0"/>
    <x v="7"/>
    <x v="2"/>
    <s v="Blue Collar"/>
    <x v="120"/>
    <n v="12567.26"/>
  </r>
  <r>
    <n v="300001009"/>
    <s v="Brian"/>
    <s v="North"/>
    <x v="0"/>
    <x v="13"/>
    <x v="2"/>
    <s v="Blue Collar"/>
    <x v="120"/>
    <n v="28265.93"/>
  </r>
  <r>
    <n v="300001010"/>
    <s v="Leah"/>
    <s v="Ogden"/>
    <x v="1"/>
    <x v="12"/>
    <x v="2"/>
    <s v="Other"/>
    <x v="120"/>
    <n v="44515.4"/>
  </r>
  <r>
    <n v="100001011"/>
    <s v="Colin"/>
    <s v="Sharp"/>
    <x v="0"/>
    <x v="10"/>
    <x v="0"/>
    <s v="White Collar"/>
    <x v="121"/>
    <n v="20461.13"/>
  </r>
  <r>
    <n v="100001012"/>
    <s v="Paul"/>
    <s v="Marshall"/>
    <x v="0"/>
    <x v="14"/>
    <x v="0"/>
    <s v="Blue Collar"/>
    <x v="121"/>
    <n v="22457.9"/>
  </r>
  <r>
    <n v="100001013"/>
    <s v="Eric"/>
    <s v="Glover"/>
    <x v="0"/>
    <x v="4"/>
    <x v="0"/>
    <s v="White Collar"/>
    <x v="121"/>
    <n v="25807.24"/>
  </r>
  <r>
    <n v="100001014"/>
    <s v="Jacob"/>
    <s v="Hemmings"/>
    <x v="0"/>
    <x v="16"/>
    <x v="0"/>
    <s v="White Collar"/>
    <x v="121"/>
    <n v="75878.509999999995"/>
  </r>
  <r>
    <n v="100001015"/>
    <s v="Nicholas"/>
    <s v="Poole"/>
    <x v="0"/>
    <x v="11"/>
    <x v="0"/>
    <s v="White Collar"/>
    <x v="121"/>
    <n v="5880.85"/>
  </r>
  <r>
    <n v="100001016"/>
    <s v="Joan"/>
    <s v="Davidson"/>
    <x v="1"/>
    <x v="14"/>
    <x v="0"/>
    <s v="White Collar"/>
    <x v="121"/>
    <n v="30894.09"/>
  </r>
  <r>
    <n v="100001017"/>
    <s v="Ella"/>
    <s v="Hill"/>
    <x v="1"/>
    <x v="7"/>
    <x v="0"/>
    <s v="White Collar"/>
    <x v="121"/>
    <n v="88647.1"/>
  </r>
  <r>
    <n v="100001018"/>
    <s v="Una"/>
    <s v="Mills"/>
    <x v="1"/>
    <x v="3"/>
    <x v="0"/>
    <s v="White Collar"/>
    <x v="121"/>
    <n v="55945.74"/>
  </r>
  <r>
    <n v="200001019"/>
    <s v="Lucas"/>
    <s v="Glover"/>
    <x v="0"/>
    <x v="46"/>
    <x v="3"/>
    <s v="Blue Collar"/>
    <x v="121"/>
    <n v="67510.19"/>
  </r>
  <r>
    <n v="200001020"/>
    <s v="Carol"/>
    <s v="Lee"/>
    <x v="1"/>
    <x v="18"/>
    <x v="3"/>
    <s v="Other"/>
    <x v="121"/>
    <n v="29753.91"/>
  </r>
  <r>
    <n v="200001021"/>
    <s v="Vanessa"/>
    <s v="Bond"/>
    <x v="1"/>
    <x v="40"/>
    <x v="3"/>
    <s v="Blue Collar"/>
    <x v="121"/>
    <n v="55886.74"/>
  </r>
  <r>
    <n v="400001022"/>
    <s v="Jason"/>
    <s v="Bower"/>
    <x v="0"/>
    <x v="4"/>
    <x v="1"/>
    <s v="White Collar"/>
    <x v="121"/>
    <n v="76999.31"/>
  </r>
  <r>
    <n v="100001023"/>
    <s v="Joe"/>
    <s v="Campbell"/>
    <x v="0"/>
    <x v="8"/>
    <x v="0"/>
    <s v="White Collar"/>
    <x v="122"/>
    <n v="61354.78"/>
  </r>
  <r>
    <n v="100001024"/>
    <s v="Paul"/>
    <s v="Hemmings"/>
    <x v="0"/>
    <x v="12"/>
    <x v="0"/>
    <s v="Blue Collar"/>
    <x v="122"/>
    <n v="9352.1200000000008"/>
  </r>
  <r>
    <n v="100001025"/>
    <s v="Emma"/>
    <s v="Arnold"/>
    <x v="1"/>
    <x v="9"/>
    <x v="0"/>
    <s v="White Collar"/>
    <x v="122"/>
    <n v="55409.56"/>
  </r>
  <r>
    <n v="100001026"/>
    <s v="Fiona"/>
    <s v="Parr"/>
    <x v="1"/>
    <x v="20"/>
    <x v="0"/>
    <s v="White Collar"/>
    <x v="122"/>
    <n v="22598.74"/>
  </r>
  <r>
    <n v="100001027"/>
    <s v="Jessica"/>
    <s v="MacLeod"/>
    <x v="1"/>
    <x v="7"/>
    <x v="0"/>
    <s v="Other"/>
    <x v="122"/>
    <n v="49665.09"/>
  </r>
  <r>
    <n v="100001028"/>
    <s v="Christopher"/>
    <s v="Sutherland"/>
    <x v="0"/>
    <x v="2"/>
    <x v="0"/>
    <s v="White Collar"/>
    <x v="122"/>
    <n v="79398.91"/>
  </r>
  <r>
    <n v="100001029"/>
    <s v="Lily"/>
    <s v="North"/>
    <x v="1"/>
    <x v="4"/>
    <x v="0"/>
    <s v="White Collar"/>
    <x v="122"/>
    <n v="24834.61"/>
  </r>
  <r>
    <n v="200001030"/>
    <s v="Peter"/>
    <s v="Avery"/>
    <x v="0"/>
    <x v="15"/>
    <x v="3"/>
    <s v="Other"/>
    <x v="122"/>
    <n v="41285.800000000003"/>
  </r>
  <r>
    <n v="200001031"/>
    <s v="Tracey"/>
    <s v="Ferguson"/>
    <x v="1"/>
    <x v="6"/>
    <x v="3"/>
    <s v="Other"/>
    <x v="122"/>
    <n v="6104.59"/>
  </r>
  <r>
    <n v="200001032"/>
    <s v="Blake"/>
    <s v="Pullman"/>
    <x v="0"/>
    <x v="16"/>
    <x v="3"/>
    <s v="Blue Collar"/>
    <x v="122"/>
    <n v="64766.09"/>
  </r>
  <r>
    <n v="300001033"/>
    <s v="Joan"/>
    <s v="Gibson"/>
    <x v="1"/>
    <x v="2"/>
    <x v="2"/>
    <s v="White Collar"/>
    <x v="122"/>
    <n v="55535.23"/>
  </r>
  <r>
    <n v="300001034"/>
    <s v="Julian"/>
    <s v="Carr"/>
    <x v="0"/>
    <x v="22"/>
    <x v="2"/>
    <s v="Blue Collar"/>
    <x v="122"/>
    <n v="134324.66"/>
  </r>
  <r>
    <n v="400001035"/>
    <s v="Amelia"/>
    <s v="Jones"/>
    <x v="1"/>
    <x v="24"/>
    <x v="1"/>
    <s v="Blue Collar"/>
    <x v="122"/>
    <n v="48456.97"/>
  </r>
  <r>
    <n v="100001036"/>
    <s v="Claire"/>
    <s v="Metcalfe"/>
    <x v="1"/>
    <x v="9"/>
    <x v="0"/>
    <s v="White Collar"/>
    <x v="123"/>
    <n v="2619.62"/>
  </r>
  <r>
    <n v="100001037"/>
    <s v="Tim"/>
    <s v="Walker"/>
    <x v="0"/>
    <x v="16"/>
    <x v="0"/>
    <s v="Other"/>
    <x v="123"/>
    <n v="61602.73"/>
  </r>
  <r>
    <n v="100001038"/>
    <s v="Connor"/>
    <s v="Dickens"/>
    <x v="0"/>
    <x v="14"/>
    <x v="0"/>
    <s v="White Collar"/>
    <x v="123"/>
    <n v="22058.44"/>
  </r>
  <r>
    <n v="100001039"/>
    <s v="Stephanie"/>
    <s v="Ince"/>
    <x v="1"/>
    <x v="13"/>
    <x v="0"/>
    <s v="White Collar"/>
    <x v="123"/>
    <n v="24845.43"/>
  </r>
  <r>
    <n v="100001040"/>
    <s v="William"/>
    <s v="Bond"/>
    <x v="0"/>
    <x v="38"/>
    <x v="0"/>
    <s v="White Collar"/>
    <x v="123"/>
    <n v="42331.5"/>
  </r>
  <r>
    <n v="100001041"/>
    <s v="Connor"/>
    <s v="May"/>
    <x v="0"/>
    <x v="16"/>
    <x v="0"/>
    <s v="White Collar"/>
    <x v="123"/>
    <n v="43488.59"/>
  </r>
  <r>
    <n v="200001042"/>
    <s v="Trevor"/>
    <s v="Campbell"/>
    <x v="0"/>
    <x v="34"/>
    <x v="3"/>
    <s v="Blue Collar"/>
    <x v="123"/>
    <n v="11565.04"/>
  </r>
  <r>
    <n v="200001043"/>
    <s v="Steven"/>
    <s v="Newman"/>
    <x v="0"/>
    <x v="25"/>
    <x v="3"/>
    <s v="Blue Collar"/>
    <x v="123"/>
    <n v="1096.3599999999999"/>
  </r>
  <r>
    <n v="200001044"/>
    <s v="Stephen"/>
    <s v="Mathis"/>
    <x v="0"/>
    <x v="17"/>
    <x v="3"/>
    <s v="Other"/>
    <x v="123"/>
    <n v="4793.55"/>
  </r>
  <r>
    <n v="200001045"/>
    <s v="Deirdre"/>
    <s v="James"/>
    <x v="1"/>
    <x v="35"/>
    <x v="3"/>
    <s v="Other"/>
    <x v="123"/>
    <n v="11909.63"/>
  </r>
  <r>
    <n v="200001046"/>
    <s v="Dylan"/>
    <s v="Alsop"/>
    <x v="0"/>
    <x v="28"/>
    <x v="3"/>
    <s v="Blue Collar"/>
    <x v="123"/>
    <n v="56257.26"/>
  </r>
  <r>
    <n v="300001047"/>
    <s v="Amy"/>
    <s v="Mathis"/>
    <x v="1"/>
    <x v="7"/>
    <x v="2"/>
    <s v="Other"/>
    <x v="123"/>
    <n v="18469.939999999999"/>
  </r>
  <r>
    <n v="300001048"/>
    <s v="Oliver"/>
    <s v="Butler"/>
    <x v="0"/>
    <x v="4"/>
    <x v="2"/>
    <s v="White Collar"/>
    <x v="123"/>
    <n v="48959.81"/>
  </r>
  <r>
    <n v="100001049"/>
    <s v="Emma"/>
    <s v="Oliver"/>
    <x v="1"/>
    <x v="5"/>
    <x v="0"/>
    <s v="White Collar"/>
    <x v="124"/>
    <n v="51090.19"/>
  </r>
  <r>
    <n v="100001050"/>
    <s v="Eric"/>
    <s v="MacLeod"/>
    <x v="0"/>
    <x v="5"/>
    <x v="0"/>
    <s v="White Collar"/>
    <x v="124"/>
    <n v="26412.29"/>
  </r>
  <r>
    <n v="100001051"/>
    <s v="Jacob"/>
    <s v="Bell"/>
    <x v="0"/>
    <x v="28"/>
    <x v="0"/>
    <s v="White Collar"/>
    <x v="124"/>
    <n v="14703.33"/>
  </r>
  <r>
    <n v="200001052"/>
    <s v="Evan"/>
    <s v="Davidson"/>
    <x v="0"/>
    <x v="6"/>
    <x v="3"/>
    <s v="Blue Collar"/>
    <x v="124"/>
    <n v="73268.73"/>
  </r>
  <r>
    <n v="200001053"/>
    <s v="Alan"/>
    <s v="Ogden"/>
    <x v="0"/>
    <x v="4"/>
    <x v="3"/>
    <s v="Blue Collar"/>
    <x v="124"/>
    <n v="26844.18"/>
  </r>
  <r>
    <n v="100001054"/>
    <s v="Nicholas"/>
    <s v="Churchill"/>
    <x v="0"/>
    <x v="32"/>
    <x v="0"/>
    <s v="White Collar"/>
    <x v="125"/>
    <n v="35417.019999999997"/>
  </r>
  <r>
    <n v="100001055"/>
    <s v="Kimberly"/>
    <s v="Mitchell"/>
    <x v="1"/>
    <x v="9"/>
    <x v="0"/>
    <s v="White Collar"/>
    <x v="125"/>
    <n v="17546.36"/>
  </r>
  <r>
    <n v="100001056"/>
    <s v="Keith"/>
    <s v="McDonald"/>
    <x v="0"/>
    <x v="12"/>
    <x v="0"/>
    <s v="White Collar"/>
    <x v="125"/>
    <n v="53344.6"/>
  </r>
  <r>
    <n v="100001057"/>
    <s v="Diana"/>
    <s v="Ross"/>
    <x v="1"/>
    <x v="21"/>
    <x v="0"/>
    <s v="Other"/>
    <x v="125"/>
    <n v="10054.709999999999"/>
  </r>
  <r>
    <n v="100001058"/>
    <s v="Julia"/>
    <s v="Mackay"/>
    <x v="1"/>
    <x v="12"/>
    <x v="0"/>
    <s v="White Collar"/>
    <x v="125"/>
    <n v="49717.13"/>
  </r>
  <r>
    <n v="200001059"/>
    <s v="Jan"/>
    <s v="Hamilton"/>
    <x v="1"/>
    <x v="35"/>
    <x v="3"/>
    <s v="Blue Collar"/>
    <x v="125"/>
    <n v="7573.67"/>
  </r>
  <r>
    <n v="200001060"/>
    <s v="Julia"/>
    <s v="Mathis"/>
    <x v="1"/>
    <x v="2"/>
    <x v="3"/>
    <s v="Other"/>
    <x v="125"/>
    <n v="32324.22"/>
  </r>
  <r>
    <n v="200001061"/>
    <s v="Joshua"/>
    <s v="Kerr"/>
    <x v="0"/>
    <x v="25"/>
    <x v="3"/>
    <s v="Other"/>
    <x v="125"/>
    <n v="69791.570000000007"/>
  </r>
  <r>
    <n v="200001062"/>
    <s v="Dan"/>
    <s v="Alsop"/>
    <x v="0"/>
    <x v="41"/>
    <x v="3"/>
    <s v="Other"/>
    <x v="125"/>
    <n v="16280.16"/>
  </r>
  <r>
    <n v="300001063"/>
    <s v="Dorothy"/>
    <s v="Vaughan"/>
    <x v="1"/>
    <x v="14"/>
    <x v="2"/>
    <s v="White Collar"/>
    <x v="125"/>
    <n v="34072.269999999997"/>
  </r>
  <r>
    <n v="300001064"/>
    <s v="Austin"/>
    <s v="Vance"/>
    <x v="0"/>
    <x v="8"/>
    <x v="2"/>
    <s v="Other"/>
    <x v="125"/>
    <n v="11609.33"/>
  </r>
  <r>
    <n v="100001065"/>
    <s v="Joan"/>
    <s v="Mills"/>
    <x v="1"/>
    <x v="5"/>
    <x v="0"/>
    <s v="White Collar"/>
    <x v="126"/>
    <n v="44599.53"/>
  </r>
  <r>
    <n v="100001066"/>
    <s v="Michael"/>
    <s v="MacDonald"/>
    <x v="0"/>
    <x v="35"/>
    <x v="0"/>
    <s v="White Collar"/>
    <x v="126"/>
    <n v="41266.339999999997"/>
  </r>
  <r>
    <n v="100001067"/>
    <s v="Faith"/>
    <s v="Vance"/>
    <x v="1"/>
    <x v="38"/>
    <x v="0"/>
    <s v="Blue Collar"/>
    <x v="126"/>
    <n v="28581.78"/>
  </r>
  <r>
    <n v="100001068"/>
    <s v="Donna"/>
    <s v="Pullman"/>
    <x v="1"/>
    <x v="22"/>
    <x v="0"/>
    <s v="Blue Collar"/>
    <x v="126"/>
    <n v="15477.05"/>
  </r>
  <r>
    <n v="200001069"/>
    <s v="Benjamin"/>
    <s v="Hemmings"/>
    <x v="0"/>
    <x v="40"/>
    <x v="3"/>
    <s v="Blue Collar"/>
    <x v="126"/>
    <n v="60086.6"/>
  </r>
  <r>
    <n v="200001070"/>
    <s v="John"/>
    <s v="Duncan"/>
    <x v="0"/>
    <x v="45"/>
    <x v="3"/>
    <s v="Blue Collar"/>
    <x v="126"/>
    <n v="55526.53"/>
  </r>
  <r>
    <n v="200001071"/>
    <s v="Sebastian"/>
    <s v="Lambert"/>
    <x v="0"/>
    <x v="35"/>
    <x v="3"/>
    <s v="White Collar"/>
    <x v="126"/>
    <n v="41097.46"/>
  </r>
  <r>
    <n v="400001072"/>
    <s v="Diane"/>
    <s v="Short"/>
    <x v="1"/>
    <x v="10"/>
    <x v="1"/>
    <s v="Other"/>
    <x v="126"/>
    <n v="84480.9"/>
  </r>
  <r>
    <n v="100001073"/>
    <s v="Harry"/>
    <s v="May"/>
    <x v="0"/>
    <x v="14"/>
    <x v="0"/>
    <s v="White Collar"/>
    <x v="127"/>
    <n v="14866.88"/>
  </r>
  <r>
    <n v="100001074"/>
    <s v="Jack"/>
    <s v="Metcalfe"/>
    <x v="0"/>
    <x v="14"/>
    <x v="0"/>
    <s v="White Collar"/>
    <x v="127"/>
    <n v="50527.47"/>
  </r>
  <r>
    <n v="100001075"/>
    <s v="Anne"/>
    <s v="Nolan"/>
    <x v="1"/>
    <x v="24"/>
    <x v="0"/>
    <s v="Blue Collar"/>
    <x v="127"/>
    <n v="27565.54"/>
  </r>
  <r>
    <n v="100001076"/>
    <s v="Edward"/>
    <s v="Gill"/>
    <x v="0"/>
    <x v="3"/>
    <x v="0"/>
    <s v="Blue Collar"/>
    <x v="127"/>
    <n v="78712.11"/>
  </r>
  <r>
    <n v="200001077"/>
    <s v="Alexander"/>
    <s v="Hardacre"/>
    <x v="0"/>
    <x v="6"/>
    <x v="3"/>
    <s v="Other"/>
    <x v="127"/>
    <n v="40487.71"/>
  </r>
  <r>
    <n v="200001078"/>
    <s v="Isaac"/>
    <s v="Arnold"/>
    <x v="0"/>
    <x v="28"/>
    <x v="3"/>
    <s v="Blue Collar"/>
    <x v="127"/>
    <n v="59432.06"/>
  </r>
  <r>
    <n v="300001079"/>
    <s v="Phil"/>
    <s v="Hudson"/>
    <x v="0"/>
    <x v="12"/>
    <x v="2"/>
    <s v="Blue Collar"/>
    <x v="127"/>
    <n v="6467.89"/>
  </r>
  <r>
    <n v="300001080"/>
    <s v="Adam"/>
    <s v="Ince"/>
    <x v="0"/>
    <x v="31"/>
    <x v="2"/>
    <s v="Blue Collar"/>
    <x v="127"/>
    <n v="37449.47"/>
  </r>
  <r>
    <n v="300001081"/>
    <s v="Irene"/>
    <s v="Ferguson"/>
    <x v="1"/>
    <x v="4"/>
    <x v="2"/>
    <s v="White Collar"/>
    <x v="127"/>
    <n v="15926.91"/>
  </r>
  <r>
    <n v="400001082"/>
    <s v="Lisa"/>
    <s v="Nolan"/>
    <x v="1"/>
    <x v="3"/>
    <x v="1"/>
    <s v="Other"/>
    <x v="127"/>
    <n v="20451.86"/>
  </r>
  <r>
    <n v="100001083"/>
    <s v="Katherine"/>
    <s v="Gill"/>
    <x v="1"/>
    <x v="16"/>
    <x v="0"/>
    <s v="White Collar"/>
    <x v="128"/>
    <n v="81089.55"/>
  </r>
  <r>
    <n v="100001084"/>
    <s v="Molly"/>
    <s v="Wallace"/>
    <x v="1"/>
    <x v="31"/>
    <x v="0"/>
    <s v="White Collar"/>
    <x v="128"/>
    <n v="5032.09"/>
  </r>
  <r>
    <n v="100001085"/>
    <s v="Anne"/>
    <s v="Kerr"/>
    <x v="1"/>
    <x v="16"/>
    <x v="0"/>
    <s v="White Collar"/>
    <x v="128"/>
    <n v="40523.18"/>
  </r>
  <r>
    <n v="200001086"/>
    <s v="Luke"/>
    <s v="Scott"/>
    <x v="0"/>
    <x v="28"/>
    <x v="3"/>
    <s v="Blue Collar"/>
    <x v="128"/>
    <n v="1948.26"/>
  </r>
  <r>
    <n v="200001087"/>
    <s v="Virginia"/>
    <s v="Greene"/>
    <x v="1"/>
    <x v="23"/>
    <x v="3"/>
    <s v="Other"/>
    <x v="128"/>
    <n v="44326.6"/>
  </r>
  <r>
    <n v="200001088"/>
    <s v="Blake"/>
    <s v="Peters"/>
    <x v="0"/>
    <x v="32"/>
    <x v="3"/>
    <s v="Blue Collar"/>
    <x v="128"/>
    <n v="16457.71"/>
  </r>
  <r>
    <n v="100001089"/>
    <s v="Robert"/>
    <s v="Howard"/>
    <x v="0"/>
    <x v="12"/>
    <x v="0"/>
    <s v="Other"/>
    <x v="129"/>
    <n v="22756.57"/>
  </r>
  <r>
    <n v="100001090"/>
    <s v="Brian"/>
    <s v="Metcalfe"/>
    <x v="0"/>
    <x v="20"/>
    <x v="0"/>
    <s v="Other"/>
    <x v="129"/>
    <n v="44277.62"/>
  </r>
  <r>
    <n v="100001091"/>
    <s v="Julia"/>
    <s v="Greene"/>
    <x v="1"/>
    <x v="34"/>
    <x v="0"/>
    <s v="White Collar"/>
    <x v="129"/>
    <n v="57797.68"/>
  </r>
  <r>
    <n v="100001092"/>
    <s v="Alexandra"/>
    <s v="Gill"/>
    <x v="1"/>
    <x v="22"/>
    <x v="0"/>
    <s v="White Collar"/>
    <x v="129"/>
    <n v="1827.85"/>
  </r>
  <r>
    <n v="100001093"/>
    <s v="Robert"/>
    <s v="Rampling"/>
    <x v="0"/>
    <x v="13"/>
    <x v="0"/>
    <s v="White Collar"/>
    <x v="129"/>
    <n v="71267.850000000006"/>
  </r>
  <r>
    <n v="100001094"/>
    <s v="Amanda"/>
    <s v="Berry"/>
    <x v="1"/>
    <x v="5"/>
    <x v="0"/>
    <s v="Other"/>
    <x v="129"/>
    <n v="2730.89"/>
  </r>
  <r>
    <n v="100001095"/>
    <s v="Pippa"/>
    <s v="Nash"/>
    <x v="1"/>
    <x v="34"/>
    <x v="0"/>
    <s v="Other"/>
    <x v="129"/>
    <n v="9976.92"/>
  </r>
  <r>
    <n v="100001096"/>
    <s v="Rebecca"/>
    <s v="Bell"/>
    <x v="1"/>
    <x v="22"/>
    <x v="0"/>
    <s v="Blue Collar"/>
    <x v="129"/>
    <n v="6083.13"/>
  </r>
  <r>
    <n v="100001097"/>
    <s v="Adam"/>
    <s v="Vance"/>
    <x v="0"/>
    <x v="12"/>
    <x v="0"/>
    <s v="Other"/>
    <x v="129"/>
    <n v="88451.81"/>
  </r>
  <r>
    <n v="100001098"/>
    <s v="Chloe"/>
    <s v="Martin"/>
    <x v="1"/>
    <x v="11"/>
    <x v="0"/>
    <s v="Blue Collar"/>
    <x v="129"/>
    <n v="77514.080000000002"/>
  </r>
  <r>
    <n v="200001099"/>
    <s v="Anthony"/>
    <s v="Vance"/>
    <x v="0"/>
    <x v="6"/>
    <x v="3"/>
    <s v="White Collar"/>
    <x v="129"/>
    <n v="66005.41"/>
  </r>
  <r>
    <n v="200001100"/>
    <s v="Alan"/>
    <s v="North"/>
    <x v="0"/>
    <x v="6"/>
    <x v="3"/>
    <s v="Other"/>
    <x v="129"/>
    <n v="77332.09"/>
  </r>
  <r>
    <n v="200001101"/>
    <s v="Eric"/>
    <s v="Parr"/>
    <x v="0"/>
    <x v="39"/>
    <x v="3"/>
    <s v="Blue Collar"/>
    <x v="129"/>
    <n v="3516.35"/>
  </r>
  <r>
    <n v="200001102"/>
    <s v="Sam"/>
    <s v="Murray"/>
    <x v="0"/>
    <x v="46"/>
    <x v="3"/>
    <s v="Other"/>
    <x v="129"/>
    <n v="22067.63"/>
  </r>
  <r>
    <n v="200001103"/>
    <s v="Alan"/>
    <s v="Howard"/>
    <x v="0"/>
    <x v="8"/>
    <x v="3"/>
    <s v="Other"/>
    <x v="129"/>
    <n v="28676.720000000001"/>
  </r>
  <r>
    <n v="300001104"/>
    <s v="Stephen"/>
    <s v="Parr"/>
    <x v="0"/>
    <x v="31"/>
    <x v="2"/>
    <s v="Blue Collar"/>
    <x v="129"/>
    <n v="8365.0400000000009"/>
  </r>
  <r>
    <n v="300001105"/>
    <s v="Ava"/>
    <s v="Vaughan"/>
    <x v="1"/>
    <x v="7"/>
    <x v="2"/>
    <s v="Blue Collar"/>
    <x v="129"/>
    <n v="15196.68"/>
  </r>
  <r>
    <n v="100001106"/>
    <s v="Victoria"/>
    <s v="Miller"/>
    <x v="1"/>
    <x v="30"/>
    <x v="0"/>
    <s v="Blue Collar"/>
    <x v="130"/>
    <n v="55720.37"/>
  </r>
  <r>
    <n v="100001107"/>
    <s v="Sam"/>
    <s v="Rutherford"/>
    <x v="0"/>
    <x v="7"/>
    <x v="0"/>
    <s v="White Collar"/>
    <x v="130"/>
    <n v="96379.13"/>
  </r>
  <r>
    <n v="100001108"/>
    <s v="Keith"/>
    <s v="Rutherford"/>
    <x v="0"/>
    <x v="24"/>
    <x v="0"/>
    <s v="White Collar"/>
    <x v="130"/>
    <n v="45374.89"/>
  </r>
  <r>
    <n v="100001109"/>
    <s v="Natalie"/>
    <s v="Alsop"/>
    <x v="1"/>
    <x v="7"/>
    <x v="0"/>
    <s v="White Collar"/>
    <x v="130"/>
    <n v="36425.21"/>
  </r>
  <r>
    <n v="100001110"/>
    <s v="Jack"/>
    <s v="Scott"/>
    <x v="0"/>
    <x v="22"/>
    <x v="0"/>
    <s v="White Collar"/>
    <x v="130"/>
    <n v="66122.89"/>
  </r>
  <r>
    <n v="100001111"/>
    <s v="Angela"/>
    <s v="Howard"/>
    <x v="1"/>
    <x v="21"/>
    <x v="0"/>
    <s v="White Collar"/>
    <x v="130"/>
    <n v="21988.77"/>
  </r>
  <r>
    <n v="100001112"/>
    <s v="Sonia"/>
    <s v="Clarkson"/>
    <x v="1"/>
    <x v="7"/>
    <x v="0"/>
    <s v="White Collar"/>
    <x v="130"/>
    <n v="84064.01"/>
  </r>
  <r>
    <n v="100001113"/>
    <s v="Olivia"/>
    <s v="Rees"/>
    <x v="1"/>
    <x v="8"/>
    <x v="0"/>
    <s v="Other"/>
    <x v="130"/>
    <n v="107366.02"/>
  </r>
  <r>
    <n v="100001114"/>
    <s v="Richard"/>
    <s v="Hodges"/>
    <x v="0"/>
    <x v="7"/>
    <x v="0"/>
    <s v="White Collar"/>
    <x v="130"/>
    <n v="59890"/>
  </r>
  <r>
    <n v="200001115"/>
    <s v="David"/>
    <s v="Bower"/>
    <x v="0"/>
    <x v="6"/>
    <x v="3"/>
    <s v="Blue Collar"/>
    <x v="130"/>
    <n v="36171.83"/>
  </r>
  <r>
    <n v="200001116"/>
    <s v="Sam"/>
    <s v="Sutherland"/>
    <x v="0"/>
    <x v="15"/>
    <x v="3"/>
    <s v="Blue Collar"/>
    <x v="130"/>
    <n v="17953.21"/>
  </r>
  <r>
    <n v="200001117"/>
    <s v="Angela"/>
    <s v="Scott"/>
    <x v="1"/>
    <x v="8"/>
    <x v="3"/>
    <s v="Other"/>
    <x v="130"/>
    <n v="62850.82"/>
  </r>
  <r>
    <n v="200001118"/>
    <s v="Oliver"/>
    <s v="Newman"/>
    <x v="0"/>
    <x v="33"/>
    <x v="3"/>
    <s v="Other"/>
    <x v="130"/>
    <n v="40989.589999999997"/>
  </r>
  <r>
    <n v="300001119"/>
    <s v="Sam"/>
    <s v="Black"/>
    <x v="0"/>
    <x v="22"/>
    <x v="2"/>
    <s v="Blue Collar"/>
    <x v="130"/>
    <n v="45240.82"/>
  </r>
  <r>
    <n v="300001120"/>
    <s v="Liam"/>
    <s v="Nolan"/>
    <x v="0"/>
    <x v="4"/>
    <x v="2"/>
    <s v="White Collar"/>
    <x v="130"/>
    <n v="24965.41"/>
  </r>
  <r>
    <n v="100001121"/>
    <s v="Grace"/>
    <s v="Hemmings"/>
    <x v="1"/>
    <x v="30"/>
    <x v="0"/>
    <s v="White Collar"/>
    <x v="131"/>
    <n v="25137.17"/>
  </r>
  <r>
    <n v="100001122"/>
    <s v="Isaac"/>
    <s v="Lawrence"/>
    <x v="0"/>
    <x v="10"/>
    <x v="0"/>
    <s v="Other"/>
    <x v="131"/>
    <n v="36666.699999999997"/>
  </r>
  <r>
    <n v="100001123"/>
    <s v="Deirdre"/>
    <s v="Payne"/>
    <x v="1"/>
    <x v="32"/>
    <x v="0"/>
    <s v="White Collar"/>
    <x v="131"/>
    <n v="10959.59"/>
  </r>
  <r>
    <n v="100001124"/>
    <s v="Owen"/>
    <s v="Forsyth"/>
    <x v="0"/>
    <x v="22"/>
    <x v="0"/>
    <s v="White Collar"/>
    <x v="131"/>
    <n v="114115.93"/>
  </r>
  <r>
    <n v="100001125"/>
    <s v="Lucas"/>
    <s v="Thomson"/>
    <x v="0"/>
    <x v="13"/>
    <x v="0"/>
    <s v="White Collar"/>
    <x v="131"/>
    <n v="51397.48"/>
  </r>
  <r>
    <n v="100001126"/>
    <s v="Heather"/>
    <s v="Ball"/>
    <x v="1"/>
    <x v="25"/>
    <x v="0"/>
    <s v="White Collar"/>
    <x v="131"/>
    <n v="68026.14"/>
  </r>
  <r>
    <n v="200001127"/>
    <s v="Eric"/>
    <s v="Nolan"/>
    <x v="0"/>
    <x v="7"/>
    <x v="3"/>
    <s v="Blue Collar"/>
    <x v="131"/>
    <n v="4403.78"/>
  </r>
  <r>
    <n v="200001128"/>
    <s v="Benjamin"/>
    <s v="Walker"/>
    <x v="0"/>
    <x v="2"/>
    <x v="3"/>
    <s v="Blue Collar"/>
    <x v="131"/>
    <n v="57005.15"/>
  </r>
  <r>
    <n v="200001129"/>
    <s v="Ian"/>
    <s v="Lambert"/>
    <x v="0"/>
    <x v="31"/>
    <x v="3"/>
    <s v="White Collar"/>
    <x v="131"/>
    <n v="82950.039999999994"/>
  </r>
  <r>
    <n v="300001130"/>
    <s v="Joseph"/>
    <s v="Black"/>
    <x v="0"/>
    <x v="12"/>
    <x v="2"/>
    <s v="White Collar"/>
    <x v="131"/>
    <n v="55382.31"/>
  </r>
  <r>
    <n v="300001131"/>
    <s v="Dorothy"/>
    <s v="Howard"/>
    <x v="1"/>
    <x v="3"/>
    <x v="2"/>
    <s v="White Collar"/>
    <x v="131"/>
    <n v="38704.519999999997"/>
  </r>
  <r>
    <n v="100001132"/>
    <s v="Matt"/>
    <s v="Newman"/>
    <x v="0"/>
    <x v="7"/>
    <x v="0"/>
    <s v="White Collar"/>
    <x v="132"/>
    <n v="76301.47"/>
  </r>
  <r>
    <n v="100001133"/>
    <s v="Anthony"/>
    <s v="Glover"/>
    <x v="0"/>
    <x v="26"/>
    <x v="0"/>
    <s v="White Collar"/>
    <x v="132"/>
    <n v="14282.81"/>
  </r>
  <r>
    <n v="100001134"/>
    <s v="Julia"/>
    <s v="Marshall"/>
    <x v="1"/>
    <x v="12"/>
    <x v="0"/>
    <s v="White Collar"/>
    <x v="132"/>
    <n v="3108.56"/>
  </r>
  <r>
    <n v="100001135"/>
    <s v="Karen"/>
    <s v="Kerr"/>
    <x v="1"/>
    <x v="2"/>
    <x v="0"/>
    <s v="White Collar"/>
    <x v="132"/>
    <n v="33779.410000000003"/>
  </r>
  <r>
    <n v="200001136"/>
    <s v="Sue"/>
    <s v="Pullman"/>
    <x v="1"/>
    <x v="4"/>
    <x v="3"/>
    <s v="Other"/>
    <x v="132"/>
    <n v="102268.43"/>
  </r>
  <r>
    <n v="200001137"/>
    <s v="Amanda"/>
    <s v="Bailey"/>
    <x v="1"/>
    <x v="40"/>
    <x v="3"/>
    <s v="White Collar"/>
    <x v="132"/>
    <n v="83992.09"/>
  </r>
  <r>
    <n v="200001138"/>
    <s v="Michelle"/>
    <s v="Black"/>
    <x v="1"/>
    <x v="2"/>
    <x v="3"/>
    <s v="Other"/>
    <x v="132"/>
    <n v="24686.89"/>
  </r>
  <r>
    <n v="300001139"/>
    <s v="Amelia"/>
    <s v="Skinner"/>
    <x v="1"/>
    <x v="8"/>
    <x v="2"/>
    <s v="Other"/>
    <x v="132"/>
    <n v="28516.17"/>
  </r>
  <r>
    <n v="400001140"/>
    <s v="Richard"/>
    <s v="Kelly"/>
    <x v="0"/>
    <x v="13"/>
    <x v="1"/>
    <s v="White Collar"/>
    <x v="132"/>
    <n v="9482.02"/>
  </r>
  <r>
    <n v="100001141"/>
    <s v="Owen"/>
    <s v="Grant"/>
    <x v="0"/>
    <x v="24"/>
    <x v="0"/>
    <s v="Other"/>
    <x v="133"/>
    <n v="16613.41"/>
  </r>
  <r>
    <n v="100001142"/>
    <s v="Joan"/>
    <s v="Walsh"/>
    <x v="1"/>
    <x v="22"/>
    <x v="0"/>
    <s v="White Collar"/>
    <x v="133"/>
    <n v="64757.52"/>
  </r>
  <r>
    <n v="100001143"/>
    <s v="Madeleine"/>
    <s v="Sharp"/>
    <x v="1"/>
    <x v="1"/>
    <x v="0"/>
    <s v="Other"/>
    <x v="133"/>
    <n v="21997.45"/>
  </r>
  <r>
    <n v="100001144"/>
    <s v="Gordon"/>
    <s v="McGrath"/>
    <x v="0"/>
    <x v="32"/>
    <x v="0"/>
    <s v="White Collar"/>
    <x v="133"/>
    <n v="55988.59"/>
  </r>
  <r>
    <n v="100001145"/>
    <s v="Evan"/>
    <s v="Hill"/>
    <x v="0"/>
    <x v="3"/>
    <x v="0"/>
    <s v="Blue Collar"/>
    <x v="133"/>
    <n v="91674.559999999998"/>
  </r>
  <r>
    <n v="200001146"/>
    <s v="Irene"/>
    <s v="Davies"/>
    <x v="1"/>
    <x v="2"/>
    <x v="3"/>
    <s v="Other"/>
    <x v="133"/>
    <n v="3374.35"/>
  </r>
  <r>
    <n v="200001147"/>
    <s v="Thomas"/>
    <s v="Brown"/>
    <x v="0"/>
    <x v="19"/>
    <x v="3"/>
    <s v="Blue Collar"/>
    <x v="133"/>
    <n v="67763.97"/>
  </r>
  <r>
    <n v="200001148"/>
    <s v="Austin"/>
    <s v="Randall"/>
    <x v="0"/>
    <x v="46"/>
    <x v="3"/>
    <s v="Blue Collar"/>
    <x v="133"/>
    <n v="35082.21"/>
  </r>
  <r>
    <n v="200001149"/>
    <s v="Thomas"/>
    <s v="Dyer"/>
    <x v="0"/>
    <x v="13"/>
    <x v="3"/>
    <s v="Blue Collar"/>
    <x v="133"/>
    <n v="19383.88"/>
  </r>
  <r>
    <n v="200001150"/>
    <s v="Amy"/>
    <s v="Graham"/>
    <x v="1"/>
    <x v="46"/>
    <x v="3"/>
    <s v="Blue Collar"/>
    <x v="133"/>
    <n v="5916.94"/>
  </r>
  <r>
    <n v="300001151"/>
    <s v="Caroline"/>
    <s v="Payne"/>
    <x v="1"/>
    <x v="31"/>
    <x v="2"/>
    <s v="White Collar"/>
    <x v="133"/>
    <n v="68185.66"/>
  </r>
  <r>
    <n v="100001152"/>
    <s v="Sean"/>
    <s v="Ross"/>
    <x v="0"/>
    <x v="16"/>
    <x v="0"/>
    <s v="White Collar"/>
    <x v="134"/>
    <n v="80234.490000000005"/>
  </r>
  <r>
    <n v="100001153"/>
    <s v="Evan"/>
    <s v="Bond"/>
    <x v="0"/>
    <x v="28"/>
    <x v="0"/>
    <s v="White Collar"/>
    <x v="134"/>
    <n v="36493.69"/>
  </r>
  <r>
    <n v="100001154"/>
    <s v="Carol"/>
    <s v="Hunter"/>
    <x v="1"/>
    <x v="3"/>
    <x v="0"/>
    <s v="White Collar"/>
    <x v="134"/>
    <n v="35888.1"/>
  </r>
  <r>
    <n v="100001155"/>
    <s v="Robert"/>
    <s v="Berry"/>
    <x v="0"/>
    <x v="9"/>
    <x v="0"/>
    <s v="Blue Collar"/>
    <x v="134"/>
    <n v="62218.34"/>
  </r>
  <r>
    <n v="100001156"/>
    <s v="Jane"/>
    <s v="Lewis"/>
    <x v="1"/>
    <x v="34"/>
    <x v="0"/>
    <s v="White Collar"/>
    <x v="134"/>
    <n v="27955.59"/>
  </r>
  <r>
    <n v="100001157"/>
    <s v="Kimberly"/>
    <s v="Vance"/>
    <x v="1"/>
    <x v="9"/>
    <x v="0"/>
    <s v="White Collar"/>
    <x v="134"/>
    <n v="21945.27"/>
  </r>
  <r>
    <n v="100001158"/>
    <s v="Madeleine"/>
    <s v="Wilson"/>
    <x v="1"/>
    <x v="22"/>
    <x v="0"/>
    <s v="White Collar"/>
    <x v="134"/>
    <n v="21508.14"/>
  </r>
  <r>
    <n v="100001159"/>
    <s v="Gordon"/>
    <s v="Hamilton"/>
    <x v="0"/>
    <x v="3"/>
    <x v="0"/>
    <s v="White Collar"/>
    <x v="134"/>
    <n v="6471.9"/>
  </r>
  <r>
    <n v="200001160"/>
    <s v="Cameron"/>
    <s v="Quinn"/>
    <x v="0"/>
    <x v="16"/>
    <x v="3"/>
    <s v="Blue Collar"/>
    <x v="134"/>
    <n v="1684.44"/>
  </r>
  <r>
    <n v="200001161"/>
    <s v="Lillian"/>
    <s v="Hudson"/>
    <x v="1"/>
    <x v="25"/>
    <x v="3"/>
    <s v="Other"/>
    <x v="134"/>
    <n v="73866.02"/>
  </r>
  <r>
    <n v="200001162"/>
    <s v="Jacob"/>
    <s v="Harris"/>
    <x v="0"/>
    <x v="28"/>
    <x v="3"/>
    <s v="Blue Collar"/>
    <x v="134"/>
    <n v="62781.64"/>
  </r>
  <r>
    <n v="200001163"/>
    <s v="Kevin"/>
    <s v="Bailey"/>
    <x v="0"/>
    <x v="17"/>
    <x v="3"/>
    <s v="Blue Collar"/>
    <x v="134"/>
    <n v="23604.06"/>
  </r>
  <r>
    <n v="200001164"/>
    <s v="Kevin"/>
    <s v="White"/>
    <x v="0"/>
    <x v="32"/>
    <x v="3"/>
    <s v="Blue Collar"/>
    <x v="134"/>
    <n v="19221.27"/>
  </r>
  <r>
    <n v="300001165"/>
    <s v="Piers"/>
    <s v="Parsons"/>
    <x v="0"/>
    <x v="22"/>
    <x v="2"/>
    <s v="White Collar"/>
    <x v="134"/>
    <n v="36572.74"/>
  </r>
  <r>
    <n v="100001166"/>
    <s v="Boris"/>
    <s v="Sharp"/>
    <x v="0"/>
    <x v="12"/>
    <x v="0"/>
    <s v="White Collar"/>
    <x v="135"/>
    <n v="38836.01"/>
  </r>
  <r>
    <n v="100001167"/>
    <s v="Robert"/>
    <s v="Black"/>
    <x v="0"/>
    <x v="22"/>
    <x v="0"/>
    <s v="Other"/>
    <x v="135"/>
    <n v="39428.53"/>
  </r>
  <r>
    <n v="100001168"/>
    <s v="Felicity"/>
    <s v="Black"/>
    <x v="1"/>
    <x v="18"/>
    <x v="0"/>
    <s v="White Collar"/>
    <x v="135"/>
    <n v="22099.59"/>
  </r>
  <r>
    <n v="100001169"/>
    <s v="Owen"/>
    <s v="Sharp"/>
    <x v="0"/>
    <x v="1"/>
    <x v="0"/>
    <s v="Blue Collar"/>
    <x v="135"/>
    <n v="57497.29"/>
  </r>
  <r>
    <n v="100001170"/>
    <s v="Bernadette"/>
    <s v="Henderson"/>
    <x v="1"/>
    <x v="12"/>
    <x v="0"/>
    <s v="White Collar"/>
    <x v="135"/>
    <n v="47422.55"/>
  </r>
  <r>
    <n v="100001171"/>
    <s v="Sean"/>
    <s v="Manning"/>
    <x v="0"/>
    <x v="16"/>
    <x v="0"/>
    <s v="White Collar"/>
    <x v="135"/>
    <n v="41511.86"/>
  </r>
  <r>
    <n v="100001172"/>
    <s v="Phil"/>
    <s v="Turner"/>
    <x v="0"/>
    <x v="5"/>
    <x v="0"/>
    <s v="Other"/>
    <x v="135"/>
    <n v="3776.11"/>
  </r>
  <r>
    <n v="100001173"/>
    <s v="Ava"/>
    <s v="Rampling"/>
    <x v="1"/>
    <x v="3"/>
    <x v="0"/>
    <s v="White Collar"/>
    <x v="135"/>
    <n v="70324.5"/>
  </r>
  <r>
    <n v="100001174"/>
    <s v="Caroline"/>
    <s v="Terry"/>
    <x v="1"/>
    <x v="7"/>
    <x v="0"/>
    <s v="White Collar"/>
    <x v="135"/>
    <n v="68170.2"/>
  </r>
  <r>
    <n v="100001175"/>
    <s v="Colin"/>
    <s v="Lewis"/>
    <x v="0"/>
    <x v="22"/>
    <x v="0"/>
    <s v="White Collar"/>
    <x v="135"/>
    <n v="18190.48"/>
  </r>
  <r>
    <n v="100001176"/>
    <s v="Rose"/>
    <s v="Lewis"/>
    <x v="1"/>
    <x v="3"/>
    <x v="0"/>
    <s v="White Collar"/>
    <x v="135"/>
    <n v="13100.46"/>
  </r>
  <r>
    <n v="100001177"/>
    <s v="Christopher"/>
    <s v="Bell"/>
    <x v="0"/>
    <x v="38"/>
    <x v="0"/>
    <s v="White Collar"/>
    <x v="135"/>
    <n v="94339.78"/>
  </r>
  <r>
    <n v="100001178"/>
    <s v="Michael"/>
    <s v="Ogden"/>
    <x v="0"/>
    <x v="26"/>
    <x v="0"/>
    <s v="Blue Collar"/>
    <x v="135"/>
    <n v="24599.85"/>
  </r>
  <r>
    <n v="200001179"/>
    <s v="Charles"/>
    <s v="Hart"/>
    <x v="0"/>
    <x v="32"/>
    <x v="3"/>
    <s v="Other"/>
    <x v="135"/>
    <n v="55959.34"/>
  </r>
  <r>
    <n v="200001180"/>
    <s v="Joanne"/>
    <s v="Ogden"/>
    <x v="1"/>
    <x v="35"/>
    <x v="3"/>
    <s v="Other"/>
    <x v="135"/>
    <n v="43954.03"/>
  </r>
  <r>
    <n v="200001181"/>
    <s v="Katherine"/>
    <s v="Stewart"/>
    <x v="1"/>
    <x v="2"/>
    <x v="3"/>
    <s v="Blue Collar"/>
    <x v="135"/>
    <n v="16995.990000000002"/>
  </r>
  <r>
    <n v="200001182"/>
    <s v="Thomas"/>
    <s v="Coleman"/>
    <x v="0"/>
    <x v="11"/>
    <x v="3"/>
    <s v="Other"/>
    <x v="135"/>
    <n v="43980.94"/>
  </r>
  <r>
    <n v="200001183"/>
    <s v="Peter"/>
    <s v="Mackenzie"/>
    <x v="0"/>
    <x v="16"/>
    <x v="3"/>
    <s v="Blue Collar"/>
    <x v="135"/>
    <n v="25288.1"/>
  </r>
  <r>
    <n v="300001184"/>
    <s v="Zoe"/>
    <s v="Hemmings"/>
    <x v="1"/>
    <x v="31"/>
    <x v="2"/>
    <s v="White Collar"/>
    <x v="135"/>
    <n v="29607.52"/>
  </r>
  <r>
    <n v="300001185"/>
    <s v="Ruth"/>
    <s v="Glover"/>
    <x v="1"/>
    <x v="30"/>
    <x v="2"/>
    <s v="White Collar"/>
    <x v="135"/>
    <n v="44060.89"/>
  </r>
  <r>
    <n v="300001186"/>
    <s v="Bernadette"/>
    <s v="Wilson"/>
    <x v="1"/>
    <x v="21"/>
    <x v="2"/>
    <s v="White Collar"/>
    <x v="135"/>
    <n v="37830.67"/>
  </r>
  <r>
    <n v="400001187"/>
    <s v="Alexander"/>
    <s v="Peake"/>
    <x v="0"/>
    <x v="8"/>
    <x v="1"/>
    <s v="White Collar"/>
    <x v="135"/>
    <n v="23979.99"/>
  </r>
  <r>
    <n v="100001188"/>
    <s v="Zoe"/>
    <s v="Jackson"/>
    <x v="1"/>
    <x v="1"/>
    <x v="0"/>
    <s v="Other"/>
    <x v="136"/>
    <n v="14965.91"/>
  </r>
  <r>
    <n v="100001189"/>
    <s v="Madeleine"/>
    <s v="Ross"/>
    <x v="1"/>
    <x v="3"/>
    <x v="0"/>
    <s v="Other"/>
    <x v="136"/>
    <n v="76207.19"/>
  </r>
  <r>
    <n v="100001190"/>
    <s v="Owen"/>
    <s v="Churchill"/>
    <x v="0"/>
    <x v="21"/>
    <x v="0"/>
    <s v="White Collar"/>
    <x v="136"/>
    <n v="14520.25"/>
  </r>
  <r>
    <n v="100001191"/>
    <s v="Oliver"/>
    <s v="Burgess"/>
    <x v="0"/>
    <x v="36"/>
    <x v="0"/>
    <s v="White Collar"/>
    <x v="136"/>
    <n v="85965.79"/>
  </r>
  <r>
    <n v="100001192"/>
    <s v="Leah"/>
    <s v="Jones"/>
    <x v="1"/>
    <x v="38"/>
    <x v="0"/>
    <s v="Other"/>
    <x v="136"/>
    <n v="35052.06"/>
  </r>
  <r>
    <n v="100001193"/>
    <s v="Zoe"/>
    <s v="Young"/>
    <x v="1"/>
    <x v="26"/>
    <x v="0"/>
    <s v="White Collar"/>
    <x v="136"/>
    <n v="28189.39"/>
  </r>
  <r>
    <n v="100001194"/>
    <s v="Alan"/>
    <s v="Kerr"/>
    <x v="0"/>
    <x v="43"/>
    <x v="0"/>
    <s v="White Collar"/>
    <x v="136"/>
    <n v="56473.51"/>
  </r>
  <r>
    <n v="100001195"/>
    <s v="Christopher"/>
    <s v="Walsh"/>
    <x v="0"/>
    <x v="3"/>
    <x v="0"/>
    <s v="White Collar"/>
    <x v="136"/>
    <n v="6080.49"/>
  </r>
  <r>
    <n v="100001196"/>
    <s v="Yvonne"/>
    <s v="Skinner"/>
    <x v="1"/>
    <x v="14"/>
    <x v="0"/>
    <s v="White Collar"/>
    <x v="136"/>
    <n v="2317.41"/>
  </r>
  <r>
    <n v="100001197"/>
    <s v="Penelope"/>
    <s v="May"/>
    <x v="1"/>
    <x v="8"/>
    <x v="0"/>
    <s v="Blue Collar"/>
    <x v="136"/>
    <n v="25710.04"/>
  </r>
  <r>
    <n v="200001198"/>
    <s v="Ryan"/>
    <s v="Murray"/>
    <x v="0"/>
    <x v="18"/>
    <x v="3"/>
    <s v="Other"/>
    <x v="136"/>
    <n v="20815.73"/>
  </r>
  <r>
    <n v="200001199"/>
    <s v="Jake"/>
    <s v="Ball"/>
    <x v="0"/>
    <x v="6"/>
    <x v="3"/>
    <s v="Blue Collar"/>
    <x v="136"/>
    <n v="39352.22"/>
  </r>
  <r>
    <n v="200001200"/>
    <s v="Ian"/>
    <s v="Terry"/>
    <x v="0"/>
    <x v="18"/>
    <x v="3"/>
    <s v="White Collar"/>
    <x v="136"/>
    <n v="27732.99"/>
  </r>
  <r>
    <n v="200001201"/>
    <s v="Colin"/>
    <s v="Simpson"/>
    <x v="0"/>
    <x v="6"/>
    <x v="3"/>
    <s v="Other"/>
    <x v="136"/>
    <n v="73399.17"/>
  </r>
  <r>
    <n v="200001202"/>
    <s v="Jonathan"/>
    <s v="Dowd"/>
    <x v="0"/>
    <x v="17"/>
    <x v="3"/>
    <s v="Blue Collar"/>
    <x v="136"/>
    <n v="93586.64"/>
  </r>
  <r>
    <n v="300001203"/>
    <s v="Blake"/>
    <s v="Knox"/>
    <x v="0"/>
    <x v="32"/>
    <x v="2"/>
    <s v="White Collar"/>
    <x v="136"/>
    <n v="57193.29"/>
  </r>
  <r>
    <n v="300001204"/>
    <s v="Olivia"/>
    <s v="Langdon"/>
    <x v="1"/>
    <x v="8"/>
    <x v="2"/>
    <s v="White Collar"/>
    <x v="136"/>
    <n v="4250.38"/>
  </r>
  <r>
    <n v="300001205"/>
    <s v="Megan"/>
    <s v="Welch"/>
    <x v="1"/>
    <x v="8"/>
    <x v="2"/>
    <s v="White Collar"/>
    <x v="136"/>
    <n v="65123.06"/>
  </r>
  <r>
    <n v="100001206"/>
    <s v="Gavin"/>
    <s v="Nash"/>
    <x v="0"/>
    <x v="5"/>
    <x v="0"/>
    <s v="Blue Collar"/>
    <x v="137"/>
    <n v="9446.43"/>
  </r>
  <r>
    <n v="100001207"/>
    <s v="Sebastian"/>
    <s v="Piper"/>
    <x v="0"/>
    <x v="22"/>
    <x v="0"/>
    <s v="Blue Collar"/>
    <x v="137"/>
    <n v="39044.93"/>
  </r>
  <r>
    <n v="100001208"/>
    <s v="Diane"/>
    <s v="Sharp"/>
    <x v="1"/>
    <x v="1"/>
    <x v="0"/>
    <s v="Other"/>
    <x v="137"/>
    <n v="63083.87"/>
  </r>
  <r>
    <n v="100001209"/>
    <s v="Keith"/>
    <s v="Bailey"/>
    <x v="0"/>
    <x v="43"/>
    <x v="0"/>
    <s v="Blue Collar"/>
    <x v="137"/>
    <n v="40572.06"/>
  </r>
  <r>
    <n v="100001210"/>
    <s v="Jack"/>
    <s v="Piper"/>
    <x v="0"/>
    <x v="5"/>
    <x v="0"/>
    <s v="White Collar"/>
    <x v="137"/>
    <n v="19604.57"/>
  </r>
  <r>
    <n v="100001211"/>
    <s v="Madeleine"/>
    <s v="Manning"/>
    <x v="1"/>
    <x v="9"/>
    <x v="0"/>
    <s v="White Collar"/>
    <x v="137"/>
    <n v="704.83"/>
  </r>
  <r>
    <n v="100001212"/>
    <s v="Lucas"/>
    <s v="Pullman"/>
    <x v="0"/>
    <x v="10"/>
    <x v="0"/>
    <s v="White Collar"/>
    <x v="137"/>
    <n v="105718.04"/>
  </r>
  <r>
    <n v="100001213"/>
    <s v="Michael"/>
    <s v="Russell"/>
    <x v="0"/>
    <x v="7"/>
    <x v="0"/>
    <s v="Other"/>
    <x v="137"/>
    <n v="15660.89"/>
  </r>
  <r>
    <n v="200001214"/>
    <s v="Carolyn"/>
    <s v="McDonald"/>
    <x v="1"/>
    <x v="15"/>
    <x v="3"/>
    <s v="Other"/>
    <x v="137"/>
    <n v="69027.62"/>
  </r>
  <r>
    <n v="200001215"/>
    <s v="Anthony"/>
    <s v="Metcalfe"/>
    <x v="0"/>
    <x v="39"/>
    <x v="3"/>
    <s v="Blue Collar"/>
    <x v="137"/>
    <n v="3578.96"/>
  </r>
  <r>
    <n v="300001216"/>
    <s v="Emily"/>
    <s v="Knox"/>
    <x v="1"/>
    <x v="30"/>
    <x v="2"/>
    <s v="White Collar"/>
    <x v="137"/>
    <n v="99271.98"/>
  </r>
  <r>
    <n v="300001217"/>
    <s v="Adam"/>
    <s v="King"/>
    <x v="0"/>
    <x v="6"/>
    <x v="2"/>
    <s v="Other"/>
    <x v="137"/>
    <n v="47418.57"/>
  </r>
  <r>
    <n v="300001218"/>
    <s v="Brian"/>
    <s v="Payne"/>
    <x v="0"/>
    <x v="8"/>
    <x v="2"/>
    <s v="Other"/>
    <x v="137"/>
    <n v="8102.48"/>
  </r>
  <r>
    <n v="400001219"/>
    <s v="Carol"/>
    <s v="Clarkson"/>
    <x v="1"/>
    <x v="1"/>
    <x v="1"/>
    <s v="Other"/>
    <x v="137"/>
    <n v="20742.96"/>
  </r>
  <r>
    <n v="100001220"/>
    <s v="Julian"/>
    <s v="Gray"/>
    <x v="0"/>
    <x v="34"/>
    <x v="0"/>
    <s v="White Collar"/>
    <x v="138"/>
    <n v="27591.72"/>
  </r>
  <r>
    <n v="100001221"/>
    <s v="Karen"/>
    <s v="Knox"/>
    <x v="1"/>
    <x v="43"/>
    <x v="0"/>
    <s v="Blue Collar"/>
    <x v="138"/>
    <n v="20389.34"/>
  </r>
  <r>
    <n v="100001222"/>
    <s v="Rebecca"/>
    <s v="Kerr"/>
    <x v="1"/>
    <x v="4"/>
    <x v="0"/>
    <s v="White Collar"/>
    <x v="138"/>
    <n v="25016.799999999999"/>
  </r>
  <r>
    <n v="100001223"/>
    <s v="Deirdre"/>
    <s v="King"/>
    <x v="1"/>
    <x v="13"/>
    <x v="0"/>
    <s v="White Collar"/>
    <x v="138"/>
    <n v="4930.82"/>
  </r>
  <r>
    <n v="100001224"/>
    <s v="Sophie"/>
    <s v="Avery"/>
    <x v="1"/>
    <x v="38"/>
    <x v="0"/>
    <s v="Other"/>
    <x v="138"/>
    <n v="106947.88"/>
  </r>
  <r>
    <n v="100001225"/>
    <s v="Connor"/>
    <s v="McLean"/>
    <x v="0"/>
    <x v="1"/>
    <x v="0"/>
    <s v="White Collar"/>
    <x v="138"/>
    <n v="919.1"/>
  </r>
  <r>
    <n v="100001226"/>
    <s v="Michelle"/>
    <s v="King"/>
    <x v="1"/>
    <x v="3"/>
    <x v="0"/>
    <s v="Blue Collar"/>
    <x v="138"/>
    <n v="42968.77"/>
  </r>
  <r>
    <n v="100001227"/>
    <s v="Sally"/>
    <s v="Bond"/>
    <x v="1"/>
    <x v="8"/>
    <x v="0"/>
    <s v="Blue Collar"/>
    <x v="138"/>
    <n v="10810.61"/>
  </r>
  <r>
    <n v="100001228"/>
    <s v="Lucas"/>
    <s v="James"/>
    <x v="0"/>
    <x v="30"/>
    <x v="0"/>
    <s v="White Collar"/>
    <x v="138"/>
    <n v="15560.77"/>
  </r>
  <r>
    <n v="200001229"/>
    <s v="Brian"/>
    <s v="Gray"/>
    <x v="0"/>
    <x v="28"/>
    <x v="3"/>
    <s v="Other"/>
    <x v="138"/>
    <n v="64034.82"/>
  </r>
  <r>
    <n v="200001230"/>
    <s v="Alan"/>
    <s v="Dowd"/>
    <x v="0"/>
    <x v="25"/>
    <x v="3"/>
    <s v="Blue Collar"/>
    <x v="138"/>
    <n v="36624.839999999997"/>
  </r>
  <r>
    <n v="200001231"/>
    <s v="Michelle"/>
    <s v="Powell"/>
    <x v="1"/>
    <x v="32"/>
    <x v="3"/>
    <s v="Other"/>
    <x v="138"/>
    <n v="7670.6"/>
  </r>
  <r>
    <n v="200001232"/>
    <s v="Samantha"/>
    <s v="Grant"/>
    <x v="1"/>
    <x v="42"/>
    <x v="3"/>
    <s v="Blue Collar"/>
    <x v="138"/>
    <n v="28395.48"/>
  </r>
  <r>
    <n v="300001233"/>
    <s v="Victor"/>
    <s v="Hill"/>
    <x v="0"/>
    <x v="7"/>
    <x v="2"/>
    <s v="Other"/>
    <x v="138"/>
    <n v="61390.52"/>
  </r>
  <r>
    <n v="400001234"/>
    <s v="Olivia"/>
    <s v="Dyer"/>
    <x v="1"/>
    <x v="44"/>
    <x v="1"/>
    <s v="Other"/>
    <x v="138"/>
    <n v="13301.43"/>
  </r>
  <r>
    <n v="100001235"/>
    <s v="Natalie"/>
    <s v="Wilson"/>
    <x v="1"/>
    <x v="7"/>
    <x v="0"/>
    <s v="White Collar"/>
    <x v="139"/>
    <n v="41722.550000000003"/>
  </r>
  <r>
    <n v="100001236"/>
    <s v="Ella"/>
    <s v="Forsyth"/>
    <x v="1"/>
    <x v="8"/>
    <x v="0"/>
    <s v="Blue Collar"/>
    <x v="139"/>
    <n v="51786.07"/>
  </r>
  <r>
    <n v="100001237"/>
    <s v="Matt"/>
    <s v="Springer"/>
    <x v="0"/>
    <x v="10"/>
    <x v="0"/>
    <s v="Blue Collar"/>
    <x v="139"/>
    <n v="91246.45"/>
  </r>
  <r>
    <n v="100001238"/>
    <s v="Adam"/>
    <s v="Wilson"/>
    <x v="0"/>
    <x v="1"/>
    <x v="0"/>
    <s v="Other"/>
    <x v="139"/>
    <n v="44155.19"/>
  </r>
  <r>
    <n v="100001239"/>
    <s v="Carolyn"/>
    <s v="Pullman"/>
    <x v="1"/>
    <x v="11"/>
    <x v="0"/>
    <s v="White Collar"/>
    <x v="139"/>
    <n v="27028.23"/>
  </r>
  <r>
    <n v="100001240"/>
    <s v="Adam"/>
    <s v="Wallace"/>
    <x v="0"/>
    <x v="1"/>
    <x v="0"/>
    <s v="White Collar"/>
    <x v="139"/>
    <n v="59162.23"/>
  </r>
  <r>
    <n v="100001241"/>
    <s v="Melanie"/>
    <s v="Dickens"/>
    <x v="1"/>
    <x v="25"/>
    <x v="0"/>
    <s v="Blue Collar"/>
    <x v="139"/>
    <n v="36294.120000000003"/>
  </r>
  <r>
    <n v="100001242"/>
    <s v="Samantha"/>
    <s v="Vaughan"/>
    <x v="1"/>
    <x v="4"/>
    <x v="0"/>
    <s v="White Collar"/>
    <x v="139"/>
    <n v="34385.32"/>
  </r>
  <r>
    <n v="100001243"/>
    <s v="Sonia"/>
    <s v="Parr"/>
    <x v="1"/>
    <x v="16"/>
    <x v="0"/>
    <s v="White Collar"/>
    <x v="139"/>
    <n v="58683.040000000001"/>
  </r>
  <r>
    <n v="100001244"/>
    <s v="Julian"/>
    <s v="Springer"/>
    <x v="0"/>
    <x v="13"/>
    <x v="0"/>
    <s v="White Collar"/>
    <x v="139"/>
    <n v="27812.51"/>
  </r>
  <r>
    <n v="200001245"/>
    <s v="Olivia"/>
    <s v="Metcalfe"/>
    <x v="1"/>
    <x v="23"/>
    <x v="3"/>
    <s v="Other"/>
    <x v="139"/>
    <n v="39943.69"/>
  </r>
  <r>
    <n v="200001246"/>
    <s v="Lily"/>
    <s v="Underwood"/>
    <x v="1"/>
    <x v="45"/>
    <x v="3"/>
    <s v="Other"/>
    <x v="139"/>
    <n v="23578.959999999999"/>
  </r>
  <r>
    <n v="200001247"/>
    <s v="Donna"/>
    <s v="Wallace"/>
    <x v="1"/>
    <x v="31"/>
    <x v="3"/>
    <s v="Other"/>
    <x v="139"/>
    <n v="25692"/>
  </r>
  <r>
    <n v="100001248"/>
    <s v="Mary"/>
    <s v="North"/>
    <x v="1"/>
    <x v="9"/>
    <x v="0"/>
    <s v="Other"/>
    <x v="140"/>
    <n v="24204.28"/>
  </r>
  <r>
    <n v="100001249"/>
    <s v="Lisa"/>
    <s v="Walsh"/>
    <x v="1"/>
    <x v="13"/>
    <x v="0"/>
    <s v="Other"/>
    <x v="140"/>
    <n v="25016.03"/>
  </r>
  <r>
    <n v="100001250"/>
    <s v="Simon"/>
    <s v="Cornish"/>
    <x v="0"/>
    <x v="29"/>
    <x v="0"/>
    <s v="White Collar"/>
    <x v="140"/>
    <n v="12964.93"/>
  </r>
  <r>
    <n v="200001251"/>
    <s v="Jonathan"/>
    <s v="Ball"/>
    <x v="0"/>
    <x v="34"/>
    <x v="3"/>
    <s v="Blue Collar"/>
    <x v="140"/>
    <n v="43733.51"/>
  </r>
  <r>
    <n v="200001252"/>
    <s v="Alan"/>
    <s v="Campbell"/>
    <x v="0"/>
    <x v="1"/>
    <x v="3"/>
    <s v="Blue Collar"/>
    <x v="140"/>
    <n v="10309.36"/>
  </r>
  <r>
    <n v="200001253"/>
    <s v="Mary"/>
    <s v="Churchill"/>
    <x v="1"/>
    <x v="18"/>
    <x v="3"/>
    <s v="Other"/>
    <x v="140"/>
    <n v="10738.26"/>
  </r>
  <r>
    <n v="300001254"/>
    <s v="Lauren"/>
    <s v="Lyman"/>
    <x v="1"/>
    <x v="12"/>
    <x v="2"/>
    <s v="White Collar"/>
    <x v="140"/>
    <n v="9366.57"/>
  </r>
  <r>
    <n v="300001255"/>
    <s v="Jane"/>
    <s v="Rees"/>
    <x v="1"/>
    <x v="10"/>
    <x v="2"/>
    <s v="White Collar"/>
    <x v="140"/>
    <n v="31777.55"/>
  </r>
  <r>
    <n v="300001256"/>
    <s v="Harry"/>
    <s v="Morrison"/>
    <x v="0"/>
    <x v="19"/>
    <x v="2"/>
    <s v="White Collar"/>
    <x v="140"/>
    <n v="7697.3"/>
  </r>
  <r>
    <n v="100001257"/>
    <s v="Stewart"/>
    <s v="Walsh"/>
    <x v="0"/>
    <x v="7"/>
    <x v="0"/>
    <s v="White Collar"/>
    <x v="141"/>
    <n v="122002.75"/>
  </r>
  <r>
    <n v="100001258"/>
    <s v="Nicola"/>
    <s v="Lee"/>
    <x v="1"/>
    <x v="30"/>
    <x v="0"/>
    <s v="White Collar"/>
    <x v="141"/>
    <n v="16056.76"/>
  </r>
  <r>
    <n v="200001259"/>
    <s v="Warren"/>
    <s v="Underwood"/>
    <x v="0"/>
    <x v="25"/>
    <x v="3"/>
    <s v="Blue Collar"/>
    <x v="141"/>
    <n v="28451.26"/>
  </r>
  <r>
    <n v="200001260"/>
    <s v="Matt"/>
    <s v="White"/>
    <x v="0"/>
    <x v="17"/>
    <x v="3"/>
    <s v="Blue Collar"/>
    <x v="141"/>
    <n v="4096.45"/>
  </r>
  <r>
    <n v="200001261"/>
    <s v="Blake"/>
    <s v="Newman"/>
    <x v="0"/>
    <x v="9"/>
    <x v="3"/>
    <s v="Blue Collar"/>
    <x v="141"/>
    <n v="24646.37"/>
  </r>
  <r>
    <n v="300001262"/>
    <s v="Gabrielle"/>
    <s v="Wright"/>
    <x v="1"/>
    <x v="30"/>
    <x v="2"/>
    <s v="White Collar"/>
    <x v="141"/>
    <n v="72266.38"/>
  </r>
  <r>
    <n v="300001263"/>
    <s v="Frank"/>
    <s v="Martin"/>
    <x v="0"/>
    <x v="14"/>
    <x v="2"/>
    <s v="White Collar"/>
    <x v="141"/>
    <n v="66105.06"/>
  </r>
  <r>
    <n v="300001264"/>
    <s v="Michael"/>
    <s v="Scott"/>
    <x v="0"/>
    <x v="5"/>
    <x v="2"/>
    <s v="Blue Collar"/>
    <x v="141"/>
    <n v="68927.97"/>
  </r>
  <r>
    <n v="100001265"/>
    <s v="Lillian"/>
    <s v="Sharp"/>
    <x v="1"/>
    <x v="9"/>
    <x v="0"/>
    <s v="Blue Collar"/>
    <x v="142"/>
    <n v="31439.06"/>
  </r>
  <r>
    <n v="100001266"/>
    <s v="Piers"/>
    <s v="Reid"/>
    <x v="0"/>
    <x v="10"/>
    <x v="0"/>
    <s v="White Collar"/>
    <x v="142"/>
    <n v="15208.44"/>
  </r>
  <r>
    <n v="100001267"/>
    <s v="Kevin"/>
    <s v="Buckland"/>
    <x v="0"/>
    <x v="14"/>
    <x v="0"/>
    <s v="White Collar"/>
    <x v="142"/>
    <n v="32570.65"/>
  </r>
  <r>
    <n v="100001268"/>
    <s v="Wanda"/>
    <s v="Jackson"/>
    <x v="1"/>
    <x v="14"/>
    <x v="0"/>
    <s v="Blue Collar"/>
    <x v="142"/>
    <n v="42453.120000000003"/>
  </r>
  <r>
    <n v="100001269"/>
    <s v="Caroline"/>
    <s v="Lyman"/>
    <x v="1"/>
    <x v="21"/>
    <x v="0"/>
    <s v="White Collar"/>
    <x v="142"/>
    <n v="25355.23"/>
  </r>
  <r>
    <n v="100001270"/>
    <s v="Andrew"/>
    <s v="Campbell"/>
    <x v="0"/>
    <x v="1"/>
    <x v="0"/>
    <s v="Other"/>
    <x v="142"/>
    <n v="111798.34"/>
  </r>
  <r>
    <n v="200001271"/>
    <s v="Nicola"/>
    <s v="Cameron"/>
    <x v="1"/>
    <x v="38"/>
    <x v="3"/>
    <s v="Other"/>
    <x v="142"/>
    <n v="52614.67"/>
  </r>
  <r>
    <n v="200001272"/>
    <s v="Leah"/>
    <s v="Rees"/>
    <x v="1"/>
    <x v="34"/>
    <x v="3"/>
    <s v="Other"/>
    <x v="142"/>
    <n v="28231.9"/>
  </r>
  <r>
    <n v="200001273"/>
    <s v="Luke"/>
    <s v="Lambert"/>
    <x v="0"/>
    <x v="33"/>
    <x v="3"/>
    <s v="Other"/>
    <x v="142"/>
    <n v="105354.02"/>
  </r>
  <r>
    <n v="100001274"/>
    <s v="Stewart"/>
    <s v="Grant"/>
    <x v="0"/>
    <x v="14"/>
    <x v="0"/>
    <s v="White Collar"/>
    <x v="143"/>
    <n v="34786.14"/>
  </r>
  <r>
    <n v="100001275"/>
    <s v="Lucas"/>
    <s v="Dyer"/>
    <x v="0"/>
    <x v="1"/>
    <x v="0"/>
    <s v="White Collar"/>
    <x v="143"/>
    <n v="20628.63"/>
  </r>
  <r>
    <n v="100001276"/>
    <s v="Richard"/>
    <s v="McDonald"/>
    <x v="0"/>
    <x v="4"/>
    <x v="0"/>
    <s v="White Collar"/>
    <x v="143"/>
    <n v="29679.51"/>
  </r>
  <r>
    <n v="100001277"/>
    <s v="Leah"/>
    <s v="Simpson"/>
    <x v="1"/>
    <x v="22"/>
    <x v="0"/>
    <s v="White Collar"/>
    <x v="143"/>
    <n v="28974.080000000002"/>
  </r>
  <r>
    <n v="100001278"/>
    <s v="John"/>
    <s v="Marshall"/>
    <x v="0"/>
    <x v="9"/>
    <x v="0"/>
    <s v="Blue Collar"/>
    <x v="143"/>
    <n v="2531.0100000000002"/>
  </r>
  <r>
    <n v="100001279"/>
    <s v="Wanda"/>
    <s v="Morrison"/>
    <x v="1"/>
    <x v="22"/>
    <x v="0"/>
    <s v="Blue Collar"/>
    <x v="143"/>
    <n v="88873.04"/>
  </r>
  <r>
    <n v="100001280"/>
    <s v="Gordon"/>
    <s v="Stewart"/>
    <x v="0"/>
    <x v="27"/>
    <x v="0"/>
    <s v="Other"/>
    <x v="143"/>
    <n v="12714.42"/>
  </r>
  <r>
    <n v="100001281"/>
    <s v="Cameron"/>
    <s v="Bower"/>
    <x v="0"/>
    <x v="12"/>
    <x v="0"/>
    <s v="White Collar"/>
    <x v="143"/>
    <n v="16312.01"/>
  </r>
  <r>
    <n v="200001282"/>
    <s v="Matt"/>
    <s v="Watson"/>
    <x v="0"/>
    <x v="31"/>
    <x v="3"/>
    <s v="White Collar"/>
    <x v="143"/>
    <n v="242.49"/>
  </r>
  <r>
    <n v="200001283"/>
    <s v="Evan"/>
    <s v="Burgess"/>
    <x v="0"/>
    <x v="6"/>
    <x v="3"/>
    <s v="Blue Collar"/>
    <x v="143"/>
    <n v="5725.96"/>
  </r>
  <r>
    <n v="300001284"/>
    <s v="Jack"/>
    <s v="Johnston"/>
    <x v="0"/>
    <x v="16"/>
    <x v="2"/>
    <s v="White Collar"/>
    <x v="143"/>
    <n v="87285.66"/>
  </r>
  <r>
    <n v="300001285"/>
    <s v="Grace"/>
    <s v="Lyman"/>
    <x v="1"/>
    <x v="3"/>
    <x v="2"/>
    <s v="White Collar"/>
    <x v="143"/>
    <n v="72238.95"/>
  </r>
  <r>
    <n v="300001286"/>
    <s v="Trevor"/>
    <s v="Bell"/>
    <x v="0"/>
    <x v="14"/>
    <x v="2"/>
    <s v="White Collar"/>
    <x v="143"/>
    <n v="28858.98"/>
  </r>
  <r>
    <n v="100001287"/>
    <s v="Kylie"/>
    <s v="Morrison"/>
    <x v="1"/>
    <x v="7"/>
    <x v="0"/>
    <s v="White Collar"/>
    <x v="144"/>
    <n v="23875.68"/>
  </r>
  <r>
    <n v="100001288"/>
    <s v="Virginia"/>
    <s v="Ferguson"/>
    <x v="1"/>
    <x v="7"/>
    <x v="0"/>
    <s v="White Collar"/>
    <x v="144"/>
    <n v="16867.36"/>
  </r>
  <r>
    <n v="100001289"/>
    <s v="Peter"/>
    <s v="Hamilton"/>
    <x v="0"/>
    <x v="32"/>
    <x v="0"/>
    <s v="White Collar"/>
    <x v="144"/>
    <n v="68113.06"/>
  </r>
  <r>
    <n v="100001290"/>
    <s v="Joseph"/>
    <s v="Davies"/>
    <x v="0"/>
    <x v="16"/>
    <x v="0"/>
    <s v="White Collar"/>
    <x v="144"/>
    <n v="12737.83"/>
  </r>
  <r>
    <n v="100001291"/>
    <s v="Victor"/>
    <s v="Berry"/>
    <x v="0"/>
    <x v="24"/>
    <x v="0"/>
    <s v="White Collar"/>
    <x v="144"/>
    <n v="6825.79"/>
  </r>
  <r>
    <n v="100001292"/>
    <s v="Alexander"/>
    <s v="Hudson"/>
    <x v="0"/>
    <x v="32"/>
    <x v="0"/>
    <s v="White Collar"/>
    <x v="144"/>
    <n v="29339.77"/>
  </r>
  <r>
    <n v="100001293"/>
    <s v="Amy"/>
    <s v="Avery"/>
    <x v="1"/>
    <x v="13"/>
    <x v="0"/>
    <s v="White Collar"/>
    <x v="144"/>
    <n v="1330.3"/>
  </r>
  <r>
    <n v="100001294"/>
    <s v="Joan"/>
    <s v="Underwood"/>
    <x v="1"/>
    <x v="12"/>
    <x v="0"/>
    <s v="Other"/>
    <x v="144"/>
    <n v="6272.99"/>
  </r>
  <r>
    <n v="200001295"/>
    <s v="Elizabeth"/>
    <s v="Clarkson"/>
    <x v="1"/>
    <x v="34"/>
    <x v="3"/>
    <s v="Other"/>
    <x v="144"/>
    <n v="10628.71"/>
  </r>
  <r>
    <n v="200001296"/>
    <s v="Alan"/>
    <s v="Fraser"/>
    <x v="0"/>
    <x v="19"/>
    <x v="3"/>
    <s v="White Collar"/>
    <x v="144"/>
    <n v="9604.4"/>
  </r>
  <r>
    <n v="400001297"/>
    <s v="Christian"/>
    <s v="Hudson"/>
    <x v="0"/>
    <x v="3"/>
    <x v="1"/>
    <s v="Other"/>
    <x v="144"/>
    <n v="11297.19"/>
  </r>
  <r>
    <n v="100001298"/>
    <s v="Luke"/>
    <s v="Walsh"/>
    <x v="0"/>
    <x v="14"/>
    <x v="0"/>
    <s v="White Collar"/>
    <x v="145"/>
    <n v="17275.34"/>
  </r>
  <r>
    <n v="100001299"/>
    <s v="Adam"/>
    <s v="Duncan"/>
    <x v="0"/>
    <x v="32"/>
    <x v="0"/>
    <s v="White Collar"/>
    <x v="145"/>
    <n v="11873.22"/>
  </r>
  <r>
    <n v="100001300"/>
    <s v="Thomas"/>
    <s v="Morrison"/>
    <x v="0"/>
    <x v="22"/>
    <x v="0"/>
    <s v="Other"/>
    <x v="145"/>
    <n v="71961.78"/>
  </r>
  <r>
    <n v="100001301"/>
    <s v="Carolyn"/>
    <s v="Ellison"/>
    <x v="1"/>
    <x v="22"/>
    <x v="0"/>
    <s v="White Collar"/>
    <x v="145"/>
    <n v="14125.9"/>
  </r>
  <r>
    <n v="100001302"/>
    <s v="Katherine"/>
    <s v="Kerr"/>
    <x v="1"/>
    <x v="3"/>
    <x v="0"/>
    <s v="White Collar"/>
    <x v="145"/>
    <n v="17715.689999999999"/>
  </r>
  <r>
    <n v="100001303"/>
    <s v="Joe"/>
    <s v="Ball"/>
    <x v="0"/>
    <x v="9"/>
    <x v="0"/>
    <s v="White Collar"/>
    <x v="145"/>
    <n v="17616.259999999998"/>
  </r>
  <r>
    <n v="100001304"/>
    <s v="Amy"/>
    <s v="Ogden"/>
    <x v="1"/>
    <x v="16"/>
    <x v="0"/>
    <s v="Blue Collar"/>
    <x v="145"/>
    <n v="33934.22"/>
  </r>
  <r>
    <n v="100001305"/>
    <s v="Boris"/>
    <s v="Morgan"/>
    <x v="0"/>
    <x v="1"/>
    <x v="0"/>
    <s v="Blue Collar"/>
    <x v="145"/>
    <n v="109300.73"/>
  </r>
  <r>
    <n v="100001306"/>
    <s v="Faith"/>
    <s v="Kerr"/>
    <x v="1"/>
    <x v="7"/>
    <x v="0"/>
    <s v="Blue Collar"/>
    <x v="145"/>
    <n v="32418.13"/>
  </r>
  <r>
    <n v="100001307"/>
    <s v="Dorothy"/>
    <s v="Jackson"/>
    <x v="1"/>
    <x v="13"/>
    <x v="0"/>
    <s v="White Collar"/>
    <x v="145"/>
    <n v="183467.7"/>
  </r>
  <r>
    <n v="100001308"/>
    <s v="Bella"/>
    <s v="Jackson"/>
    <x v="1"/>
    <x v="35"/>
    <x v="0"/>
    <s v="White Collar"/>
    <x v="145"/>
    <n v="58655.75"/>
  </r>
  <r>
    <n v="100001309"/>
    <s v="Colin"/>
    <s v="Hamilton"/>
    <x v="0"/>
    <x v="22"/>
    <x v="0"/>
    <s v="White Collar"/>
    <x v="145"/>
    <n v="125015.82"/>
  </r>
  <r>
    <n v="100001310"/>
    <s v="Eric"/>
    <s v="Sharp"/>
    <x v="0"/>
    <x v="5"/>
    <x v="0"/>
    <s v="White Collar"/>
    <x v="145"/>
    <n v="21014.53"/>
  </r>
  <r>
    <n v="100001311"/>
    <s v="Michelle"/>
    <s v="James"/>
    <x v="1"/>
    <x v="10"/>
    <x v="0"/>
    <s v="Blue Collar"/>
    <x v="145"/>
    <n v="63992.1"/>
  </r>
  <r>
    <n v="100001312"/>
    <s v="Alison"/>
    <s v="Piper"/>
    <x v="1"/>
    <x v="4"/>
    <x v="0"/>
    <s v="White Collar"/>
    <x v="145"/>
    <n v="18578.98"/>
  </r>
  <r>
    <n v="100001313"/>
    <s v="Charles"/>
    <s v="Hughes"/>
    <x v="0"/>
    <x v="24"/>
    <x v="0"/>
    <s v="Blue Collar"/>
    <x v="145"/>
    <n v="25524.720000000001"/>
  </r>
  <r>
    <n v="100001314"/>
    <s v="Dan"/>
    <s v="Short"/>
    <x v="0"/>
    <x v="3"/>
    <x v="0"/>
    <s v="White Collar"/>
    <x v="145"/>
    <n v="4287.63"/>
  </r>
  <r>
    <n v="100001315"/>
    <s v="Penelope"/>
    <s v="Churchill"/>
    <x v="1"/>
    <x v="38"/>
    <x v="0"/>
    <s v="White Collar"/>
    <x v="145"/>
    <n v="31066.94"/>
  </r>
  <r>
    <n v="100001316"/>
    <s v="Simon"/>
    <s v="Rutherford"/>
    <x v="0"/>
    <x v="20"/>
    <x v="0"/>
    <s v="White Collar"/>
    <x v="145"/>
    <n v="123865.36"/>
  </r>
  <r>
    <n v="100001317"/>
    <s v="Jan"/>
    <s v="Russell"/>
    <x v="1"/>
    <x v="30"/>
    <x v="0"/>
    <s v="Blue Collar"/>
    <x v="145"/>
    <n v="1434.13"/>
  </r>
  <r>
    <n v="100001318"/>
    <s v="Michael"/>
    <s v="Grant"/>
    <x v="0"/>
    <x v="14"/>
    <x v="0"/>
    <s v="Blue Collar"/>
    <x v="145"/>
    <n v="5234.01"/>
  </r>
  <r>
    <n v="100001319"/>
    <s v="Heather"/>
    <s v="Blake"/>
    <x v="1"/>
    <x v="0"/>
    <x v="0"/>
    <s v="Blue Collar"/>
    <x v="145"/>
    <n v="59639.46"/>
  </r>
  <r>
    <n v="100001320"/>
    <s v="Jane"/>
    <s v="King"/>
    <x v="1"/>
    <x v="4"/>
    <x v="0"/>
    <s v="White Collar"/>
    <x v="145"/>
    <n v="11.52"/>
  </r>
  <r>
    <n v="100001321"/>
    <s v="Steven"/>
    <s v="Brown"/>
    <x v="0"/>
    <x v="14"/>
    <x v="0"/>
    <s v="White Collar"/>
    <x v="145"/>
    <n v="28244.63"/>
  </r>
  <r>
    <n v="100001322"/>
    <s v="Carol"/>
    <s v="Simpson"/>
    <x v="1"/>
    <x v="9"/>
    <x v="0"/>
    <s v="White Collar"/>
    <x v="145"/>
    <n v="5585.36"/>
  </r>
  <r>
    <n v="100001323"/>
    <s v="Owen"/>
    <s v="Robertson"/>
    <x v="0"/>
    <x v="5"/>
    <x v="0"/>
    <s v="White Collar"/>
    <x v="145"/>
    <n v="27891.74"/>
  </r>
  <r>
    <n v="100001324"/>
    <s v="Boris"/>
    <s v="Hughes"/>
    <x v="0"/>
    <x v="22"/>
    <x v="0"/>
    <s v="White Collar"/>
    <x v="145"/>
    <n v="8167.59"/>
  </r>
  <r>
    <n v="100001325"/>
    <s v="Yvonne"/>
    <s v="Mitchell"/>
    <x v="1"/>
    <x v="22"/>
    <x v="0"/>
    <s v="White Collar"/>
    <x v="145"/>
    <n v="43139.15"/>
  </r>
  <r>
    <n v="200001326"/>
    <s v="Natalie"/>
    <s v="Coleman"/>
    <x v="1"/>
    <x v="27"/>
    <x v="3"/>
    <s v="Other"/>
    <x v="145"/>
    <n v="40931.279999999999"/>
  </r>
  <r>
    <n v="200001327"/>
    <s v="Kevin"/>
    <s v="Grant"/>
    <x v="0"/>
    <x v="31"/>
    <x v="3"/>
    <s v="Other"/>
    <x v="145"/>
    <n v="30778.33"/>
  </r>
  <r>
    <n v="200001328"/>
    <s v="Blake"/>
    <s v="Arnold"/>
    <x v="0"/>
    <x v="31"/>
    <x v="3"/>
    <s v="Blue Collar"/>
    <x v="145"/>
    <n v="37315.31"/>
  </r>
  <r>
    <n v="200001329"/>
    <s v="Michelle"/>
    <s v="Edmunds"/>
    <x v="1"/>
    <x v="32"/>
    <x v="3"/>
    <s v="Other"/>
    <x v="145"/>
    <n v="3893.42"/>
  </r>
  <r>
    <n v="200001330"/>
    <s v="Joshua"/>
    <s v="Black"/>
    <x v="0"/>
    <x v="29"/>
    <x v="3"/>
    <s v="White Collar"/>
    <x v="145"/>
    <n v="9758.09"/>
  </r>
  <r>
    <n v="200001331"/>
    <s v="Maria"/>
    <s v="Robertson"/>
    <x v="1"/>
    <x v="39"/>
    <x v="3"/>
    <s v="Other"/>
    <x v="145"/>
    <n v="6197.21"/>
  </r>
  <r>
    <n v="200001332"/>
    <s v="Jake"/>
    <s v="Abraham"/>
    <x v="0"/>
    <x v="25"/>
    <x v="3"/>
    <s v="Blue Collar"/>
    <x v="145"/>
    <n v="79844.5"/>
  </r>
  <r>
    <n v="200001333"/>
    <s v="Justin"/>
    <s v="Fisher"/>
    <x v="0"/>
    <x v="18"/>
    <x v="3"/>
    <s v="Blue Collar"/>
    <x v="145"/>
    <n v="31708.22"/>
  </r>
  <r>
    <n v="200001334"/>
    <s v="Carl"/>
    <s v="Stewart"/>
    <x v="0"/>
    <x v="9"/>
    <x v="3"/>
    <s v="Other"/>
    <x v="145"/>
    <n v="4076.19"/>
  </r>
  <r>
    <n v="200001335"/>
    <s v="Connor"/>
    <s v="Underwood"/>
    <x v="0"/>
    <x v="18"/>
    <x v="3"/>
    <s v="Blue Collar"/>
    <x v="145"/>
    <n v="54622.95"/>
  </r>
  <r>
    <n v="300001336"/>
    <s v="Dan"/>
    <s v="Poole"/>
    <x v="0"/>
    <x v="28"/>
    <x v="2"/>
    <s v="White Collar"/>
    <x v="145"/>
    <n v="65701.279999999999"/>
  </r>
  <r>
    <n v="300001337"/>
    <s v="Diane"/>
    <s v="Stewart"/>
    <x v="1"/>
    <x v="4"/>
    <x v="2"/>
    <s v="White Collar"/>
    <x v="145"/>
    <n v="60149.63"/>
  </r>
  <r>
    <n v="300001338"/>
    <s v="Charles"/>
    <s v="Simpson"/>
    <x v="0"/>
    <x v="31"/>
    <x v="2"/>
    <s v="White Collar"/>
    <x v="145"/>
    <n v="110880.94"/>
  </r>
  <r>
    <n v="300001339"/>
    <s v="Alexandra"/>
    <s v="Skinner"/>
    <x v="1"/>
    <x v="9"/>
    <x v="2"/>
    <s v="Other"/>
    <x v="145"/>
    <n v="37204.58"/>
  </r>
  <r>
    <n v="300001340"/>
    <s v="Lisa"/>
    <s v="Reid"/>
    <x v="1"/>
    <x v="8"/>
    <x v="2"/>
    <s v="Other"/>
    <x v="145"/>
    <n v="55359.26"/>
  </r>
  <r>
    <n v="300001341"/>
    <s v="Isaac"/>
    <s v="Burgess"/>
    <x v="0"/>
    <x v="38"/>
    <x v="2"/>
    <s v="White Collar"/>
    <x v="145"/>
    <n v="121021.5"/>
  </r>
  <r>
    <n v="400001342"/>
    <s v="Victoria"/>
    <s v="Morrison"/>
    <x v="1"/>
    <x v="12"/>
    <x v="1"/>
    <s v="Other"/>
    <x v="145"/>
    <n v="49294.33"/>
  </r>
  <r>
    <n v="400001343"/>
    <s v="Yvonne"/>
    <s v="Buckland"/>
    <x v="1"/>
    <x v="13"/>
    <x v="1"/>
    <s v="Other"/>
    <x v="145"/>
    <n v="6631.42"/>
  </r>
  <r>
    <n v="400001344"/>
    <s v="Sebastian"/>
    <s v="Scott"/>
    <x v="0"/>
    <x v="21"/>
    <x v="1"/>
    <s v="Other"/>
    <x v="145"/>
    <n v="39569.449999999997"/>
  </r>
  <r>
    <n v="100001345"/>
    <s v="Carl"/>
    <s v="Scott"/>
    <x v="0"/>
    <x v="2"/>
    <x v="0"/>
    <s v="White Collar"/>
    <x v="146"/>
    <n v="49511.64"/>
  </r>
  <r>
    <n v="100001346"/>
    <s v="Deirdre"/>
    <s v="Clarkson"/>
    <x v="1"/>
    <x v="7"/>
    <x v="0"/>
    <s v="White Collar"/>
    <x v="146"/>
    <n v="14121.7"/>
  </r>
  <r>
    <n v="100001347"/>
    <s v="Madeleine"/>
    <s v="Miller"/>
    <x v="1"/>
    <x v="8"/>
    <x v="0"/>
    <s v="White Collar"/>
    <x v="146"/>
    <n v="96844.75"/>
  </r>
  <r>
    <n v="100001348"/>
    <s v="Faith"/>
    <s v="Jones"/>
    <x v="1"/>
    <x v="22"/>
    <x v="0"/>
    <s v="White Collar"/>
    <x v="146"/>
    <n v="31392.78"/>
  </r>
  <r>
    <n v="100001349"/>
    <s v="Jake"/>
    <s v="Gray"/>
    <x v="0"/>
    <x v="31"/>
    <x v="0"/>
    <s v="White Collar"/>
    <x v="146"/>
    <n v="60906.04"/>
  </r>
  <r>
    <n v="200001350"/>
    <s v="Alexander"/>
    <s v="Bell"/>
    <x v="0"/>
    <x v="2"/>
    <x v="3"/>
    <s v="Blue Collar"/>
    <x v="146"/>
    <n v="9163.19"/>
  </r>
  <r>
    <n v="200001351"/>
    <s v="Adrian"/>
    <s v="Knox"/>
    <x v="0"/>
    <x v="34"/>
    <x v="3"/>
    <s v="Blue Collar"/>
    <x v="146"/>
    <n v="39198.79"/>
  </r>
  <r>
    <n v="200001352"/>
    <s v="Jasmine"/>
    <s v="Burgess"/>
    <x v="1"/>
    <x v="25"/>
    <x v="3"/>
    <s v="Other"/>
    <x v="146"/>
    <n v="21093.17"/>
  </r>
  <r>
    <n v="300001353"/>
    <s v="Maria"/>
    <s v="Short"/>
    <x v="1"/>
    <x v="1"/>
    <x v="2"/>
    <s v="White Collar"/>
    <x v="146"/>
    <n v="15478.24"/>
  </r>
  <r>
    <n v="300001354"/>
    <s v="Connor"/>
    <s v="McDonald"/>
    <x v="0"/>
    <x v="16"/>
    <x v="2"/>
    <s v="White Collar"/>
    <x v="146"/>
    <n v="25581.54"/>
  </r>
  <r>
    <n v="400001355"/>
    <s v="Neil"/>
    <s v="Baker"/>
    <x v="0"/>
    <x v="20"/>
    <x v="1"/>
    <s v="Other"/>
    <x v="146"/>
    <n v="44575.02"/>
  </r>
  <r>
    <n v="100001356"/>
    <s v="Stephanie"/>
    <s v="Clark"/>
    <x v="1"/>
    <x v="1"/>
    <x v="0"/>
    <s v="White Collar"/>
    <x v="147"/>
    <n v="4056.75"/>
  </r>
  <r>
    <n v="100001357"/>
    <s v="Jack"/>
    <s v="Ellison"/>
    <x v="0"/>
    <x v="9"/>
    <x v="0"/>
    <s v="White Collar"/>
    <x v="147"/>
    <n v="67327.11"/>
  </r>
  <r>
    <n v="100001358"/>
    <s v="Edward"/>
    <s v="Parsons"/>
    <x v="0"/>
    <x v="25"/>
    <x v="0"/>
    <s v="Other"/>
    <x v="147"/>
    <n v="1426.26"/>
  </r>
  <r>
    <n v="100001359"/>
    <s v="Connor"/>
    <s v="Hamilton"/>
    <x v="0"/>
    <x v="13"/>
    <x v="0"/>
    <s v="White Collar"/>
    <x v="147"/>
    <n v="24458"/>
  </r>
  <r>
    <n v="100001360"/>
    <s v="Brandon"/>
    <s v="Walker"/>
    <x v="0"/>
    <x v="14"/>
    <x v="0"/>
    <s v="White Collar"/>
    <x v="147"/>
    <n v="59430.45"/>
  </r>
  <r>
    <n v="200001361"/>
    <s v="Christian"/>
    <s v="Hemmings"/>
    <x v="0"/>
    <x v="35"/>
    <x v="3"/>
    <s v="Other"/>
    <x v="147"/>
    <n v="25973.39"/>
  </r>
  <r>
    <n v="100001362"/>
    <s v="Alexandra"/>
    <s v="King"/>
    <x v="1"/>
    <x v="30"/>
    <x v="0"/>
    <s v="Blue Collar"/>
    <x v="148"/>
    <n v="18984.55"/>
  </r>
  <r>
    <n v="100001363"/>
    <s v="Gordon"/>
    <s v="Young"/>
    <x v="0"/>
    <x v="4"/>
    <x v="0"/>
    <s v="White Collar"/>
    <x v="148"/>
    <n v="77710.39"/>
  </r>
  <r>
    <n v="100001364"/>
    <s v="Karen"/>
    <s v="Alsop"/>
    <x v="1"/>
    <x v="22"/>
    <x v="0"/>
    <s v="Blue Collar"/>
    <x v="148"/>
    <n v="38448.21"/>
  </r>
  <r>
    <n v="100001365"/>
    <s v="Kevin"/>
    <s v="Scott"/>
    <x v="0"/>
    <x v="3"/>
    <x v="0"/>
    <s v="White Collar"/>
    <x v="148"/>
    <n v="79604.570000000007"/>
  </r>
  <r>
    <n v="100001366"/>
    <s v="Adrian"/>
    <s v="Johnston"/>
    <x v="0"/>
    <x v="16"/>
    <x v="0"/>
    <s v="Blue Collar"/>
    <x v="148"/>
    <n v="84302.39"/>
  </r>
  <r>
    <n v="100001367"/>
    <s v="Dominic"/>
    <s v="Greene"/>
    <x v="0"/>
    <x v="7"/>
    <x v="0"/>
    <s v="Blue Collar"/>
    <x v="148"/>
    <n v="70028.94"/>
  </r>
  <r>
    <n v="100001368"/>
    <s v="Benjamin"/>
    <s v="Greene"/>
    <x v="0"/>
    <x v="29"/>
    <x v="0"/>
    <s v="White Collar"/>
    <x v="148"/>
    <n v="68980.3"/>
  </r>
  <r>
    <n v="100001369"/>
    <s v="Zoe"/>
    <s v="Murray"/>
    <x v="1"/>
    <x v="25"/>
    <x v="0"/>
    <s v="White Collar"/>
    <x v="148"/>
    <n v="92941.82"/>
  </r>
  <r>
    <n v="100001370"/>
    <s v="Kylie"/>
    <s v="Buckland"/>
    <x v="1"/>
    <x v="5"/>
    <x v="0"/>
    <s v="Other"/>
    <x v="148"/>
    <n v="105695.88"/>
  </r>
  <r>
    <n v="100001371"/>
    <s v="Simon"/>
    <s v="Paterson"/>
    <x v="0"/>
    <x v="25"/>
    <x v="0"/>
    <s v="White Collar"/>
    <x v="148"/>
    <n v="18893.22"/>
  </r>
  <r>
    <n v="100001372"/>
    <s v="Ava"/>
    <s v="Hart"/>
    <x v="1"/>
    <x v="3"/>
    <x v="0"/>
    <s v="White Collar"/>
    <x v="148"/>
    <n v="5709.07"/>
  </r>
  <r>
    <n v="100001373"/>
    <s v="Joshua"/>
    <s v="Abraham"/>
    <x v="0"/>
    <x v="11"/>
    <x v="0"/>
    <s v="White Collar"/>
    <x v="148"/>
    <n v="17127.23"/>
  </r>
  <r>
    <n v="200001374"/>
    <s v="David"/>
    <s v="Piper"/>
    <x v="0"/>
    <x v="17"/>
    <x v="3"/>
    <s v="Blue Collar"/>
    <x v="148"/>
    <n v="31428.98"/>
  </r>
  <r>
    <n v="200001375"/>
    <s v="Leah"/>
    <s v="Quinn"/>
    <x v="1"/>
    <x v="23"/>
    <x v="3"/>
    <s v="Other"/>
    <x v="148"/>
    <n v="87136.45"/>
  </r>
  <r>
    <n v="200001376"/>
    <s v="Matt"/>
    <s v="Martin"/>
    <x v="0"/>
    <x v="6"/>
    <x v="3"/>
    <s v="Other"/>
    <x v="148"/>
    <n v="40174.57"/>
  </r>
  <r>
    <n v="200001377"/>
    <s v="Boris"/>
    <s v="Roberts"/>
    <x v="0"/>
    <x v="27"/>
    <x v="3"/>
    <s v="Blue Collar"/>
    <x v="148"/>
    <n v="15775.81"/>
  </r>
  <r>
    <n v="200001378"/>
    <s v="Benjamin"/>
    <s v="Roberts"/>
    <x v="0"/>
    <x v="24"/>
    <x v="3"/>
    <s v="Blue Collar"/>
    <x v="148"/>
    <n v="20963.64"/>
  </r>
  <r>
    <n v="200001379"/>
    <s v="Alan"/>
    <s v="Mackay"/>
    <x v="0"/>
    <x v="39"/>
    <x v="3"/>
    <s v="Blue Collar"/>
    <x v="148"/>
    <n v="43145.1"/>
  </r>
  <r>
    <n v="400001380"/>
    <s v="Ryan"/>
    <s v="Springer"/>
    <x v="0"/>
    <x v="24"/>
    <x v="1"/>
    <s v="White Collar"/>
    <x v="148"/>
    <n v="22674.03"/>
  </r>
  <r>
    <n v="100001381"/>
    <s v="Sebastian"/>
    <s v="Allan"/>
    <x v="0"/>
    <x v="5"/>
    <x v="0"/>
    <s v="Blue Collar"/>
    <x v="149"/>
    <n v="32676.42"/>
  </r>
  <r>
    <n v="100001382"/>
    <s v="Brandon"/>
    <s v="Knox"/>
    <x v="0"/>
    <x v="1"/>
    <x v="0"/>
    <s v="White Collar"/>
    <x v="149"/>
    <n v="26897.8"/>
  </r>
  <r>
    <n v="100001383"/>
    <s v="Hannah"/>
    <s v="Jackson"/>
    <x v="1"/>
    <x v="5"/>
    <x v="0"/>
    <s v="White Collar"/>
    <x v="149"/>
    <n v="39515"/>
  </r>
  <r>
    <n v="100001384"/>
    <s v="Sam"/>
    <s v="Ellison"/>
    <x v="0"/>
    <x v="17"/>
    <x v="0"/>
    <s v="White Collar"/>
    <x v="149"/>
    <n v="23112.67"/>
  </r>
  <r>
    <n v="100001385"/>
    <s v="Peter"/>
    <s v="Forsyth"/>
    <x v="0"/>
    <x v="21"/>
    <x v="0"/>
    <s v="White Collar"/>
    <x v="149"/>
    <n v="52604.44"/>
  </r>
  <r>
    <n v="100001386"/>
    <s v="Austin"/>
    <s v="Turner"/>
    <x v="0"/>
    <x v="34"/>
    <x v="0"/>
    <s v="White Collar"/>
    <x v="149"/>
    <n v="28673.759999999998"/>
  </r>
  <r>
    <n v="100001387"/>
    <s v="Jack"/>
    <s v="Churchill"/>
    <x v="0"/>
    <x v="13"/>
    <x v="0"/>
    <s v="White Collar"/>
    <x v="149"/>
    <n v="31181.91"/>
  </r>
  <r>
    <n v="100001388"/>
    <s v="Trevor"/>
    <s v="Davidson"/>
    <x v="0"/>
    <x v="4"/>
    <x v="0"/>
    <s v="White Collar"/>
    <x v="149"/>
    <n v="7098.63"/>
  </r>
  <r>
    <n v="200001389"/>
    <s v="Isaac"/>
    <s v="Lee"/>
    <x v="0"/>
    <x v="18"/>
    <x v="3"/>
    <s v="Blue Collar"/>
    <x v="149"/>
    <n v="69349.56"/>
  </r>
  <r>
    <n v="200001390"/>
    <s v="Christopher"/>
    <s v="Allan"/>
    <x v="0"/>
    <x v="41"/>
    <x v="3"/>
    <s v="Blue Collar"/>
    <x v="149"/>
    <n v="90166.9"/>
  </r>
  <r>
    <n v="200001391"/>
    <s v="Nathan"/>
    <s v="Hughes"/>
    <x v="0"/>
    <x v="31"/>
    <x v="3"/>
    <s v="Blue Collar"/>
    <x v="149"/>
    <n v="56071.51"/>
  </r>
  <r>
    <n v="300001392"/>
    <s v="Joanne"/>
    <s v="Wright"/>
    <x v="1"/>
    <x v="22"/>
    <x v="2"/>
    <s v="White Collar"/>
    <x v="149"/>
    <n v="39692.86"/>
  </r>
  <r>
    <n v="400001393"/>
    <s v="Wanda"/>
    <s v="Peake"/>
    <x v="1"/>
    <x v="0"/>
    <x v="1"/>
    <s v="Blue Collar"/>
    <x v="149"/>
    <n v="11236.25"/>
  </r>
  <r>
    <n v="100001394"/>
    <s v="Ella"/>
    <s v="Knox"/>
    <x v="1"/>
    <x v="13"/>
    <x v="0"/>
    <s v="Other"/>
    <x v="150"/>
    <n v="1173.73"/>
  </r>
  <r>
    <n v="100001395"/>
    <s v="Penelope"/>
    <s v="Duncan"/>
    <x v="1"/>
    <x v="10"/>
    <x v="0"/>
    <s v="White Collar"/>
    <x v="150"/>
    <n v="6861.44"/>
  </r>
  <r>
    <n v="100001396"/>
    <s v="Diane"/>
    <s v="Powell"/>
    <x v="1"/>
    <x v="3"/>
    <x v="0"/>
    <s v="Blue Collar"/>
    <x v="150"/>
    <n v="41881.910000000003"/>
  </r>
  <r>
    <n v="100001397"/>
    <s v="Jason"/>
    <s v="Piper"/>
    <x v="0"/>
    <x v="12"/>
    <x v="0"/>
    <s v="White Collar"/>
    <x v="150"/>
    <n v="23674.84"/>
  </r>
  <r>
    <n v="100001398"/>
    <s v="Stephanie"/>
    <s v="Avery"/>
    <x v="1"/>
    <x v="1"/>
    <x v="0"/>
    <s v="White Collar"/>
    <x v="150"/>
    <n v="22701.72"/>
  </r>
  <r>
    <n v="100001399"/>
    <s v="Gavin"/>
    <s v="Burgess"/>
    <x v="0"/>
    <x v="1"/>
    <x v="0"/>
    <s v="White Collar"/>
    <x v="150"/>
    <n v="58648.57"/>
  </r>
  <r>
    <n v="100001400"/>
    <s v="Tracey"/>
    <s v="Gray"/>
    <x v="1"/>
    <x v="16"/>
    <x v="0"/>
    <s v="White Collar"/>
    <x v="150"/>
    <n v="23182.6"/>
  </r>
  <r>
    <n v="100001401"/>
    <s v="Grace"/>
    <s v="Ellison"/>
    <x v="1"/>
    <x v="30"/>
    <x v="0"/>
    <s v="Other"/>
    <x v="150"/>
    <n v="33563.67"/>
  </r>
  <r>
    <n v="200001402"/>
    <s v="Stewart"/>
    <s v="Roberts"/>
    <x v="0"/>
    <x v="6"/>
    <x v="3"/>
    <s v="Blue Collar"/>
    <x v="150"/>
    <n v="1208.06"/>
  </r>
  <r>
    <n v="200001403"/>
    <s v="Adam"/>
    <s v="Martin"/>
    <x v="0"/>
    <x v="10"/>
    <x v="3"/>
    <s v="Blue Collar"/>
    <x v="150"/>
    <n v="1255.52"/>
  </r>
  <r>
    <n v="200001404"/>
    <s v="Warren"/>
    <s v="Underwood"/>
    <x v="0"/>
    <x v="3"/>
    <x v="3"/>
    <s v="Other"/>
    <x v="150"/>
    <n v="1361.83"/>
  </r>
  <r>
    <n v="200001405"/>
    <s v="William"/>
    <s v="Hamilton"/>
    <x v="0"/>
    <x v="17"/>
    <x v="3"/>
    <s v="Blue Collar"/>
    <x v="150"/>
    <n v="59450.29"/>
  </r>
  <r>
    <n v="200001406"/>
    <s v="Anne"/>
    <s v="Wallace"/>
    <x v="1"/>
    <x v="25"/>
    <x v="3"/>
    <s v="Other"/>
    <x v="150"/>
    <n v="74079.13"/>
  </r>
  <r>
    <n v="200001407"/>
    <s v="Nicholas"/>
    <s v="James"/>
    <x v="0"/>
    <x v="18"/>
    <x v="3"/>
    <s v="Other"/>
    <x v="150"/>
    <n v="3397.32"/>
  </r>
  <r>
    <n v="300001408"/>
    <s v="Tracey"/>
    <s v="Hughes"/>
    <x v="1"/>
    <x v="9"/>
    <x v="2"/>
    <s v="White Collar"/>
    <x v="150"/>
    <n v="33801.26"/>
  </r>
  <r>
    <n v="300001409"/>
    <s v="Oliver"/>
    <s v="Reid"/>
    <x v="0"/>
    <x v="10"/>
    <x v="2"/>
    <s v="White Collar"/>
    <x v="150"/>
    <n v="43262.53"/>
  </r>
  <r>
    <n v="300001410"/>
    <s v="Boris"/>
    <s v="Metcalfe"/>
    <x v="0"/>
    <x v="32"/>
    <x v="2"/>
    <s v="White Collar"/>
    <x v="150"/>
    <n v="115674.98"/>
  </r>
  <r>
    <n v="300001411"/>
    <s v="Ava"/>
    <s v="White"/>
    <x v="1"/>
    <x v="4"/>
    <x v="2"/>
    <s v="White Collar"/>
    <x v="150"/>
    <n v="14400.39"/>
  </r>
  <r>
    <n v="300001412"/>
    <s v="Amy"/>
    <s v="Metcalfe"/>
    <x v="1"/>
    <x v="22"/>
    <x v="2"/>
    <s v="White Collar"/>
    <x v="150"/>
    <n v="44201.14"/>
  </r>
  <r>
    <n v="400001413"/>
    <s v="Rachel"/>
    <s v="Nolan"/>
    <x v="1"/>
    <x v="17"/>
    <x v="1"/>
    <s v="Other"/>
    <x v="150"/>
    <n v="7764.71"/>
  </r>
  <r>
    <n v="100001414"/>
    <s v="Stephen"/>
    <s v="Ogden"/>
    <x v="0"/>
    <x v="30"/>
    <x v="0"/>
    <s v="Other"/>
    <x v="151"/>
    <n v="106821.73"/>
  </r>
  <r>
    <n v="100001415"/>
    <s v="Jessica"/>
    <s v="Howard"/>
    <x v="1"/>
    <x v="5"/>
    <x v="0"/>
    <s v="White Collar"/>
    <x v="151"/>
    <n v="2467.17"/>
  </r>
  <r>
    <n v="100001416"/>
    <s v="Jason"/>
    <s v="Nash"/>
    <x v="0"/>
    <x v="31"/>
    <x v="0"/>
    <s v="White Collar"/>
    <x v="151"/>
    <n v="23330.41"/>
  </r>
  <r>
    <n v="100001417"/>
    <s v="Audrey"/>
    <s v="Robertson"/>
    <x v="1"/>
    <x v="14"/>
    <x v="0"/>
    <s v="Blue Collar"/>
    <x v="151"/>
    <n v="43420.7"/>
  </r>
  <r>
    <n v="100001418"/>
    <s v="Adam"/>
    <s v="MacDonald"/>
    <x v="0"/>
    <x v="16"/>
    <x v="0"/>
    <s v="White Collar"/>
    <x v="151"/>
    <n v="14899.94"/>
  </r>
  <r>
    <n v="100001419"/>
    <s v="Lillian"/>
    <s v="Mathis"/>
    <x v="1"/>
    <x v="32"/>
    <x v="0"/>
    <s v="White Collar"/>
    <x v="151"/>
    <n v="114.69"/>
  </r>
  <r>
    <n v="100001420"/>
    <s v="Gabrielle"/>
    <s v="Underwood"/>
    <x v="1"/>
    <x v="4"/>
    <x v="0"/>
    <s v="White Collar"/>
    <x v="151"/>
    <n v="51616.07"/>
  </r>
  <r>
    <n v="100001421"/>
    <s v="Pippa"/>
    <s v="Langdon"/>
    <x v="1"/>
    <x v="4"/>
    <x v="0"/>
    <s v="White Collar"/>
    <x v="151"/>
    <n v="37866.519999999997"/>
  </r>
  <r>
    <n v="100001422"/>
    <s v="Jasmine"/>
    <s v="Hodges"/>
    <x v="1"/>
    <x v="30"/>
    <x v="0"/>
    <s v="Other"/>
    <x v="151"/>
    <n v="46543.51"/>
  </r>
  <r>
    <n v="200001423"/>
    <s v="Chloe"/>
    <s v="Oliver"/>
    <x v="1"/>
    <x v="19"/>
    <x v="3"/>
    <s v="Other"/>
    <x v="151"/>
    <n v="99770.73"/>
  </r>
  <r>
    <n v="200001424"/>
    <s v="Phil"/>
    <s v="Nolan"/>
    <x v="0"/>
    <x v="8"/>
    <x v="3"/>
    <s v="Blue Collar"/>
    <x v="151"/>
    <n v="37912.46"/>
  </r>
  <r>
    <n v="300001425"/>
    <s v="Leah"/>
    <s v="Black"/>
    <x v="1"/>
    <x v="38"/>
    <x v="2"/>
    <s v="White Collar"/>
    <x v="151"/>
    <n v="91237.59"/>
  </r>
  <r>
    <n v="400001426"/>
    <s v="Dominic"/>
    <s v="Young"/>
    <x v="0"/>
    <x v="44"/>
    <x v="1"/>
    <s v="Other"/>
    <x v="151"/>
    <n v="5158.87"/>
  </r>
  <r>
    <n v="100001427"/>
    <s v="Leah"/>
    <s v="Young"/>
    <x v="1"/>
    <x v="22"/>
    <x v="0"/>
    <s v="White Collar"/>
    <x v="152"/>
    <n v="44622.79"/>
  </r>
  <r>
    <n v="100001428"/>
    <s v="Julia"/>
    <s v="Coleman"/>
    <x v="1"/>
    <x v="4"/>
    <x v="0"/>
    <s v="White Collar"/>
    <x v="152"/>
    <n v="81724.649999999994"/>
  </r>
  <r>
    <n v="100001429"/>
    <s v="David"/>
    <s v="Lyman"/>
    <x v="0"/>
    <x v="3"/>
    <x v="0"/>
    <s v="White Collar"/>
    <x v="152"/>
    <n v="13668.23"/>
  </r>
  <r>
    <n v="100001430"/>
    <s v="Cameron"/>
    <s v="Young"/>
    <x v="0"/>
    <x v="9"/>
    <x v="0"/>
    <s v="Other"/>
    <x v="152"/>
    <n v="29293.29"/>
  </r>
  <r>
    <n v="100001431"/>
    <s v="Lucas"/>
    <s v="Grant"/>
    <x v="0"/>
    <x v="3"/>
    <x v="0"/>
    <s v="White Collar"/>
    <x v="152"/>
    <n v="55348.18"/>
  </r>
  <r>
    <n v="100001432"/>
    <s v="Nicola"/>
    <s v="Metcalfe"/>
    <x v="1"/>
    <x v="24"/>
    <x v="0"/>
    <s v="White Collar"/>
    <x v="152"/>
    <n v="57283.14"/>
  </r>
  <r>
    <n v="100001433"/>
    <s v="Sebastian"/>
    <s v="Baker"/>
    <x v="0"/>
    <x v="4"/>
    <x v="0"/>
    <s v="White Collar"/>
    <x v="152"/>
    <n v="16024.43"/>
  </r>
  <r>
    <n v="100001434"/>
    <s v="Phil"/>
    <s v="Chapman"/>
    <x v="0"/>
    <x v="13"/>
    <x v="0"/>
    <s v="Blue Collar"/>
    <x v="152"/>
    <n v="20238.12"/>
  </r>
  <r>
    <n v="200001435"/>
    <s v="Peter"/>
    <s v="Welch"/>
    <x v="0"/>
    <x v="35"/>
    <x v="3"/>
    <s v="Blue Collar"/>
    <x v="152"/>
    <n v="4188.63"/>
  </r>
  <r>
    <n v="200001436"/>
    <s v="Leonard"/>
    <s v="Jones"/>
    <x v="0"/>
    <x v="39"/>
    <x v="3"/>
    <s v="Blue Collar"/>
    <x v="152"/>
    <n v="11897.17"/>
  </r>
  <r>
    <n v="200001437"/>
    <s v="Ruth"/>
    <s v="Kelly"/>
    <x v="1"/>
    <x v="6"/>
    <x v="3"/>
    <s v="Other"/>
    <x v="152"/>
    <n v="7764.14"/>
  </r>
  <r>
    <n v="200001438"/>
    <s v="Isaac"/>
    <s v="Kelly"/>
    <x v="0"/>
    <x v="46"/>
    <x v="3"/>
    <s v="White Collar"/>
    <x v="152"/>
    <n v="74666.210000000006"/>
  </r>
  <r>
    <n v="200001439"/>
    <s v="Boris"/>
    <s v="Paige"/>
    <x v="0"/>
    <x v="23"/>
    <x v="3"/>
    <s v="Other"/>
    <x v="152"/>
    <n v="23907.86"/>
  </r>
  <r>
    <n v="200001440"/>
    <s v="Colin"/>
    <s v="Hill"/>
    <x v="0"/>
    <x v="19"/>
    <x v="3"/>
    <s v="Blue Collar"/>
    <x v="152"/>
    <n v="4557.9399999999996"/>
  </r>
  <r>
    <n v="200001441"/>
    <s v="Lucas"/>
    <s v="North"/>
    <x v="0"/>
    <x v="35"/>
    <x v="3"/>
    <s v="Other"/>
    <x v="152"/>
    <n v="53537.01"/>
  </r>
  <r>
    <n v="300001442"/>
    <s v="Jessica"/>
    <s v="Tucker"/>
    <x v="1"/>
    <x v="2"/>
    <x v="2"/>
    <s v="White Collar"/>
    <x v="152"/>
    <n v="9867.56"/>
  </r>
  <r>
    <n v="300001443"/>
    <s v="Jane"/>
    <s v="Miller"/>
    <x v="1"/>
    <x v="32"/>
    <x v="2"/>
    <s v="White Collar"/>
    <x v="152"/>
    <n v="54434.04"/>
  </r>
  <r>
    <n v="300001444"/>
    <s v="Adam"/>
    <s v="Wilkins"/>
    <x v="0"/>
    <x v="30"/>
    <x v="2"/>
    <s v="Blue Collar"/>
    <x v="152"/>
    <n v="32447.58"/>
  </r>
  <r>
    <n v="100001445"/>
    <s v="Rebecca"/>
    <s v="Jackson"/>
    <x v="1"/>
    <x v="38"/>
    <x v="0"/>
    <s v="Other"/>
    <x v="153"/>
    <n v="10688.34"/>
  </r>
  <r>
    <n v="100001446"/>
    <s v="Lucas"/>
    <s v="Paige"/>
    <x v="0"/>
    <x v="12"/>
    <x v="0"/>
    <s v="White Collar"/>
    <x v="153"/>
    <n v="2385.4699999999998"/>
  </r>
  <r>
    <n v="100001447"/>
    <s v="Ian"/>
    <s v="Miller"/>
    <x v="0"/>
    <x v="32"/>
    <x v="0"/>
    <s v="White Collar"/>
    <x v="153"/>
    <n v="15879.52"/>
  </r>
  <r>
    <n v="100001448"/>
    <s v="Anna"/>
    <s v="Mackay"/>
    <x v="1"/>
    <x v="24"/>
    <x v="0"/>
    <s v="Blue Collar"/>
    <x v="153"/>
    <n v="59292.800000000003"/>
  </r>
  <r>
    <n v="100001449"/>
    <s v="Diane"/>
    <s v="Wilkins"/>
    <x v="1"/>
    <x v="24"/>
    <x v="0"/>
    <s v="Other"/>
    <x v="153"/>
    <n v="30992.37"/>
  </r>
  <r>
    <n v="200001450"/>
    <s v="Jake"/>
    <s v="Clark"/>
    <x v="0"/>
    <x v="17"/>
    <x v="3"/>
    <s v="Other"/>
    <x v="153"/>
    <n v="13419.57"/>
  </r>
  <r>
    <n v="200001451"/>
    <s v="Warren"/>
    <s v="Hamilton"/>
    <x v="0"/>
    <x v="27"/>
    <x v="3"/>
    <s v="Other"/>
    <x v="153"/>
    <n v="25797.17"/>
  </r>
  <r>
    <n v="200001452"/>
    <s v="Jonathan"/>
    <s v="Lawrence"/>
    <x v="0"/>
    <x v="28"/>
    <x v="3"/>
    <s v="Blue Collar"/>
    <x v="153"/>
    <n v="48667.64"/>
  </r>
  <r>
    <n v="200001453"/>
    <s v="Elizabeth"/>
    <s v="Russell"/>
    <x v="1"/>
    <x v="27"/>
    <x v="3"/>
    <s v="Other"/>
    <x v="153"/>
    <n v="51621.760000000002"/>
  </r>
  <r>
    <n v="200001454"/>
    <s v="Leah"/>
    <s v="Walker"/>
    <x v="1"/>
    <x v="23"/>
    <x v="3"/>
    <s v="Other"/>
    <x v="153"/>
    <n v="55368.66"/>
  </r>
  <r>
    <n v="200001455"/>
    <s v="Brian"/>
    <s v="Manning"/>
    <x v="0"/>
    <x v="23"/>
    <x v="3"/>
    <s v="Blue Collar"/>
    <x v="153"/>
    <n v="19832.009999999998"/>
  </r>
  <r>
    <n v="300001456"/>
    <s v="Dominic"/>
    <s v="Jackson"/>
    <x v="0"/>
    <x v="9"/>
    <x v="2"/>
    <s v="White Collar"/>
    <x v="153"/>
    <n v="3615.89"/>
  </r>
  <r>
    <n v="400001457"/>
    <s v="Diane"/>
    <s v="Tucker"/>
    <x v="1"/>
    <x v="14"/>
    <x v="1"/>
    <s v="White Collar"/>
    <x v="153"/>
    <n v="13937.18"/>
  </r>
  <r>
    <n v="100001458"/>
    <s v="Abigail"/>
    <s v="Powell"/>
    <x v="1"/>
    <x v="5"/>
    <x v="0"/>
    <s v="White Collar"/>
    <x v="154"/>
    <n v="79094.42"/>
  </r>
  <r>
    <n v="100001459"/>
    <s v="Katherine"/>
    <s v="Mills"/>
    <x v="1"/>
    <x v="14"/>
    <x v="0"/>
    <s v="White Collar"/>
    <x v="154"/>
    <n v="122248.3"/>
  </r>
  <r>
    <n v="100001460"/>
    <s v="Rose"/>
    <s v="Morrison"/>
    <x v="1"/>
    <x v="1"/>
    <x v="0"/>
    <s v="White Collar"/>
    <x v="154"/>
    <n v="125101.37"/>
  </r>
  <r>
    <n v="100001461"/>
    <s v="Alexander"/>
    <s v="Clarkson"/>
    <x v="0"/>
    <x v="5"/>
    <x v="0"/>
    <s v="White Collar"/>
    <x v="154"/>
    <n v="68336.84"/>
  </r>
  <r>
    <n v="100001462"/>
    <s v="Zoe"/>
    <s v="Bell"/>
    <x v="1"/>
    <x v="10"/>
    <x v="0"/>
    <s v="White Collar"/>
    <x v="154"/>
    <n v="16956"/>
  </r>
  <r>
    <n v="200001463"/>
    <s v="Katherine"/>
    <s v="Sanderson"/>
    <x v="1"/>
    <x v="4"/>
    <x v="3"/>
    <s v="Other"/>
    <x v="154"/>
    <n v="37115.03"/>
  </r>
  <r>
    <n v="200001464"/>
    <s v="Bernadette"/>
    <s v="Watson"/>
    <x v="1"/>
    <x v="32"/>
    <x v="3"/>
    <s v="Other"/>
    <x v="154"/>
    <n v="10513.17"/>
  </r>
  <r>
    <n v="300001465"/>
    <s v="Lily"/>
    <s v="Hart"/>
    <x v="1"/>
    <x v="1"/>
    <x v="2"/>
    <s v="White Collar"/>
    <x v="154"/>
    <n v="1090.67"/>
  </r>
  <r>
    <n v="300001466"/>
    <s v="Jonathan"/>
    <s v="Clark"/>
    <x v="0"/>
    <x v="1"/>
    <x v="2"/>
    <s v="Blue Collar"/>
    <x v="154"/>
    <n v="1400.26"/>
  </r>
  <r>
    <n v="400001467"/>
    <s v="Ryan"/>
    <s v="Poole"/>
    <x v="0"/>
    <x v="36"/>
    <x v="1"/>
    <s v="Blue Collar"/>
    <x v="154"/>
    <n v="106836"/>
  </r>
  <r>
    <n v="400001468"/>
    <s v="Robert"/>
    <s v="Lawrence"/>
    <x v="0"/>
    <x v="5"/>
    <x v="1"/>
    <s v="White Collar"/>
    <x v="154"/>
    <n v="33024.699999999997"/>
  </r>
  <r>
    <n v="100001469"/>
    <s v="Warren"/>
    <s v="Walker"/>
    <x v="0"/>
    <x v="10"/>
    <x v="0"/>
    <s v="Blue Collar"/>
    <x v="155"/>
    <n v="88544.22"/>
  </r>
  <r>
    <n v="100001470"/>
    <s v="Colin"/>
    <s v="May"/>
    <x v="0"/>
    <x v="32"/>
    <x v="0"/>
    <s v="Blue Collar"/>
    <x v="155"/>
    <n v="39702.480000000003"/>
  </r>
  <r>
    <n v="100001471"/>
    <s v="Olivia"/>
    <s v="Graham"/>
    <x v="1"/>
    <x v="30"/>
    <x v="0"/>
    <s v="White Collar"/>
    <x v="155"/>
    <n v="69174.720000000001"/>
  </r>
  <r>
    <n v="100001472"/>
    <s v="Christian"/>
    <s v="Ross"/>
    <x v="0"/>
    <x v="38"/>
    <x v="0"/>
    <s v="Blue Collar"/>
    <x v="155"/>
    <n v="22336.22"/>
  </r>
  <r>
    <n v="100001473"/>
    <s v="Olivia"/>
    <s v="Scott"/>
    <x v="1"/>
    <x v="4"/>
    <x v="0"/>
    <s v="Other"/>
    <x v="155"/>
    <n v="54104.73"/>
  </r>
  <r>
    <n v="100001474"/>
    <s v="Lily"/>
    <s v="Cornish"/>
    <x v="1"/>
    <x v="36"/>
    <x v="0"/>
    <s v="Blue Collar"/>
    <x v="155"/>
    <n v="2092.59"/>
  </r>
  <r>
    <n v="100001475"/>
    <s v="Irene"/>
    <s v="Blake"/>
    <x v="1"/>
    <x v="12"/>
    <x v="0"/>
    <s v="White Collar"/>
    <x v="155"/>
    <n v="40233.57"/>
  </r>
  <r>
    <n v="200001476"/>
    <s v="Connor"/>
    <s v="Peake"/>
    <x v="0"/>
    <x v="2"/>
    <x v="3"/>
    <s v="Blue Collar"/>
    <x v="155"/>
    <n v="87192.65"/>
  </r>
  <r>
    <n v="200001477"/>
    <s v="Sam"/>
    <s v="Lawrence"/>
    <x v="0"/>
    <x v="31"/>
    <x v="3"/>
    <s v="Blue Collar"/>
    <x v="155"/>
    <n v="86652.4"/>
  </r>
  <r>
    <n v="200001478"/>
    <s v="Benjamin"/>
    <s v="Parsons"/>
    <x v="0"/>
    <x v="2"/>
    <x v="3"/>
    <s v="Blue Collar"/>
    <x v="155"/>
    <n v="70621.100000000006"/>
  </r>
  <r>
    <n v="200001479"/>
    <s v="Nicholas"/>
    <s v="Black"/>
    <x v="0"/>
    <x v="46"/>
    <x v="3"/>
    <s v="Other"/>
    <x v="155"/>
    <n v="89173.1"/>
  </r>
  <r>
    <n v="300001480"/>
    <s v="Matt"/>
    <s v="Rampling"/>
    <x v="0"/>
    <x v="2"/>
    <x v="2"/>
    <s v="Blue Collar"/>
    <x v="155"/>
    <n v="91216.49"/>
  </r>
  <r>
    <n v="300001481"/>
    <s v="Jennifer"/>
    <s v="Mitchell"/>
    <x v="1"/>
    <x v="30"/>
    <x v="2"/>
    <s v="White Collar"/>
    <x v="155"/>
    <n v="29355.49"/>
  </r>
  <r>
    <n v="100001482"/>
    <s v="Trevor"/>
    <s v="Churchill"/>
    <x v="0"/>
    <x v="13"/>
    <x v="0"/>
    <s v="White Collar"/>
    <x v="156"/>
    <n v="24498.39"/>
  </r>
  <r>
    <n v="100001483"/>
    <s v="Samantha"/>
    <s v="Kerr"/>
    <x v="1"/>
    <x v="20"/>
    <x v="0"/>
    <s v="White Collar"/>
    <x v="156"/>
    <n v="5834.39"/>
  </r>
  <r>
    <n v="100001484"/>
    <s v="Eric"/>
    <s v="Poole"/>
    <x v="0"/>
    <x v="16"/>
    <x v="0"/>
    <s v="White Collar"/>
    <x v="156"/>
    <n v="79036.3"/>
  </r>
  <r>
    <n v="100001485"/>
    <s v="Sebastian"/>
    <s v="Bailey"/>
    <x v="0"/>
    <x v="7"/>
    <x v="0"/>
    <s v="White Collar"/>
    <x v="156"/>
    <n v="48891.91"/>
  </r>
  <r>
    <n v="200001486"/>
    <s v="Maria"/>
    <s v="Metcalfe"/>
    <x v="1"/>
    <x v="32"/>
    <x v="3"/>
    <s v="Other"/>
    <x v="156"/>
    <n v="40730.74"/>
  </r>
  <r>
    <n v="200001487"/>
    <s v="Joseph"/>
    <s v="Bailey"/>
    <x v="0"/>
    <x v="15"/>
    <x v="3"/>
    <s v="Other"/>
    <x v="156"/>
    <n v="19164.52"/>
  </r>
  <r>
    <n v="200001488"/>
    <s v="Harry"/>
    <s v="Hunter"/>
    <x v="0"/>
    <x v="39"/>
    <x v="3"/>
    <s v="Other"/>
    <x v="156"/>
    <n v="59975.14"/>
  </r>
  <r>
    <n v="200001489"/>
    <s v="Grace"/>
    <s v="Walker"/>
    <x v="1"/>
    <x v="27"/>
    <x v="3"/>
    <s v="White Collar"/>
    <x v="156"/>
    <n v="19634.21"/>
  </r>
  <r>
    <n v="300001490"/>
    <s v="Richard"/>
    <s v="Wallace"/>
    <x v="0"/>
    <x v="32"/>
    <x v="2"/>
    <s v="White Collar"/>
    <x v="156"/>
    <n v="47373.56"/>
  </r>
  <r>
    <n v="100001491"/>
    <s v="Joan"/>
    <s v="Short"/>
    <x v="1"/>
    <x v="12"/>
    <x v="0"/>
    <s v="Other"/>
    <x v="157"/>
    <n v="56430.27"/>
  </r>
  <r>
    <n v="100001492"/>
    <s v="Ian"/>
    <s v="Henderson"/>
    <x v="0"/>
    <x v="24"/>
    <x v="0"/>
    <s v="White Collar"/>
    <x v="157"/>
    <n v="40625.589999999997"/>
  </r>
  <r>
    <n v="100001493"/>
    <s v="Dominic"/>
    <s v="Hughes"/>
    <x v="0"/>
    <x v="24"/>
    <x v="0"/>
    <s v="Blue Collar"/>
    <x v="157"/>
    <n v="39881.74"/>
  </r>
  <r>
    <n v="100001494"/>
    <s v="Amelia"/>
    <s v="Glover"/>
    <x v="1"/>
    <x v="13"/>
    <x v="0"/>
    <s v="White Collar"/>
    <x v="157"/>
    <n v="84543.25"/>
  </r>
  <r>
    <n v="100001495"/>
    <s v="Connor"/>
    <s v="Russell"/>
    <x v="0"/>
    <x v="12"/>
    <x v="0"/>
    <s v="White Collar"/>
    <x v="157"/>
    <n v="65592.55"/>
  </r>
  <r>
    <n v="100001496"/>
    <s v="Jack"/>
    <s v="Berry"/>
    <x v="0"/>
    <x v="13"/>
    <x v="0"/>
    <s v="White Collar"/>
    <x v="157"/>
    <n v="34212.839999999997"/>
  </r>
  <r>
    <n v="100001497"/>
    <s v="Nathan"/>
    <s v="Alsop"/>
    <x v="0"/>
    <x v="22"/>
    <x v="0"/>
    <s v="White Collar"/>
    <x v="157"/>
    <n v="19857.03"/>
  </r>
  <r>
    <n v="100001498"/>
    <s v="Fiona"/>
    <s v="Springer"/>
    <x v="1"/>
    <x v="3"/>
    <x v="0"/>
    <s v="White Collar"/>
    <x v="157"/>
    <n v="30225.62"/>
  </r>
  <r>
    <n v="200001499"/>
    <s v="Cameron"/>
    <s v="Ellison"/>
    <x v="0"/>
    <x v="47"/>
    <x v="3"/>
    <s v="Blue Collar"/>
    <x v="157"/>
    <n v="71106.33"/>
  </r>
  <r>
    <n v="200001500"/>
    <s v="Blake"/>
    <s v="Roberts"/>
    <x v="0"/>
    <x v="40"/>
    <x v="3"/>
    <s v="Blue Collar"/>
    <x v="157"/>
    <n v="26137.759999999998"/>
  </r>
  <r>
    <n v="200001501"/>
    <s v="Frank"/>
    <s v="Gibson"/>
    <x v="0"/>
    <x v="34"/>
    <x v="3"/>
    <s v="Blue Collar"/>
    <x v="157"/>
    <n v="41160.57"/>
  </r>
  <r>
    <n v="200001502"/>
    <s v="Stewart"/>
    <s v="Vaughan"/>
    <x v="0"/>
    <x v="40"/>
    <x v="3"/>
    <s v="Blue Collar"/>
    <x v="157"/>
    <n v="141792.5"/>
  </r>
  <r>
    <n v="400001503"/>
    <s v="Madeleine"/>
    <s v="Hill"/>
    <x v="1"/>
    <x v="7"/>
    <x v="1"/>
    <s v="Blue Collar"/>
    <x v="157"/>
    <n v="59125.17"/>
  </r>
  <r>
    <n v="100001504"/>
    <s v="Sonia"/>
    <s v="Rees"/>
    <x v="1"/>
    <x v="1"/>
    <x v="0"/>
    <s v="Other"/>
    <x v="158"/>
    <n v="23145.58"/>
  </r>
  <r>
    <n v="100001505"/>
    <s v="Christopher"/>
    <s v="Berry"/>
    <x v="0"/>
    <x v="12"/>
    <x v="0"/>
    <s v="White Collar"/>
    <x v="158"/>
    <n v="19076.5"/>
  </r>
  <r>
    <n v="100001506"/>
    <s v="Una"/>
    <s v="Ball"/>
    <x v="1"/>
    <x v="4"/>
    <x v="0"/>
    <s v="White Collar"/>
    <x v="158"/>
    <n v="25195.87"/>
  </r>
  <r>
    <n v="100001507"/>
    <s v="Lillian"/>
    <s v="Mitchell"/>
    <x v="1"/>
    <x v="38"/>
    <x v="0"/>
    <s v="White Collar"/>
    <x v="158"/>
    <n v="38920.959999999999"/>
  </r>
  <r>
    <n v="100001508"/>
    <s v="Owen"/>
    <s v="Vaughan"/>
    <x v="0"/>
    <x v="24"/>
    <x v="0"/>
    <s v="White Collar"/>
    <x v="158"/>
    <n v="2504.7399999999998"/>
  </r>
  <r>
    <n v="100001509"/>
    <s v="Deirdre"/>
    <s v="Peters"/>
    <x v="1"/>
    <x v="21"/>
    <x v="0"/>
    <s v="White Collar"/>
    <x v="158"/>
    <n v="19090.8"/>
  </r>
  <r>
    <n v="200001510"/>
    <s v="Neil"/>
    <s v="MacLeod"/>
    <x v="0"/>
    <x v="25"/>
    <x v="3"/>
    <s v="Blue Collar"/>
    <x v="158"/>
    <n v="42654.47"/>
  </r>
  <r>
    <n v="200001511"/>
    <s v="Ryan"/>
    <s v="Carr"/>
    <x v="0"/>
    <x v="34"/>
    <x v="3"/>
    <s v="Other"/>
    <x v="158"/>
    <n v="27154.95"/>
  </r>
  <r>
    <n v="200001512"/>
    <s v="James"/>
    <s v="Thomson"/>
    <x v="0"/>
    <x v="32"/>
    <x v="3"/>
    <s v="Blue Collar"/>
    <x v="158"/>
    <n v="35520.18"/>
  </r>
  <r>
    <n v="300001513"/>
    <s v="Liam"/>
    <s v="Johnston"/>
    <x v="0"/>
    <x v="31"/>
    <x v="2"/>
    <s v="Blue Collar"/>
    <x v="158"/>
    <n v="53325.85"/>
  </r>
  <r>
    <n v="100001514"/>
    <s v="Joanne"/>
    <s v="Davidson"/>
    <x v="1"/>
    <x v="5"/>
    <x v="0"/>
    <s v="Blue Collar"/>
    <x v="159"/>
    <n v="94490.55"/>
  </r>
  <r>
    <n v="100001515"/>
    <s v="Frank"/>
    <s v="Blake"/>
    <x v="0"/>
    <x v="12"/>
    <x v="0"/>
    <s v="Other"/>
    <x v="159"/>
    <n v="46324.39"/>
  </r>
  <r>
    <n v="100001516"/>
    <s v="Julian"/>
    <s v="Thomson"/>
    <x v="0"/>
    <x v="13"/>
    <x v="0"/>
    <s v="White Collar"/>
    <x v="159"/>
    <n v="8857.19"/>
  </r>
  <r>
    <n v="200001517"/>
    <s v="Tim"/>
    <s v="Sanderson"/>
    <x v="0"/>
    <x v="27"/>
    <x v="3"/>
    <s v="Other"/>
    <x v="159"/>
    <n v="13667.27"/>
  </r>
  <r>
    <n v="200001518"/>
    <s v="Grace"/>
    <s v="Brown"/>
    <x v="1"/>
    <x v="35"/>
    <x v="3"/>
    <s v="Other"/>
    <x v="159"/>
    <n v="29889.68"/>
  </r>
  <r>
    <n v="200001519"/>
    <s v="Gabrielle"/>
    <s v="Chapman"/>
    <x v="1"/>
    <x v="4"/>
    <x v="3"/>
    <s v="Other"/>
    <x v="159"/>
    <n v="114945.55"/>
  </r>
  <r>
    <n v="300001520"/>
    <s v="Bernadette"/>
    <s v="McGrath"/>
    <x v="1"/>
    <x v="28"/>
    <x v="2"/>
    <s v="Other"/>
    <x v="159"/>
    <n v="71574.75"/>
  </r>
  <r>
    <n v="400001521"/>
    <s v="Abigail"/>
    <s v="Mathis"/>
    <x v="1"/>
    <x v="38"/>
    <x v="1"/>
    <s v="Other"/>
    <x v="159"/>
    <n v="19160.55"/>
  </r>
  <r>
    <n v="400001522"/>
    <s v="Jack"/>
    <s v="Lewis"/>
    <x v="0"/>
    <x v="22"/>
    <x v="1"/>
    <s v="Other"/>
    <x v="159"/>
    <n v="33042.129999999997"/>
  </r>
  <r>
    <n v="400001523"/>
    <s v="Ella"/>
    <s v="Knox"/>
    <x v="1"/>
    <x v="43"/>
    <x v="1"/>
    <s v="Blue Collar"/>
    <x v="159"/>
    <n v="31948.6"/>
  </r>
  <r>
    <n v="100001524"/>
    <s v="Lillian"/>
    <s v="Scott"/>
    <x v="1"/>
    <x v="12"/>
    <x v="0"/>
    <s v="White Collar"/>
    <x v="160"/>
    <n v="50523.67"/>
  </r>
  <r>
    <n v="100001525"/>
    <s v="Justin"/>
    <s v="Watson"/>
    <x v="0"/>
    <x v="36"/>
    <x v="0"/>
    <s v="White Collar"/>
    <x v="160"/>
    <n v="40230.42"/>
  </r>
  <r>
    <n v="100001526"/>
    <s v="Jonathan"/>
    <s v="Duncan"/>
    <x v="0"/>
    <x v="6"/>
    <x v="0"/>
    <s v="Other"/>
    <x v="160"/>
    <n v="4901.2299999999996"/>
  </r>
  <r>
    <n v="100001527"/>
    <s v="Victoria"/>
    <s v="Dowd"/>
    <x v="1"/>
    <x v="28"/>
    <x v="0"/>
    <s v="White Collar"/>
    <x v="160"/>
    <n v="18860.64"/>
  </r>
  <r>
    <n v="300001528"/>
    <s v="Austin"/>
    <s v="Dickens"/>
    <x v="0"/>
    <x v="24"/>
    <x v="2"/>
    <s v="White Collar"/>
    <x v="160"/>
    <n v="17541.060000000001"/>
  </r>
  <r>
    <n v="300001529"/>
    <s v="Harry"/>
    <s v="Bailey"/>
    <x v="0"/>
    <x v="32"/>
    <x v="2"/>
    <s v="Other"/>
    <x v="160"/>
    <n v="51598.1"/>
  </r>
  <r>
    <n v="300001530"/>
    <s v="Emily"/>
    <s v="Hodges"/>
    <x v="1"/>
    <x v="34"/>
    <x v="2"/>
    <s v="Other"/>
    <x v="160"/>
    <n v="22305.13"/>
  </r>
  <r>
    <n v="400001531"/>
    <s v="Molly"/>
    <s v="Springer"/>
    <x v="1"/>
    <x v="13"/>
    <x v="1"/>
    <s v="Blue Collar"/>
    <x v="160"/>
    <n v="46207.53"/>
  </r>
  <r>
    <n v="100001532"/>
    <s v="Paul"/>
    <s v="Glover"/>
    <x v="0"/>
    <x v="35"/>
    <x v="0"/>
    <s v="Blue Collar"/>
    <x v="161"/>
    <n v="42316.94"/>
  </r>
  <r>
    <n v="100001533"/>
    <s v="Chloe"/>
    <s v="Gibson"/>
    <x v="1"/>
    <x v="10"/>
    <x v="0"/>
    <s v="White Collar"/>
    <x v="161"/>
    <n v="5133.32"/>
  </r>
  <r>
    <n v="100001534"/>
    <s v="Anthony"/>
    <s v="Buckland"/>
    <x v="0"/>
    <x v="14"/>
    <x v="0"/>
    <s v="Blue Collar"/>
    <x v="161"/>
    <n v="54533.59"/>
  </r>
  <r>
    <n v="100001535"/>
    <s v="Gavin"/>
    <s v="Terry"/>
    <x v="0"/>
    <x v="10"/>
    <x v="0"/>
    <s v="White Collar"/>
    <x v="161"/>
    <n v="21204.79"/>
  </r>
  <r>
    <n v="100001536"/>
    <s v="Isaac"/>
    <s v="Fraser"/>
    <x v="0"/>
    <x v="34"/>
    <x v="0"/>
    <s v="White Collar"/>
    <x v="161"/>
    <n v="18027.52"/>
  </r>
  <r>
    <n v="100001537"/>
    <s v="Adam"/>
    <s v="Bailey"/>
    <x v="0"/>
    <x v="21"/>
    <x v="0"/>
    <s v="White Collar"/>
    <x v="161"/>
    <n v="8708.57"/>
  </r>
  <r>
    <n v="300001538"/>
    <s v="Una"/>
    <s v="Bailey"/>
    <x v="1"/>
    <x v="28"/>
    <x v="2"/>
    <s v="White Collar"/>
    <x v="161"/>
    <n v="43260.49"/>
  </r>
  <r>
    <n v="300001539"/>
    <s v="Amelia"/>
    <s v="Peake"/>
    <x v="1"/>
    <x v="14"/>
    <x v="2"/>
    <s v="White Collar"/>
    <x v="161"/>
    <n v="53825.25"/>
  </r>
  <r>
    <n v="100001540"/>
    <s v="John"/>
    <s v="Morgan"/>
    <x v="0"/>
    <x v="7"/>
    <x v="0"/>
    <s v="Other"/>
    <x v="162"/>
    <n v="18305.03"/>
  </r>
  <r>
    <n v="100001541"/>
    <s v="Simon"/>
    <s v="Chapman"/>
    <x v="0"/>
    <x v="5"/>
    <x v="0"/>
    <s v="Other"/>
    <x v="162"/>
    <n v="83041.14"/>
  </r>
  <r>
    <n v="100001542"/>
    <s v="Dorothy"/>
    <s v="White"/>
    <x v="1"/>
    <x v="5"/>
    <x v="0"/>
    <s v="Other"/>
    <x v="162"/>
    <n v="86591.86"/>
  </r>
  <r>
    <n v="100001543"/>
    <s v="Evan"/>
    <s v="Arnold"/>
    <x v="0"/>
    <x v="21"/>
    <x v="0"/>
    <s v="White Collar"/>
    <x v="162"/>
    <n v="12883.77"/>
  </r>
  <r>
    <n v="100001544"/>
    <s v="Wanda"/>
    <s v="Hill"/>
    <x v="1"/>
    <x v="20"/>
    <x v="0"/>
    <s v="White Collar"/>
    <x v="162"/>
    <n v="45618.61"/>
  </r>
  <r>
    <n v="100001545"/>
    <s v="Nicholas"/>
    <s v="Thomson"/>
    <x v="0"/>
    <x v="5"/>
    <x v="0"/>
    <s v="White Collar"/>
    <x v="162"/>
    <n v="38121.480000000003"/>
  </r>
  <r>
    <n v="100001546"/>
    <s v="Victoria"/>
    <s v="Clarkson"/>
    <x v="1"/>
    <x v="14"/>
    <x v="0"/>
    <s v="White Collar"/>
    <x v="162"/>
    <n v="7467.05"/>
  </r>
  <r>
    <n v="100001547"/>
    <s v="Dorothy"/>
    <s v="Churchill"/>
    <x v="1"/>
    <x v="4"/>
    <x v="0"/>
    <s v="Other"/>
    <x v="162"/>
    <n v="80338.649999999994"/>
  </r>
  <r>
    <n v="100001548"/>
    <s v="Maria"/>
    <s v="Kelly"/>
    <x v="1"/>
    <x v="22"/>
    <x v="0"/>
    <s v="Blue Collar"/>
    <x v="162"/>
    <n v="87960.01"/>
  </r>
  <r>
    <n v="200001549"/>
    <s v="Evan"/>
    <s v="Sharp"/>
    <x v="0"/>
    <x v="18"/>
    <x v="3"/>
    <s v="Blue Collar"/>
    <x v="162"/>
    <n v="10903.24"/>
  </r>
  <r>
    <n v="200001550"/>
    <s v="Cameron"/>
    <s v="Underwood"/>
    <x v="0"/>
    <x v="19"/>
    <x v="3"/>
    <s v="Blue Collar"/>
    <x v="162"/>
    <n v="28141.86"/>
  </r>
  <r>
    <n v="400001551"/>
    <s v="Anna"/>
    <s v="Scott"/>
    <x v="1"/>
    <x v="12"/>
    <x v="1"/>
    <s v="Other"/>
    <x v="162"/>
    <n v="11566.5"/>
  </r>
  <r>
    <n v="100001552"/>
    <s v="Megan"/>
    <s v="Buckland"/>
    <x v="1"/>
    <x v="12"/>
    <x v="0"/>
    <s v="Blue Collar"/>
    <x v="163"/>
    <n v="23247.17"/>
  </r>
  <r>
    <n v="100001553"/>
    <s v="Julian"/>
    <s v="Blake"/>
    <x v="0"/>
    <x v="31"/>
    <x v="0"/>
    <s v="Blue Collar"/>
    <x v="163"/>
    <n v="10912.78"/>
  </r>
  <r>
    <n v="100001554"/>
    <s v="Dominic"/>
    <s v="Howard"/>
    <x v="0"/>
    <x v="1"/>
    <x v="0"/>
    <s v="White Collar"/>
    <x v="163"/>
    <n v="94732.96"/>
  </r>
  <r>
    <n v="100001555"/>
    <s v="Dan"/>
    <s v="Cameron"/>
    <x v="0"/>
    <x v="28"/>
    <x v="0"/>
    <s v="Other"/>
    <x v="163"/>
    <n v="26891.41"/>
  </r>
  <r>
    <n v="100001556"/>
    <s v="Anna"/>
    <s v="Rampling"/>
    <x v="1"/>
    <x v="20"/>
    <x v="0"/>
    <s v="White Collar"/>
    <x v="163"/>
    <n v="66105.55"/>
  </r>
  <r>
    <n v="100001557"/>
    <s v="Boris"/>
    <s v="Anderson"/>
    <x v="0"/>
    <x v="30"/>
    <x v="0"/>
    <s v="White Collar"/>
    <x v="163"/>
    <n v="2987.04"/>
  </r>
  <r>
    <n v="100001558"/>
    <s v="Caroline"/>
    <s v="Roberts"/>
    <x v="1"/>
    <x v="14"/>
    <x v="0"/>
    <s v="White Collar"/>
    <x v="163"/>
    <n v="60167.62"/>
  </r>
  <r>
    <n v="100001559"/>
    <s v="Oliver"/>
    <s v="Gray"/>
    <x v="0"/>
    <x v="2"/>
    <x v="0"/>
    <s v="White Collar"/>
    <x v="163"/>
    <n v="4439.7"/>
  </r>
  <r>
    <n v="100001560"/>
    <s v="Sally"/>
    <s v="Bell"/>
    <x v="1"/>
    <x v="22"/>
    <x v="0"/>
    <s v="White Collar"/>
    <x v="163"/>
    <n v="26366.52"/>
  </r>
  <r>
    <n v="200001561"/>
    <s v="Adam"/>
    <s v="Coleman"/>
    <x v="0"/>
    <x v="17"/>
    <x v="3"/>
    <s v="Blue Collar"/>
    <x v="163"/>
    <n v="104693.27"/>
  </r>
  <r>
    <n v="200001562"/>
    <s v="Luke"/>
    <s v="Wright"/>
    <x v="0"/>
    <x v="15"/>
    <x v="3"/>
    <s v="Other"/>
    <x v="163"/>
    <n v="66875.08"/>
  </r>
  <r>
    <n v="300001563"/>
    <s v="Oliver"/>
    <s v="Wright"/>
    <x v="0"/>
    <x v="25"/>
    <x v="2"/>
    <s v="White Collar"/>
    <x v="163"/>
    <n v="32867.5"/>
  </r>
  <r>
    <n v="100001564"/>
    <s v="Samantha"/>
    <s v="Bell"/>
    <x v="1"/>
    <x v="11"/>
    <x v="0"/>
    <s v="White Collar"/>
    <x v="164"/>
    <n v="86123"/>
  </r>
  <r>
    <n v="100001565"/>
    <s v="Gabrielle"/>
    <s v="Miller"/>
    <x v="1"/>
    <x v="10"/>
    <x v="0"/>
    <s v="White Collar"/>
    <x v="164"/>
    <n v="68694.44"/>
  </r>
  <r>
    <n v="100001566"/>
    <s v="Donna"/>
    <s v="Hardacre"/>
    <x v="1"/>
    <x v="9"/>
    <x v="0"/>
    <s v="White Collar"/>
    <x v="164"/>
    <n v="85043.83"/>
  </r>
  <r>
    <n v="200001567"/>
    <s v="John"/>
    <s v="Wilkins"/>
    <x v="0"/>
    <x v="6"/>
    <x v="3"/>
    <s v="Blue Collar"/>
    <x v="164"/>
    <n v="35874.31"/>
  </r>
  <r>
    <n v="200001568"/>
    <s v="Nathan"/>
    <s v="Walker"/>
    <x v="0"/>
    <x v="12"/>
    <x v="3"/>
    <s v="Blue Collar"/>
    <x v="164"/>
    <n v="53585.22"/>
  </r>
  <r>
    <n v="200001569"/>
    <s v="Jack"/>
    <s v="Pullman"/>
    <x v="0"/>
    <x v="15"/>
    <x v="3"/>
    <s v="Other"/>
    <x v="164"/>
    <n v="54124.86"/>
  </r>
  <r>
    <n v="200001570"/>
    <s v="Trevor"/>
    <s v="Sutherland"/>
    <x v="0"/>
    <x v="4"/>
    <x v="3"/>
    <s v="Blue Collar"/>
    <x v="164"/>
    <n v="89551.4"/>
  </r>
  <r>
    <n v="200001571"/>
    <s v="Ian"/>
    <s v="Alsop"/>
    <x v="0"/>
    <x v="17"/>
    <x v="3"/>
    <s v="Blue Collar"/>
    <x v="164"/>
    <n v="4661.79"/>
  </r>
  <r>
    <n v="200001572"/>
    <s v="Harry"/>
    <s v="Reid"/>
    <x v="0"/>
    <x v="46"/>
    <x v="3"/>
    <s v="Blue Collar"/>
    <x v="164"/>
    <n v="23755.34"/>
  </r>
  <r>
    <n v="200001573"/>
    <s v="Adam"/>
    <s v="Campbell"/>
    <x v="0"/>
    <x v="13"/>
    <x v="3"/>
    <s v="White Collar"/>
    <x v="164"/>
    <n v="124232.17"/>
  </r>
  <r>
    <n v="200001574"/>
    <s v="Leonard"/>
    <s v="Kerr"/>
    <x v="0"/>
    <x v="39"/>
    <x v="3"/>
    <s v="Other"/>
    <x v="164"/>
    <n v="69022.66"/>
  </r>
  <r>
    <n v="300001575"/>
    <s v="James"/>
    <s v="Payne"/>
    <x v="0"/>
    <x v="7"/>
    <x v="2"/>
    <s v="White Collar"/>
    <x v="164"/>
    <n v="120278.47"/>
  </r>
  <r>
    <n v="300001576"/>
    <s v="Gavin"/>
    <s v="Ross"/>
    <x v="0"/>
    <x v="16"/>
    <x v="2"/>
    <s v="White Collar"/>
    <x v="164"/>
    <n v="52335.99"/>
  </r>
  <r>
    <n v="300001577"/>
    <s v="Anne"/>
    <s v="Abraham"/>
    <x v="1"/>
    <x v="4"/>
    <x v="2"/>
    <s v="White Collar"/>
    <x v="164"/>
    <n v="31609.57"/>
  </r>
  <r>
    <n v="400001578"/>
    <s v="Emily"/>
    <s v="Harris"/>
    <x v="1"/>
    <x v="1"/>
    <x v="1"/>
    <s v="Other"/>
    <x v="164"/>
    <n v="4951.6499999999996"/>
  </r>
  <r>
    <n v="100001579"/>
    <s v="Trevor"/>
    <s v="Peake"/>
    <x v="0"/>
    <x v="32"/>
    <x v="0"/>
    <s v="Blue Collar"/>
    <x v="165"/>
    <n v="36109.269999999997"/>
  </r>
  <r>
    <n v="100001580"/>
    <s v="Penelope"/>
    <s v="Coleman"/>
    <x v="1"/>
    <x v="12"/>
    <x v="0"/>
    <s v="White Collar"/>
    <x v="165"/>
    <n v="7039.42"/>
  </r>
  <r>
    <n v="100001581"/>
    <s v="Lauren"/>
    <s v="May"/>
    <x v="1"/>
    <x v="9"/>
    <x v="0"/>
    <s v="Other"/>
    <x v="165"/>
    <n v="27602.78"/>
  </r>
  <r>
    <n v="100001582"/>
    <s v="Kimberly"/>
    <s v="Ball"/>
    <x v="1"/>
    <x v="32"/>
    <x v="0"/>
    <s v="White Collar"/>
    <x v="165"/>
    <n v="36694.01"/>
  </r>
  <r>
    <n v="100001583"/>
    <s v="David"/>
    <s v="Ince"/>
    <x v="0"/>
    <x v="12"/>
    <x v="0"/>
    <s v="White Collar"/>
    <x v="165"/>
    <n v="3374.77"/>
  </r>
  <r>
    <n v="100001584"/>
    <s v="Tim"/>
    <s v="Davidson"/>
    <x v="0"/>
    <x v="7"/>
    <x v="0"/>
    <s v="White Collar"/>
    <x v="165"/>
    <n v="35607.629999999997"/>
  </r>
  <r>
    <n v="200001585"/>
    <s v="Dylan"/>
    <s v="Young"/>
    <x v="0"/>
    <x v="8"/>
    <x v="3"/>
    <s v="Other"/>
    <x v="165"/>
    <n v="112917.42"/>
  </r>
  <r>
    <n v="200001586"/>
    <s v="Vanessa"/>
    <s v="Allan"/>
    <x v="1"/>
    <x v="41"/>
    <x v="3"/>
    <s v="Other"/>
    <x v="165"/>
    <n v="80616.31"/>
  </r>
  <r>
    <n v="200001587"/>
    <s v="Jake"/>
    <s v="Ellison"/>
    <x v="0"/>
    <x v="47"/>
    <x v="3"/>
    <s v="Other"/>
    <x v="165"/>
    <n v="14242.57"/>
  </r>
  <r>
    <n v="300001588"/>
    <s v="Jacob"/>
    <s v="Hart"/>
    <x v="0"/>
    <x v="8"/>
    <x v="2"/>
    <s v="Blue Collar"/>
    <x v="165"/>
    <n v="19473.740000000002"/>
  </r>
  <r>
    <n v="300001589"/>
    <s v="Liam"/>
    <s v="Jackson"/>
    <x v="0"/>
    <x v="14"/>
    <x v="2"/>
    <s v="Blue Collar"/>
    <x v="165"/>
    <n v="94647.65"/>
  </r>
  <r>
    <n v="300001590"/>
    <s v="Brian"/>
    <s v="Chapman"/>
    <x v="0"/>
    <x v="0"/>
    <x v="2"/>
    <s v="White Collar"/>
    <x v="165"/>
    <n v="30442.37"/>
  </r>
  <r>
    <n v="300001591"/>
    <s v="Sean"/>
    <s v="North"/>
    <x v="0"/>
    <x v="38"/>
    <x v="2"/>
    <s v="White Collar"/>
    <x v="165"/>
    <n v="32031.95"/>
  </r>
  <r>
    <n v="100001592"/>
    <s v="Jonathan"/>
    <s v="Vaughan"/>
    <x v="0"/>
    <x v="3"/>
    <x v="0"/>
    <s v="White Collar"/>
    <x v="166"/>
    <n v="32344.1"/>
  </r>
  <r>
    <n v="100001593"/>
    <s v="Hannah"/>
    <s v="Churchill"/>
    <x v="1"/>
    <x v="12"/>
    <x v="0"/>
    <s v="White Collar"/>
    <x v="166"/>
    <n v="29876.68"/>
  </r>
  <r>
    <n v="100001594"/>
    <s v="Madeleine"/>
    <s v="Walsh"/>
    <x v="1"/>
    <x v="28"/>
    <x v="0"/>
    <s v="White Collar"/>
    <x v="166"/>
    <n v="86222.34"/>
  </r>
  <r>
    <n v="100001595"/>
    <s v="Bella"/>
    <s v="Avery"/>
    <x v="1"/>
    <x v="9"/>
    <x v="0"/>
    <s v="Blue Collar"/>
    <x v="166"/>
    <n v="13612.39"/>
  </r>
  <r>
    <n v="100001596"/>
    <s v="Yvonne"/>
    <s v="Miller"/>
    <x v="1"/>
    <x v="30"/>
    <x v="0"/>
    <s v="White Collar"/>
    <x v="166"/>
    <n v="53197.64"/>
  </r>
  <r>
    <n v="200001597"/>
    <s v="Heather"/>
    <s v="Young"/>
    <x v="1"/>
    <x v="34"/>
    <x v="3"/>
    <s v="Other"/>
    <x v="166"/>
    <n v="4151.1400000000003"/>
  </r>
  <r>
    <n v="200001598"/>
    <s v="Peter"/>
    <s v="Manning"/>
    <x v="0"/>
    <x v="35"/>
    <x v="3"/>
    <s v="Blue Collar"/>
    <x v="166"/>
    <n v="36707.21"/>
  </r>
  <r>
    <n v="300001599"/>
    <s v="Adrian"/>
    <s v="Blake"/>
    <x v="0"/>
    <x v="30"/>
    <x v="2"/>
    <s v="White Collar"/>
    <x v="166"/>
    <n v="74898.55"/>
  </r>
  <r>
    <n v="400001600"/>
    <s v="Abigail"/>
    <s v="Harris"/>
    <x v="1"/>
    <x v="10"/>
    <x v="1"/>
    <s v="Blue Collar"/>
    <x v="166"/>
    <n v="21272.69"/>
  </r>
  <r>
    <n v="100001601"/>
    <s v="Keith"/>
    <s v="Duncan"/>
    <x v="0"/>
    <x v="9"/>
    <x v="0"/>
    <s v="White Collar"/>
    <x v="167"/>
    <n v="48998.080000000002"/>
  </r>
  <r>
    <n v="100001602"/>
    <s v="Karen"/>
    <s v="Grant"/>
    <x v="1"/>
    <x v="10"/>
    <x v="0"/>
    <s v="Other"/>
    <x v="167"/>
    <n v="21827.119999999999"/>
  </r>
  <r>
    <n v="100001603"/>
    <s v="James"/>
    <s v="Underwood"/>
    <x v="0"/>
    <x v="8"/>
    <x v="0"/>
    <s v="White Collar"/>
    <x v="167"/>
    <n v="96088.41"/>
  </r>
  <r>
    <n v="100001604"/>
    <s v="Angela"/>
    <s v="Hill"/>
    <x v="1"/>
    <x v="14"/>
    <x v="0"/>
    <s v="Other"/>
    <x v="167"/>
    <n v="89906.69"/>
  </r>
  <r>
    <n v="100001605"/>
    <s v="Sonia"/>
    <s v="Newman"/>
    <x v="1"/>
    <x v="24"/>
    <x v="0"/>
    <s v="Other"/>
    <x v="167"/>
    <n v="34178.68"/>
  </r>
  <r>
    <n v="100001606"/>
    <s v="David"/>
    <s v="Kerr"/>
    <x v="0"/>
    <x v="12"/>
    <x v="0"/>
    <s v="White Collar"/>
    <x v="167"/>
    <n v="64281.78"/>
  </r>
  <r>
    <n v="100001607"/>
    <s v="Andrew"/>
    <s v="Jones"/>
    <x v="0"/>
    <x v="7"/>
    <x v="0"/>
    <s v="Blue Collar"/>
    <x v="167"/>
    <n v="50819.63"/>
  </r>
  <r>
    <n v="100001608"/>
    <s v="Amelia"/>
    <s v="Gray"/>
    <x v="1"/>
    <x v="10"/>
    <x v="0"/>
    <s v="White Collar"/>
    <x v="167"/>
    <n v="44286.239999999998"/>
  </r>
  <r>
    <n v="200001609"/>
    <s v="Yvonne"/>
    <s v="Dickens"/>
    <x v="1"/>
    <x v="47"/>
    <x v="3"/>
    <s v="Other"/>
    <x v="167"/>
    <n v="23522.36"/>
  </r>
  <r>
    <n v="200001610"/>
    <s v="Ian"/>
    <s v="Baker"/>
    <x v="0"/>
    <x v="31"/>
    <x v="3"/>
    <s v="White Collar"/>
    <x v="167"/>
    <n v="4442.0200000000004"/>
  </r>
  <r>
    <n v="200001611"/>
    <s v="Sonia"/>
    <s v="Taylor"/>
    <x v="1"/>
    <x v="21"/>
    <x v="3"/>
    <s v="Blue Collar"/>
    <x v="167"/>
    <n v="76714.19"/>
  </r>
  <r>
    <n v="200001612"/>
    <s v="Brian"/>
    <s v="Alsop"/>
    <x v="0"/>
    <x v="33"/>
    <x v="3"/>
    <s v="Other"/>
    <x v="167"/>
    <n v="4926.12"/>
  </r>
  <r>
    <n v="200001613"/>
    <s v="Sean"/>
    <s v="Parsons"/>
    <x v="0"/>
    <x v="18"/>
    <x v="3"/>
    <s v="Blue Collar"/>
    <x v="167"/>
    <n v="15817.09"/>
  </r>
  <r>
    <n v="300001614"/>
    <s v="Blake"/>
    <s v="Blake"/>
    <x v="0"/>
    <x v="30"/>
    <x v="2"/>
    <s v="Other"/>
    <x v="167"/>
    <n v="87844.61"/>
  </r>
  <r>
    <n v="100001615"/>
    <s v="Emma"/>
    <s v="Black"/>
    <x v="1"/>
    <x v="3"/>
    <x v="0"/>
    <s v="Other"/>
    <x v="168"/>
    <n v="71324.350000000006"/>
  </r>
  <r>
    <n v="100001616"/>
    <s v="Sophie"/>
    <s v="Graham"/>
    <x v="1"/>
    <x v="20"/>
    <x v="0"/>
    <s v="White Collar"/>
    <x v="168"/>
    <n v="42773.9"/>
  </r>
  <r>
    <n v="100001617"/>
    <s v="Tracey"/>
    <s v="Bailey"/>
    <x v="1"/>
    <x v="12"/>
    <x v="0"/>
    <s v="White Collar"/>
    <x v="168"/>
    <n v="57272.58"/>
  </r>
  <r>
    <n v="100001618"/>
    <s v="Christopher"/>
    <s v="Terry"/>
    <x v="0"/>
    <x v="21"/>
    <x v="0"/>
    <s v="Other"/>
    <x v="168"/>
    <n v="64330.34"/>
  </r>
  <r>
    <n v="100001619"/>
    <s v="Joanne"/>
    <s v="Burgess"/>
    <x v="1"/>
    <x v="38"/>
    <x v="0"/>
    <s v="White Collar"/>
    <x v="168"/>
    <n v="14786.28"/>
  </r>
  <r>
    <n v="100001620"/>
    <s v="Rose"/>
    <s v="Glover"/>
    <x v="1"/>
    <x v="16"/>
    <x v="0"/>
    <s v="Blue Collar"/>
    <x v="168"/>
    <n v="12978.24"/>
  </r>
  <r>
    <n v="100001621"/>
    <s v="Dominic"/>
    <s v="Payne"/>
    <x v="0"/>
    <x v="30"/>
    <x v="0"/>
    <s v="White Collar"/>
    <x v="168"/>
    <n v="31044.799999999999"/>
  </r>
  <r>
    <n v="200001622"/>
    <s v="Alan"/>
    <s v="Pullman"/>
    <x v="0"/>
    <x v="35"/>
    <x v="3"/>
    <s v="Other"/>
    <x v="168"/>
    <n v="11139.78"/>
  </r>
  <r>
    <n v="200001623"/>
    <s v="Eric"/>
    <s v="Tucker"/>
    <x v="0"/>
    <x v="18"/>
    <x v="3"/>
    <s v="Blue Collar"/>
    <x v="168"/>
    <n v="18087.62"/>
  </r>
  <r>
    <n v="200001624"/>
    <s v="Isaac"/>
    <s v="Walsh"/>
    <x v="0"/>
    <x v="35"/>
    <x v="3"/>
    <s v="Other"/>
    <x v="168"/>
    <n v="879.78"/>
  </r>
  <r>
    <n v="200001625"/>
    <s v="Sam"/>
    <s v="Fisher"/>
    <x v="0"/>
    <x v="35"/>
    <x v="3"/>
    <s v="Other"/>
    <x v="168"/>
    <n v="1753.34"/>
  </r>
  <r>
    <n v="300001626"/>
    <s v="Sue"/>
    <s v="Rutherford"/>
    <x v="1"/>
    <x v="14"/>
    <x v="2"/>
    <s v="White Collar"/>
    <x v="168"/>
    <n v="7981.83"/>
  </r>
  <r>
    <n v="300001627"/>
    <s v="Lucas"/>
    <s v="White"/>
    <x v="0"/>
    <x v="34"/>
    <x v="2"/>
    <s v="White Collar"/>
    <x v="168"/>
    <n v="18035.37"/>
  </r>
  <r>
    <n v="300001628"/>
    <s v="Lillian"/>
    <s v="Dowd"/>
    <x v="1"/>
    <x v="34"/>
    <x v="2"/>
    <s v="Other"/>
    <x v="168"/>
    <n v="53783.65"/>
  </r>
  <r>
    <n v="300001629"/>
    <s v="Lily"/>
    <s v="Clarkson"/>
    <x v="1"/>
    <x v="12"/>
    <x v="2"/>
    <s v="Other"/>
    <x v="168"/>
    <n v="9679.91"/>
  </r>
  <r>
    <n v="400001630"/>
    <s v="Nicola"/>
    <s v="Pullman"/>
    <x v="1"/>
    <x v="38"/>
    <x v="1"/>
    <s v="Other"/>
    <x v="168"/>
    <n v="40163.919999999998"/>
  </r>
  <r>
    <n v="100001631"/>
    <s v="Lisa"/>
    <s v="Lambert"/>
    <x v="1"/>
    <x v="38"/>
    <x v="0"/>
    <s v="White Collar"/>
    <x v="169"/>
    <n v="17565.509999999998"/>
  </r>
  <r>
    <n v="100001632"/>
    <s v="Jan"/>
    <s v="Avery"/>
    <x v="1"/>
    <x v="38"/>
    <x v="0"/>
    <s v="White Collar"/>
    <x v="169"/>
    <n v="8195.76"/>
  </r>
  <r>
    <n v="100001633"/>
    <s v="Blake"/>
    <s v="Parsons"/>
    <x v="0"/>
    <x v="1"/>
    <x v="0"/>
    <s v="White Collar"/>
    <x v="169"/>
    <n v="19053.75"/>
  </r>
  <r>
    <n v="100001634"/>
    <s v="Keith"/>
    <s v="Edmunds"/>
    <x v="0"/>
    <x v="38"/>
    <x v="0"/>
    <s v="White Collar"/>
    <x v="169"/>
    <n v="8958.39"/>
  </r>
  <r>
    <n v="100001635"/>
    <s v="Lauren"/>
    <s v="Manning"/>
    <x v="1"/>
    <x v="1"/>
    <x v="0"/>
    <s v="White Collar"/>
    <x v="169"/>
    <n v="131464.91"/>
  </r>
  <r>
    <n v="100001636"/>
    <s v="Steven"/>
    <s v="Sharp"/>
    <x v="0"/>
    <x v="36"/>
    <x v="0"/>
    <s v="Other"/>
    <x v="169"/>
    <n v="5257.22"/>
  </r>
  <r>
    <n v="100001637"/>
    <s v="Samantha"/>
    <s v="Ferguson"/>
    <x v="1"/>
    <x v="21"/>
    <x v="0"/>
    <s v="White Collar"/>
    <x v="170"/>
    <n v="5526.87"/>
  </r>
  <r>
    <n v="200001638"/>
    <s v="Jonathan"/>
    <s v="North"/>
    <x v="0"/>
    <x v="42"/>
    <x v="3"/>
    <s v="Other"/>
    <x v="170"/>
    <n v="8391.7900000000009"/>
  </r>
  <r>
    <n v="200001639"/>
    <s v="Joan"/>
    <s v="Wright"/>
    <x v="1"/>
    <x v="40"/>
    <x v="3"/>
    <s v="White Collar"/>
    <x v="170"/>
    <n v="34948.54"/>
  </r>
  <r>
    <n v="200001640"/>
    <s v="Christopher"/>
    <s v="Underwood"/>
    <x v="0"/>
    <x v="47"/>
    <x v="3"/>
    <s v="Blue Collar"/>
    <x v="170"/>
    <n v="47115.07"/>
  </r>
  <r>
    <n v="300001641"/>
    <s v="Jonathan"/>
    <s v="Langdon"/>
    <x v="0"/>
    <x v="38"/>
    <x v="2"/>
    <s v="White Collar"/>
    <x v="170"/>
    <n v="77211.460000000006"/>
  </r>
  <r>
    <n v="300001642"/>
    <s v="Keith"/>
    <s v="Fisher"/>
    <x v="0"/>
    <x v="16"/>
    <x v="2"/>
    <s v="White Collar"/>
    <x v="170"/>
    <n v="112243.76"/>
  </r>
  <r>
    <n v="100001643"/>
    <s v="Adam"/>
    <s v="Walsh"/>
    <x v="0"/>
    <x v="9"/>
    <x v="0"/>
    <s v="White Collar"/>
    <x v="171"/>
    <n v="61559.53"/>
  </r>
  <r>
    <n v="100001644"/>
    <s v="Wendy"/>
    <s v="Vaughan"/>
    <x v="1"/>
    <x v="16"/>
    <x v="0"/>
    <s v="Other"/>
    <x v="171"/>
    <n v="19269.63"/>
  </r>
  <r>
    <n v="100001645"/>
    <s v="Sonia"/>
    <s v="Morgan"/>
    <x v="1"/>
    <x v="31"/>
    <x v="0"/>
    <s v="White Collar"/>
    <x v="171"/>
    <n v="46153.29"/>
  </r>
  <r>
    <n v="100001646"/>
    <s v="Rebecca"/>
    <s v="Peters"/>
    <x v="1"/>
    <x v="13"/>
    <x v="0"/>
    <s v="White Collar"/>
    <x v="171"/>
    <n v="45730.02"/>
  </r>
  <r>
    <n v="100001647"/>
    <s v="Sean"/>
    <s v="Ince"/>
    <x v="0"/>
    <x v="11"/>
    <x v="0"/>
    <s v="Blue Collar"/>
    <x v="171"/>
    <n v="19278.39"/>
  </r>
  <r>
    <n v="200001648"/>
    <s v="Andrew"/>
    <s v="Wilkins"/>
    <x v="0"/>
    <x v="16"/>
    <x v="3"/>
    <s v="Other"/>
    <x v="171"/>
    <n v="57520.31"/>
  </r>
  <r>
    <n v="200001649"/>
    <s v="Steven"/>
    <s v="Gray"/>
    <x v="0"/>
    <x v="18"/>
    <x v="3"/>
    <s v="Blue Collar"/>
    <x v="171"/>
    <n v="44489.440000000002"/>
  </r>
  <r>
    <n v="200001650"/>
    <s v="Peter"/>
    <s v="McLean"/>
    <x v="0"/>
    <x v="1"/>
    <x v="3"/>
    <s v="Other"/>
    <x v="171"/>
    <n v="21134.53"/>
  </r>
  <r>
    <n v="300001651"/>
    <s v="Emma"/>
    <s v="Mitchell"/>
    <x v="1"/>
    <x v="0"/>
    <x v="2"/>
    <s v="White Collar"/>
    <x v="171"/>
    <n v="45899.62"/>
  </r>
  <r>
    <n v="300001652"/>
    <s v="Adam"/>
    <s v="Forsyth"/>
    <x v="0"/>
    <x v="10"/>
    <x v="2"/>
    <s v="Other"/>
    <x v="171"/>
    <n v="72866.17"/>
  </r>
  <r>
    <n v="100001653"/>
    <s v="James"/>
    <s v="Chapman"/>
    <x v="0"/>
    <x v="22"/>
    <x v="0"/>
    <s v="Blue Collar"/>
    <x v="172"/>
    <n v="16479.12"/>
  </r>
  <r>
    <n v="100001654"/>
    <s v="Victoria"/>
    <s v="Edmunds"/>
    <x v="1"/>
    <x v="43"/>
    <x v="0"/>
    <s v="White Collar"/>
    <x v="172"/>
    <n v="36706.839999999997"/>
  </r>
  <r>
    <n v="100001655"/>
    <s v="Kevin"/>
    <s v="Forsyth"/>
    <x v="0"/>
    <x v="9"/>
    <x v="0"/>
    <s v="White Collar"/>
    <x v="172"/>
    <n v="20906.27"/>
  </r>
  <r>
    <n v="100001656"/>
    <s v="Tim"/>
    <s v="King"/>
    <x v="0"/>
    <x v="4"/>
    <x v="0"/>
    <s v="White Collar"/>
    <x v="172"/>
    <n v="52100.59"/>
  </r>
  <r>
    <n v="100001657"/>
    <s v="Dominic"/>
    <s v="Nolan"/>
    <x v="0"/>
    <x v="5"/>
    <x v="0"/>
    <s v="White Collar"/>
    <x v="172"/>
    <n v="32400.35"/>
  </r>
  <r>
    <n v="100001658"/>
    <s v="Leah"/>
    <s v="MacLeod"/>
    <x v="1"/>
    <x v="10"/>
    <x v="0"/>
    <s v="White Collar"/>
    <x v="172"/>
    <n v="6904.7"/>
  </r>
  <r>
    <n v="100001659"/>
    <s v="Diane"/>
    <s v="Lee"/>
    <x v="1"/>
    <x v="7"/>
    <x v="0"/>
    <s v="Blue Collar"/>
    <x v="172"/>
    <n v="19416.330000000002"/>
  </r>
  <r>
    <n v="100001660"/>
    <s v="Boris"/>
    <s v="Harris"/>
    <x v="0"/>
    <x v="9"/>
    <x v="0"/>
    <s v="White Collar"/>
    <x v="172"/>
    <n v="80678.36"/>
  </r>
  <r>
    <n v="100001661"/>
    <s v="Neil"/>
    <s v="Gray"/>
    <x v="0"/>
    <x v="21"/>
    <x v="0"/>
    <s v="White Collar"/>
    <x v="172"/>
    <n v="12604.91"/>
  </r>
  <r>
    <n v="200001662"/>
    <s v="Anthony"/>
    <s v="Graham"/>
    <x v="0"/>
    <x v="2"/>
    <x v="3"/>
    <s v="Blue Collar"/>
    <x v="172"/>
    <n v="48967.15"/>
  </r>
  <r>
    <n v="200001663"/>
    <s v="Diane"/>
    <s v="Clarkson"/>
    <x v="1"/>
    <x v="39"/>
    <x v="3"/>
    <s v="Other"/>
    <x v="172"/>
    <n v="25452.799999999999"/>
  </r>
  <r>
    <n v="200001664"/>
    <s v="Edward"/>
    <s v="Young"/>
    <x v="0"/>
    <x v="7"/>
    <x v="3"/>
    <s v="Other"/>
    <x v="172"/>
    <n v="65608.679999999993"/>
  </r>
  <r>
    <n v="200001665"/>
    <s v="Gabrielle"/>
    <s v="McLean"/>
    <x v="1"/>
    <x v="32"/>
    <x v="3"/>
    <s v="Other"/>
    <x v="172"/>
    <n v="63757.4"/>
  </r>
  <r>
    <n v="400001666"/>
    <s v="Jake"/>
    <s v="Mathis"/>
    <x v="0"/>
    <x v="22"/>
    <x v="1"/>
    <s v="White Collar"/>
    <x v="172"/>
    <n v="9465.58"/>
  </r>
  <r>
    <n v="100001667"/>
    <s v="Bernadette"/>
    <s v="Piper"/>
    <x v="1"/>
    <x v="39"/>
    <x v="0"/>
    <s v="White Collar"/>
    <x v="173"/>
    <n v="997.01"/>
  </r>
  <r>
    <n v="200001668"/>
    <s v="Liam"/>
    <s v="Dickens"/>
    <x v="0"/>
    <x v="45"/>
    <x v="3"/>
    <s v="Blue Collar"/>
    <x v="173"/>
    <n v="18687.009999999998"/>
  </r>
  <r>
    <n v="200001669"/>
    <s v="Jan"/>
    <s v="Knox"/>
    <x v="1"/>
    <x v="28"/>
    <x v="3"/>
    <s v="Other"/>
    <x v="173"/>
    <n v="48268.62"/>
  </r>
  <r>
    <n v="200001670"/>
    <s v="Gordon"/>
    <s v="Vance"/>
    <x v="0"/>
    <x v="34"/>
    <x v="3"/>
    <s v="Other"/>
    <x v="173"/>
    <n v="69809.23"/>
  </r>
  <r>
    <n v="400001671"/>
    <s v="Bernadette"/>
    <s v="Metcalfe"/>
    <x v="1"/>
    <x v="44"/>
    <x v="1"/>
    <s v="Blue Collar"/>
    <x v="173"/>
    <n v="97610.35"/>
  </r>
  <r>
    <n v="100001672"/>
    <s v="Katherine"/>
    <s v="Berry"/>
    <x v="1"/>
    <x v="34"/>
    <x v="0"/>
    <s v="White Collar"/>
    <x v="174"/>
    <n v="20228.5"/>
  </r>
  <r>
    <n v="100001673"/>
    <s v="Jacob"/>
    <s v="Mathis"/>
    <x v="0"/>
    <x v="10"/>
    <x v="0"/>
    <s v="White Collar"/>
    <x v="174"/>
    <n v="10188.530000000001"/>
  </r>
  <r>
    <n v="100001674"/>
    <s v="Irene"/>
    <s v="Alsop"/>
    <x v="1"/>
    <x v="2"/>
    <x v="0"/>
    <s v="White Collar"/>
    <x v="174"/>
    <n v="7003.01"/>
  </r>
  <r>
    <n v="100001675"/>
    <s v="Emma"/>
    <s v="Pullman"/>
    <x v="1"/>
    <x v="8"/>
    <x v="0"/>
    <s v="Other"/>
    <x v="174"/>
    <n v="19699.45"/>
  </r>
  <r>
    <n v="100001676"/>
    <s v="Madeleine"/>
    <s v="Bower"/>
    <x v="1"/>
    <x v="24"/>
    <x v="0"/>
    <s v="Blue Collar"/>
    <x v="174"/>
    <n v="32313.23"/>
  </r>
  <r>
    <n v="200001677"/>
    <s v="Joan"/>
    <s v="Jones"/>
    <x v="1"/>
    <x v="39"/>
    <x v="3"/>
    <s v="Other"/>
    <x v="174"/>
    <n v="115592.15"/>
  </r>
  <r>
    <n v="200001678"/>
    <s v="Amanda"/>
    <s v="Henderson"/>
    <x v="1"/>
    <x v="28"/>
    <x v="3"/>
    <s v="Other"/>
    <x v="174"/>
    <n v="10671.26"/>
  </r>
  <r>
    <n v="200001679"/>
    <s v="Victor"/>
    <s v="Arnold"/>
    <x v="0"/>
    <x v="33"/>
    <x v="3"/>
    <s v="Blue Collar"/>
    <x v="174"/>
    <n v="114858.67"/>
  </r>
  <r>
    <n v="300001680"/>
    <s v="Anna"/>
    <s v="Murray"/>
    <x v="1"/>
    <x v="7"/>
    <x v="2"/>
    <s v="White Collar"/>
    <x v="174"/>
    <n v="8271.07"/>
  </r>
  <r>
    <n v="300001681"/>
    <s v="Leonard"/>
    <s v="Tucker"/>
    <x v="0"/>
    <x v="30"/>
    <x v="2"/>
    <s v="White Collar"/>
    <x v="174"/>
    <n v="30556.05"/>
  </r>
  <r>
    <n v="400001682"/>
    <s v="Lauren"/>
    <s v="Jones"/>
    <x v="1"/>
    <x v="13"/>
    <x v="1"/>
    <s v="Other"/>
    <x v="174"/>
    <n v="30914.02"/>
  </r>
  <r>
    <n v="400001683"/>
    <s v="Felicity"/>
    <s v="Vance"/>
    <x v="1"/>
    <x v="11"/>
    <x v="1"/>
    <s v="Other"/>
    <x v="174"/>
    <n v="2617.17"/>
  </r>
  <r>
    <n v="100001684"/>
    <s v="Lily"/>
    <s v="Bond"/>
    <x v="1"/>
    <x v="5"/>
    <x v="0"/>
    <s v="White Collar"/>
    <x v="175"/>
    <n v="54749.13"/>
  </r>
  <r>
    <n v="100001685"/>
    <s v="Nicholas"/>
    <s v="Clarkson"/>
    <x v="0"/>
    <x v="31"/>
    <x v="0"/>
    <s v="White Collar"/>
    <x v="175"/>
    <n v="27673.63"/>
  </r>
  <r>
    <n v="100001686"/>
    <s v="Edward"/>
    <s v="Watson"/>
    <x v="0"/>
    <x v="12"/>
    <x v="0"/>
    <s v="Other"/>
    <x v="175"/>
    <n v="74026.52"/>
  </r>
  <r>
    <n v="100001687"/>
    <s v="Pippa"/>
    <s v="Coleman"/>
    <x v="1"/>
    <x v="1"/>
    <x v="0"/>
    <s v="White Collar"/>
    <x v="175"/>
    <n v="24827.57"/>
  </r>
  <r>
    <n v="100001688"/>
    <s v="Ryan"/>
    <s v="Pullman"/>
    <x v="0"/>
    <x v="13"/>
    <x v="0"/>
    <s v="White Collar"/>
    <x v="175"/>
    <n v="90760.82"/>
  </r>
  <r>
    <n v="100001689"/>
    <s v="Jan"/>
    <s v="McGrath"/>
    <x v="1"/>
    <x v="3"/>
    <x v="0"/>
    <s v="White Collar"/>
    <x v="175"/>
    <n v="86890.77"/>
  </r>
  <r>
    <n v="100001690"/>
    <s v="Paul"/>
    <s v="Hunter"/>
    <x v="0"/>
    <x v="6"/>
    <x v="0"/>
    <s v="White Collar"/>
    <x v="175"/>
    <n v="51202.31"/>
  </r>
  <r>
    <n v="100001691"/>
    <s v="Amanda"/>
    <s v="Gill"/>
    <x v="1"/>
    <x v="7"/>
    <x v="0"/>
    <s v="White Collar"/>
    <x v="175"/>
    <n v="4884.67"/>
  </r>
  <r>
    <n v="200001692"/>
    <s v="Christopher"/>
    <s v="Wilkins"/>
    <x v="0"/>
    <x v="15"/>
    <x v="3"/>
    <s v="Blue Collar"/>
    <x v="175"/>
    <n v="102552.12"/>
  </r>
  <r>
    <n v="200001693"/>
    <s v="Lucas"/>
    <s v="Clarkson"/>
    <x v="0"/>
    <x v="6"/>
    <x v="3"/>
    <s v="Blue Collar"/>
    <x v="175"/>
    <n v="4363.5"/>
  </r>
  <r>
    <n v="200001694"/>
    <s v="Jasmine"/>
    <s v="Mathis"/>
    <x v="1"/>
    <x v="28"/>
    <x v="3"/>
    <s v="Other"/>
    <x v="175"/>
    <n v="64940.12"/>
  </r>
  <r>
    <n v="200001695"/>
    <s v="Gabrielle"/>
    <s v="Arnold"/>
    <x v="1"/>
    <x v="18"/>
    <x v="3"/>
    <s v="Other"/>
    <x v="175"/>
    <n v="46862.559999999998"/>
  </r>
  <r>
    <n v="300001696"/>
    <s v="Natalie"/>
    <s v="Graham"/>
    <x v="1"/>
    <x v="4"/>
    <x v="2"/>
    <s v="White Collar"/>
    <x v="175"/>
    <n v="7148.82"/>
  </r>
  <r>
    <n v="300001697"/>
    <s v="Justin"/>
    <s v="Dowd"/>
    <x v="0"/>
    <x v="7"/>
    <x v="2"/>
    <s v="Other"/>
    <x v="175"/>
    <n v="25705.16"/>
  </r>
  <r>
    <n v="300001698"/>
    <s v="Gordon"/>
    <s v="Lambert"/>
    <x v="0"/>
    <x v="4"/>
    <x v="2"/>
    <s v="Blue Collar"/>
    <x v="175"/>
    <n v="4409.18"/>
  </r>
  <r>
    <n v="300001699"/>
    <s v="Faith"/>
    <s v="Young"/>
    <x v="1"/>
    <x v="7"/>
    <x v="2"/>
    <s v="Other"/>
    <x v="175"/>
    <n v="74578.98"/>
  </r>
  <r>
    <n v="300001700"/>
    <s v="Brandon"/>
    <s v="Hamilton"/>
    <x v="0"/>
    <x v="14"/>
    <x v="2"/>
    <s v="Blue Collar"/>
    <x v="175"/>
    <n v="36731.86"/>
  </r>
  <r>
    <n v="400001701"/>
    <s v="Lauren"/>
    <s v="Greene"/>
    <x v="1"/>
    <x v="16"/>
    <x v="1"/>
    <s v="White Collar"/>
    <x v="175"/>
    <n v="57177.94"/>
  </r>
  <r>
    <n v="100001702"/>
    <s v="Rachel"/>
    <s v="Lee"/>
    <x v="1"/>
    <x v="17"/>
    <x v="0"/>
    <s v="Blue Collar"/>
    <x v="176"/>
    <n v="27309.33"/>
  </r>
  <r>
    <n v="100001703"/>
    <s v="Gordon"/>
    <s v="Paige"/>
    <x v="0"/>
    <x v="30"/>
    <x v="0"/>
    <s v="Blue Collar"/>
    <x v="176"/>
    <n v="63852.14"/>
  </r>
  <r>
    <n v="100001704"/>
    <s v="Heather"/>
    <s v="Rees"/>
    <x v="1"/>
    <x v="38"/>
    <x v="0"/>
    <s v="White Collar"/>
    <x v="176"/>
    <n v="21840.84"/>
  </r>
  <r>
    <n v="100001705"/>
    <s v="Zoe"/>
    <s v="Parr"/>
    <x v="1"/>
    <x v="32"/>
    <x v="0"/>
    <s v="Other"/>
    <x v="176"/>
    <n v="88279.66"/>
  </r>
  <r>
    <n v="100001706"/>
    <s v="Simon"/>
    <s v="Burgess"/>
    <x v="0"/>
    <x v="32"/>
    <x v="0"/>
    <s v="White Collar"/>
    <x v="176"/>
    <n v="104169.39"/>
  </r>
  <r>
    <n v="100001707"/>
    <s v="Grace"/>
    <s v="Russell"/>
    <x v="1"/>
    <x v="16"/>
    <x v="0"/>
    <s v="White Collar"/>
    <x v="176"/>
    <n v="7598.49"/>
  </r>
  <r>
    <n v="200001708"/>
    <s v="Phil"/>
    <s v="Murray"/>
    <x v="0"/>
    <x v="35"/>
    <x v="3"/>
    <s v="Other"/>
    <x v="176"/>
    <n v="20981.07"/>
  </r>
  <r>
    <n v="200001709"/>
    <s v="Penelope"/>
    <s v="North"/>
    <x v="1"/>
    <x v="31"/>
    <x v="3"/>
    <s v="Other"/>
    <x v="176"/>
    <n v="22760.94"/>
  </r>
  <r>
    <n v="200001710"/>
    <s v="Warren"/>
    <s v="Terry"/>
    <x v="0"/>
    <x v="19"/>
    <x v="3"/>
    <s v="White Collar"/>
    <x v="176"/>
    <n v="65433.7"/>
  </r>
  <r>
    <n v="200001711"/>
    <s v="Christopher"/>
    <s v="Edmunds"/>
    <x v="0"/>
    <x v="1"/>
    <x v="3"/>
    <s v="White Collar"/>
    <x v="176"/>
    <n v="12137.16"/>
  </r>
  <r>
    <n v="200001712"/>
    <s v="Christian"/>
    <s v="Fisher"/>
    <x v="0"/>
    <x v="16"/>
    <x v="3"/>
    <s v="Blue Collar"/>
    <x v="176"/>
    <n v="39250.53"/>
  </r>
  <r>
    <n v="100001713"/>
    <s v="Jason"/>
    <s v="McDonald"/>
    <x v="0"/>
    <x v="1"/>
    <x v="0"/>
    <s v="Blue Collar"/>
    <x v="177"/>
    <n v="21191.18"/>
  </r>
  <r>
    <n v="100001714"/>
    <s v="Faith"/>
    <s v="Arnold"/>
    <x v="1"/>
    <x v="4"/>
    <x v="0"/>
    <s v="White Collar"/>
    <x v="177"/>
    <n v="49606.03"/>
  </r>
  <r>
    <n v="100001715"/>
    <s v="Warren"/>
    <s v="Parr"/>
    <x v="0"/>
    <x v="3"/>
    <x v="0"/>
    <s v="Blue Collar"/>
    <x v="177"/>
    <n v="10239.67"/>
  </r>
  <r>
    <n v="100001716"/>
    <s v="Boris"/>
    <s v="Turner"/>
    <x v="0"/>
    <x v="36"/>
    <x v="0"/>
    <s v="White Collar"/>
    <x v="177"/>
    <n v="66040.460000000006"/>
  </r>
  <r>
    <n v="100001717"/>
    <s v="Nathan"/>
    <s v="Hudson"/>
    <x v="0"/>
    <x v="21"/>
    <x v="0"/>
    <s v="White Collar"/>
    <x v="177"/>
    <n v="7685.3"/>
  </r>
  <r>
    <n v="100001718"/>
    <s v="Bernadette"/>
    <s v="Knox"/>
    <x v="1"/>
    <x v="16"/>
    <x v="0"/>
    <s v="White Collar"/>
    <x v="177"/>
    <n v="20040.939999999999"/>
  </r>
  <r>
    <n v="100001719"/>
    <s v="Madeleine"/>
    <s v="Quinn"/>
    <x v="1"/>
    <x v="5"/>
    <x v="0"/>
    <s v="Blue Collar"/>
    <x v="177"/>
    <n v="113533.08"/>
  </r>
  <r>
    <n v="100001720"/>
    <s v="Deirdre"/>
    <s v="Alsop"/>
    <x v="1"/>
    <x v="20"/>
    <x v="0"/>
    <s v="Blue Collar"/>
    <x v="177"/>
    <n v="47846.97"/>
  </r>
  <r>
    <n v="100001721"/>
    <s v="Paul"/>
    <s v="Knox"/>
    <x v="0"/>
    <x v="1"/>
    <x v="0"/>
    <s v="Blue Collar"/>
    <x v="177"/>
    <n v="78342.039999999994"/>
  </r>
  <r>
    <n v="100001722"/>
    <s v="John"/>
    <s v="Coleman"/>
    <x v="0"/>
    <x v="30"/>
    <x v="0"/>
    <s v="White Collar"/>
    <x v="177"/>
    <n v="48925.1"/>
  </r>
  <r>
    <n v="100001723"/>
    <s v="Chloe"/>
    <s v="Roberts"/>
    <x v="1"/>
    <x v="38"/>
    <x v="0"/>
    <s v="White Collar"/>
    <x v="177"/>
    <n v="12085.14"/>
  </r>
  <r>
    <n v="100001724"/>
    <s v="Eric"/>
    <s v="Piper"/>
    <x v="0"/>
    <x v="12"/>
    <x v="0"/>
    <s v="Blue Collar"/>
    <x v="177"/>
    <n v="3691.67"/>
  </r>
  <r>
    <n v="100001725"/>
    <s v="Steven"/>
    <s v="MacDonald"/>
    <x v="0"/>
    <x v="2"/>
    <x v="0"/>
    <s v="White Collar"/>
    <x v="177"/>
    <n v="4887.16"/>
  </r>
  <r>
    <n v="100001726"/>
    <s v="Phil"/>
    <s v="Lawrence"/>
    <x v="0"/>
    <x v="14"/>
    <x v="0"/>
    <s v="Other"/>
    <x v="177"/>
    <n v="6591.25"/>
  </r>
  <r>
    <n v="100001727"/>
    <s v="Trevor"/>
    <s v="Parsons"/>
    <x v="0"/>
    <x v="4"/>
    <x v="0"/>
    <s v="White Collar"/>
    <x v="177"/>
    <n v="12703.52"/>
  </r>
  <r>
    <n v="100001728"/>
    <s v="Kimberly"/>
    <s v="Metcalfe"/>
    <x v="1"/>
    <x v="30"/>
    <x v="0"/>
    <s v="White Collar"/>
    <x v="177"/>
    <n v="44345.61"/>
  </r>
  <r>
    <n v="100001729"/>
    <s v="Gabrielle"/>
    <s v="Bower"/>
    <x v="1"/>
    <x v="5"/>
    <x v="0"/>
    <s v="Other"/>
    <x v="177"/>
    <n v="72874.91"/>
  </r>
  <r>
    <n v="100001730"/>
    <s v="Edward"/>
    <s v="MacDonald"/>
    <x v="0"/>
    <x v="5"/>
    <x v="0"/>
    <s v="Other"/>
    <x v="177"/>
    <n v="12647.17"/>
  </r>
  <r>
    <n v="100001731"/>
    <s v="Caroline"/>
    <s v="MacDonald"/>
    <x v="1"/>
    <x v="4"/>
    <x v="0"/>
    <s v="White Collar"/>
    <x v="177"/>
    <n v="8080.08"/>
  </r>
  <r>
    <n v="100001732"/>
    <s v="Jacob"/>
    <s v="Arnold"/>
    <x v="0"/>
    <x v="28"/>
    <x v="0"/>
    <s v="White Collar"/>
    <x v="177"/>
    <n v="115722.65"/>
  </r>
  <r>
    <n v="200001733"/>
    <s v="Zoe"/>
    <s v="Mills"/>
    <x v="1"/>
    <x v="46"/>
    <x v="3"/>
    <s v="Other"/>
    <x v="177"/>
    <n v="2527"/>
  </r>
  <r>
    <n v="200001734"/>
    <s v="Joshua"/>
    <s v="Fraser"/>
    <x v="0"/>
    <x v="2"/>
    <x v="3"/>
    <s v="Other"/>
    <x v="177"/>
    <n v="33915.03"/>
  </r>
  <r>
    <n v="200001735"/>
    <s v="Brandon"/>
    <s v="Howard"/>
    <x v="0"/>
    <x v="33"/>
    <x v="3"/>
    <s v="Blue Collar"/>
    <x v="177"/>
    <n v="7992.21"/>
  </r>
  <r>
    <n v="200001736"/>
    <s v="Sue"/>
    <s v="Watson"/>
    <x v="1"/>
    <x v="23"/>
    <x v="3"/>
    <s v="Other"/>
    <x v="177"/>
    <n v="13708.97"/>
  </r>
  <r>
    <n v="200001737"/>
    <s v="Julian"/>
    <s v="Ferguson"/>
    <x v="0"/>
    <x v="32"/>
    <x v="3"/>
    <s v="Blue Collar"/>
    <x v="177"/>
    <n v="80189.899999999994"/>
  </r>
  <r>
    <n v="200001738"/>
    <s v="Paul"/>
    <s v="Lambert"/>
    <x v="0"/>
    <x v="27"/>
    <x v="3"/>
    <s v="Blue Collar"/>
    <x v="177"/>
    <n v="44984.09"/>
  </r>
  <r>
    <n v="200001739"/>
    <s v="Warren"/>
    <s v="Gibson"/>
    <x v="0"/>
    <x v="17"/>
    <x v="3"/>
    <s v="Blue Collar"/>
    <x v="177"/>
    <n v="47219.199999999997"/>
  </r>
  <r>
    <n v="300001740"/>
    <s v="Tracey"/>
    <s v="Lambert"/>
    <x v="1"/>
    <x v="22"/>
    <x v="2"/>
    <s v="White Collar"/>
    <x v="177"/>
    <n v="52648.77"/>
  </r>
  <r>
    <n v="300001741"/>
    <s v="Chloe"/>
    <s v="Lee"/>
    <x v="1"/>
    <x v="7"/>
    <x v="2"/>
    <s v="White Collar"/>
    <x v="177"/>
    <n v="56539.65"/>
  </r>
  <r>
    <n v="300001742"/>
    <s v="Wanda"/>
    <s v="Clarkson"/>
    <x v="1"/>
    <x v="43"/>
    <x v="2"/>
    <s v="White Collar"/>
    <x v="177"/>
    <n v="38462.35"/>
  </r>
  <r>
    <n v="300001743"/>
    <s v="Joseph"/>
    <s v="Bell"/>
    <x v="0"/>
    <x v="43"/>
    <x v="2"/>
    <s v="White Collar"/>
    <x v="177"/>
    <n v="43780.77"/>
  </r>
  <r>
    <n v="300001744"/>
    <s v="Megan"/>
    <s v="Peake"/>
    <x v="1"/>
    <x v="29"/>
    <x v="2"/>
    <s v="White Collar"/>
    <x v="177"/>
    <n v="15278.22"/>
  </r>
  <r>
    <n v="300001745"/>
    <s v="Virginia"/>
    <s v="Piper"/>
    <x v="1"/>
    <x v="1"/>
    <x v="2"/>
    <s v="Blue Collar"/>
    <x v="177"/>
    <n v="49214.87"/>
  </r>
  <r>
    <n v="300001746"/>
    <s v="Blake"/>
    <s v="Johnston"/>
    <x v="0"/>
    <x v="14"/>
    <x v="2"/>
    <s v="White Collar"/>
    <x v="177"/>
    <n v="34838.68"/>
  </r>
  <r>
    <n v="300001747"/>
    <s v="David"/>
    <s v="Wright"/>
    <x v="0"/>
    <x v="31"/>
    <x v="2"/>
    <s v="White Collar"/>
    <x v="177"/>
    <n v="8128.57"/>
  </r>
  <r>
    <n v="300001748"/>
    <s v="Julian"/>
    <s v="Quinn"/>
    <x v="0"/>
    <x v="30"/>
    <x v="2"/>
    <s v="Other"/>
    <x v="177"/>
    <n v="15762.18"/>
  </r>
  <r>
    <n v="300001749"/>
    <s v="Julia"/>
    <s v="Newman"/>
    <x v="1"/>
    <x v="16"/>
    <x v="2"/>
    <s v="White Collar"/>
    <x v="177"/>
    <n v="12003.06"/>
  </r>
  <r>
    <n v="300001750"/>
    <s v="Diana"/>
    <s v="Piper"/>
    <x v="1"/>
    <x v="6"/>
    <x v="2"/>
    <s v="White Collar"/>
    <x v="177"/>
    <n v="36947.589999999997"/>
  </r>
  <r>
    <n v="300001751"/>
    <s v="Alison"/>
    <s v="Terry"/>
    <x v="1"/>
    <x v="2"/>
    <x v="2"/>
    <s v="White Collar"/>
    <x v="177"/>
    <n v="16233.42"/>
  </r>
  <r>
    <n v="400001752"/>
    <s v="Vanessa"/>
    <s v="Terry"/>
    <x v="1"/>
    <x v="21"/>
    <x v="1"/>
    <s v="Blue Collar"/>
    <x v="177"/>
    <n v="65999.039999999994"/>
  </r>
  <r>
    <n v="400001753"/>
    <s v="Chloe"/>
    <s v="Slater"/>
    <x v="1"/>
    <x v="5"/>
    <x v="1"/>
    <s v="Other"/>
    <x v="177"/>
    <n v="51991.07"/>
  </r>
  <r>
    <n v="400001754"/>
    <s v="Sally"/>
    <s v="Ogden"/>
    <x v="1"/>
    <x v="12"/>
    <x v="1"/>
    <s v="White Collar"/>
    <x v="177"/>
    <n v="37892.43"/>
  </r>
  <r>
    <n v="100001755"/>
    <s v="Boris"/>
    <s v="Langdon"/>
    <x v="0"/>
    <x v="30"/>
    <x v="0"/>
    <s v="Other"/>
    <x v="178"/>
    <n v="50953.26"/>
  </r>
  <r>
    <n v="100001756"/>
    <s v="Keith"/>
    <s v="Dyer"/>
    <x v="0"/>
    <x v="38"/>
    <x v="0"/>
    <s v="Other"/>
    <x v="178"/>
    <n v="6016.04"/>
  </r>
  <r>
    <n v="100001757"/>
    <s v="Cameron"/>
    <s v="Arnold"/>
    <x v="0"/>
    <x v="37"/>
    <x v="0"/>
    <s v="White Collar"/>
    <x v="178"/>
    <n v="98261.13"/>
  </r>
  <r>
    <n v="100001758"/>
    <s v="Kimberly"/>
    <s v="Lewis"/>
    <x v="1"/>
    <x v="28"/>
    <x v="0"/>
    <s v="White Collar"/>
    <x v="178"/>
    <n v="2741.32"/>
  </r>
  <r>
    <n v="100001759"/>
    <s v="Colin"/>
    <s v="Edmunds"/>
    <x v="0"/>
    <x v="4"/>
    <x v="0"/>
    <s v="White Collar"/>
    <x v="178"/>
    <n v="49172.92"/>
  </r>
  <r>
    <n v="100001760"/>
    <s v="Jasmine"/>
    <s v="Vaughan"/>
    <x v="1"/>
    <x v="12"/>
    <x v="0"/>
    <s v="Other"/>
    <x v="178"/>
    <n v="9106.91"/>
  </r>
  <r>
    <n v="100001761"/>
    <s v="Deirdre"/>
    <s v="Paterson"/>
    <x v="1"/>
    <x v="13"/>
    <x v="0"/>
    <s v="Blue Collar"/>
    <x v="178"/>
    <n v="23951.94"/>
  </r>
  <r>
    <n v="200001762"/>
    <s v="Stephen"/>
    <s v="Marshall"/>
    <x v="0"/>
    <x v="19"/>
    <x v="3"/>
    <s v="Blue Collar"/>
    <x v="178"/>
    <n v="12610.37"/>
  </r>
  <r>
    <n v="200001763"/>
    <s v="Jason"/>
    <s v="Ball"/>
    <x v="0"/>
    <x v="41"/>
    <x v="3"/>
    <s v="Other"/>
    <x v="178"/>
    <n v="44192.29"/>
  </r>
  <r>
    <n v="200001764"/>
    <s v="Dylan"/>
    <s v="Paige"/>
    <x v="0"/>
    <x v="40"/>
    <x v="3"/>
    <s v="Blue Collar"/>
    <x v="178"/>
    <n v="76554.320000000007"/>
  </r>
  <r>
    <n v="200001765"/>
    <s v="Gavin"/>
    <s v="Dyer"/>
    <x v="0"/>
    <x v="17"/>
    <x v="3"/>
    <s v="Other"/>
    <x v="178"/>
    <n v="37817.35"/>
  </r>
  <r>
    <n v="200001766"/>
    <s v="Jasmine"/>
    <s v="Dickens"/>
    <x v="1"/>
    <x v="40"/>
    <x v="3"/>
    <s v="Blue Collar"/>
    <x v="178"/>
    <n v="31824.47"/>
  </r>
  <r>
    <n v="300001767"/>
    <s v="Evan"/>
    <s v="Bell"/>
    <x v="0"/>
    <x v="16"/>
    <x v="2"/>
    <s v="Blue Collar"/>
    <x v="178"/>
    <n v="56244.09"/>
  </r>
  <r>
    <n v="400001768"/>
    <s v="Sally"/>
    <s v="Dyer"/>
    <x v="1"/>
    <x v="30"/>
    <x v="1"/>
    <s v="Other"/>
    <x v="178"/>
    <n v="32458.74"/>
  </r>
  <r>
    <n v="400001769"/>
    <s v="Donna"/>
    <s v="Chapman"/>
    <x v="1"/>
    <x v="38"/>
    <x v="1"/>
    <s v="Other"/>
    <x v="178"/>
    <n v="25544.09"/>
  </r>
  <r>
    <n v="100001770"/>
    <s v="Steven"/>
    <s v="Morgan"/>
    <x v="0"/>
    <x v="21"/>
    <x v="0"/>
    <s v="Other"/>
    <x v="179"/>
    <n v="58955.8"/>
  </r>
  <r>
    <n v="100001771"/>
    <s v="Trevor"/>
    <s v="Hughes"/>
    <x v="0"/>
    <x v="24"/>
    <x v="0"/>
    <s v="White Collar"/>
    <x v="179"/>
    <n v="1387.14"/>
  </r>
  <r>
    <n v="100001772"/>
    <s v="Abigail"/>
    <s v="Randall"/>
    <x v="1"/>
    <x v="14"/>
    <x v="0"/>
    <s v="Other"/>
    <x v="179"/>
    <n v="31706.03"/>
  </r>
  <r>
    <n v="100001773"/>
    <s v="Andrea"/>
    <s v="Carr"/>
    <x v="1"/>
    <x v="28"/>
    <x v="0"/>
    <s v="White Collar"/>
    <x v="179"/>
    <n v="75332.399999999994"/>
  </r>
  <r>
    <n v="100001774"/>
    <s v="Victor"/>
    <s v="Gray"/>
    <x v="0"/>
    <x v="1"/>
    <x v="0"/>
    <s v="White Collar"/>
    <x v="179"/>
    <n v="43670.720000000001"/>
  </r>
  <r>
    <n v="200001775"/>
    <s v="Sean"/>
    <s v="Marshall"/>
    <x v="0"/>
    <x v="35"/>
    <x v="3"/>
    <s v="Blue Collar"/>
    <x v="179"/>
    <n v="38865.85"/>
  </r>
  <r>
    <n v="200001776"/>
    <s v="Frank"/>
    <s v="Buckland"/>
    <x v="0"/>
    <x v="17"/>
    <x v="3"/>
    <s v="Blue Collar"/>
    <x v="179"/>
    <n v="2793.81"/>
  </r>
  <r>
    <n v="200001777"/>
    <s v="Theresa"/>
    <s v="Terry"/>
    <x v="1"/>
    <x v="25"/>
    <x v="3"/>
    <s v="White Collar"/>
    <x v="179"/>
    <n v="39552.660000000003"/>
  </r>
  <r>
    <n v="200001778"/>
    <s v="Deirdre"/>
    <s v="Simpson"/>
    <x v="1"/>
    <x v="12"/>
    <x v="3"/>
    <s v="Other"/>
    <x v="179"/>
    <n v="33617.08"/>
  </r>
  <r>
    <n v="300001779"/>
    <s v="Yvonne"/>
    <s v="Brown"/>
    <x v="1"/>
    <x v="14"/>
    <x v="2"/>
    <s v="White Collar"/>
    <x v="179"/>
    <n v="104416.12"/>
  </r>
  <r>
    <n v="300001780"/>
    <s v="Virginia"/>
    <s v="Rampling"/>
    <x v="1"/>
    <x v="12"/>
    <x v="2"/>
    <s v="White Collar"/>
    <x v="179"/>
    <n v="37585.24"/>
  </r>
  <r>
    <n v="400001781"/>
    <s v="Irene"/>
    <s v="Chapman"/>
    <x v="1"/>
    <x v="36"/>
    <x v="1"/>
    <s v="Other"/>
    <x v="179"/>
    <n v="82229.100000000006"/>
  </r>
  <r>
    <n v="100001782"/>
    <s v="Phil"/>
    <s v="Wallace"/>
    <x v="0"/>
    <x v="1"/>
    <x v="0"/>
    <s v="Other"/>
    <x v="180"/>
    <n v="27049.56"/>
  </r>
  <r>
    <n v="100001783"/>
    <s v="Frank"/>
    <s v="Cornish"/>
    <x v="0"/>
    <x v="13"/>
    <x v="0"/>
    <s v="White Collar"/>
    <x v="180"/>
    <n v="12728.29"/>
  </r>
  <r>
    <n v="100001784"/>
    <s v="Oliver"/>
    <s v="Russell"/>
    <x v="0"/>
    <x v="38"/>
    <x v="0"/>
    <s v="White Collar"/>
    <x v="180"/>
    <n v="82862.73"/>
  </r>
  <r>
    <n v="100001785"/>
    <s v="Angela"/>
    <s v="White"/>
    <x v="1"/>
    <x v="30"/>
    <x v="0"/>
    <s v="Other"/>
    <x v="180"/>
    <n v="27683.73"/>
  </r>
  <r>
    <n v="100001786"/>
    <s v="Jan"/>
    <s v="Hunter"/>
    <x v="1"/>
    <x v="38"/>
    <x v="0"/>
    <s v="White Collar"/>
    <x v="180"/>
    <n v="142461.87"/>
  </r>
  <r>
    <n v="100001787"/>
    <s v="Charles"/>
    <s v="Ross"/>
    <x v="0"/>
    <x v="38"/>
    <x v="0"/>
    <s v="White Collar"/>
    <x v="180"/>
    <n v="46762.44"/>
  </r>
  <r>
    <n v="100001788"/>
    <s v="Liam"/>
    <s v="Dickens"/>
    <x v="0"/>
    <x v="38"/>
    <x v="0"/>
    <s v="Blue Collar"/>
    <x v="180"/>
    <n v="34984.35"/>
  </r>
  <r>
    <n v="100001789"/>
    <s v="Kylie"/>
    <s v="Glover"/>
    <x v="1"/>
    <x v="10"/>
    <x v="0"/>
    <s v="Other"/>
    <x v="180"/>
    <n v="18016.11"/>
  </r>
  <r>
    <n v="100001790"/>
    <s v="Heather"/>
    <s v="Hudson"/>
    <x v="1"/>
    <x v="9"/>
    <x v="0"/>
    <s v="White Collar"/>
    <x v="180"/>
    <n v="61414.37"/>
  </r>
  <r>
    <n v="200001791"/>
    <s v="Joshua"/>
    <s v="Paterson"/>
    <x v="0"/>
    <x v="8"/>
    <x v="3"/>
    <s v="Blue Collar"/>
    <x v="180"/>
    <n v="36871.21"/>
  </r>
  <r>
    <n v="200001792"/>
    <s v="Alexandra"/>
    <s v="Bond"/>
    <x v="1"/>
    <x v="27"/>
    <x v="3"/>
    <s v="Other"/>
    <x v="180"/>
    <n v="37604.230000000003"/>
  </r>
  <r>
    <n v="300001793"/>
    <s v="Owen"/>
    <s v="Tucker"/>
    <x v="0"/>
    <x v="22"/>
    <x v="2"/>
    <s v="White Collar"/>
    <x v="180"/>
    <n v="20739.009999999998"/>
  </r>
  <r>
    <n v="400001794"/>
    <s v="James"/>
    <s v="Terry"/>
    <x v="0"/>
    <x v="24"/>
    <x v="1"/>
    <s v="Blue Collar"/>
    <x v="180"/>
    <n v="6426.13"/>
  </r>
  <r>
    <n v="400001795"/>
    <s v="Yvonne"/>
    <s v="Wilson"/>
    <x v="1"/>
    <x v="14"/>
    <x v="1"/>
    <s v="White Collar"/>
    <x v="180"/>
    <n v="21823.82"/>
  </r>
  <r>
    <n v="100001796"/>
    <s v="Boris"/>
    <s v="Terry"/>
    <x v="0"/>
    <x v="12"/>
    <x v="0"/>
    <s v="Blue Collar"/>
    <x v="181"/>
    <n v="11743.7"/>
  </r>
  <r>
    <n v="100001797"/>
    <s v="Dylan"/>
    <s v="Randall"/>
    <x v="0"/>
    <x v="31"/>
    <x v="0"/>
    <s v="White Collar"/>
    <x v="181"/>
    <n v="2716.79"/>
  </r>
  <r>
    <n v="100001798"/>
    <s v="Tim"/>
    <s v="Turner"/>
    <x v="0"/>
    <x v="20"/>
    <x v="0"/>
    <s v="White Collar"/>
    <x v="181"/>
    <n v="11186.61"/>
  </r>
  <r>
    <n v="100001799"/>
    <s v="Ian"/>
    <s v="Hughes"/>
    <x v="0"/>
    <x v="10"/>
    <x v="0"/>
    <s v="White Collar"/>
    <x v="181"/>
    <n v="17435.099999999999"/>
  </r>
  <r>
    <n v="100001800"/>
    <s v="Keith"/>
    <s v="Abraham"/>
    <x v="0"/>
    <x v="24"/>
    <x v="0"/>
    <s v="Blue Collar"/>
    <x v="181"/>
    <n v="5019.6499999999996"/>
  </r>
  <r>
    <n v="100001801"/>
    <s v="John"/>
    <s v="Peake"/>
    <x v="0"/>
    <x v="1"/>
    <x v="0"/>
    <s v="White Collar"/>
    <x v="181"/>
    <n v="57914.55"/>
  </r>
  <r>
    <n v="100001802"/>
    <s v="Amanda"/>
    <s v="Coleman"/>
    <x v="1"/>
    <x v="16"/>
    <x v="0"/>
    <s v="Blue Collar"/>
    <x v="181"/>
    <n v="43298.43"/>
  </r>
  <r>
    <n v="100001803"/>
    <s v="Faith"/>
    <s v="Sutherland"/>
    <x v="1"/>
    <x v="30"/>
    <x v="0"/>
    <s v="White Collar"/>
    <x v="181"/>
    <n v="21477.46"/>
  </r>
  <r>
    <n v="100001804"/>
    <s v="Una"/>
    <s v="Terry"/>
    <x v="1"/>
    <x v="4"/>
    <x v="0"/>
    <s v="White Collar"/>
    <x v="181"/>
    <n v="42816.160000000003"/>
  </r>
  <r>
    <n v="100001805"/>
    <s v="Stewart"/>
    <s v="Short"/>
    <x v="0"/>
    <x v="7"/>
    <x v="0"/>
    <s v="Other"/>
    <x v="181"/>
    <n v="13701.41"/>
  </r>
  <r>
    <n v="100001806"/>
    <s v="Justin"/>
    <s v="Wilson"/>
    <x v="0"/>
    <x v="22"/>
    <x v="0"/>
    <s v="Other"/>
    <x v="181"/>
    <n v="111412.09"/>
  </r>
  <r>
    <n v="200001807"/>
    <s v="Penelope"/>
    <s v="Parr"/>
    <x v="1"/>
    <x v="41"/>
    <x v="3"/>
    <s v="Other"/>
    <x v="181"/>
    <n v="17076.490000000002"/>
  </r>
  <r>
    <n v="200001808"/>
    <s v="Fiona"/>
    <s v="Edmunds"/>
    <x v="1"/>
    <x v="28"/>
    <x v="3"/>
    <s v="White Collar"/>
    <x v="181"/>
    <n v="15352.66"/>
  </r>
  <r>
    <n v="200001809"/>
    <s v="Hannah"/>
    <s v="Clark"/>
    <x v="1"/>
    <x v="41"/>
    <x v="3"/>
    <s v="Other"/>
    <x v="181"/>
    <n v="37009.51"/>
  </r>
  <r>
    <n v="200001810"/>
    <s v="Jason"/>
    <s v="Campbell"/>
    <x v="0"/>
    <x v="7"/>
    <x v="3"/>
    <s v="Other"/>
    <x v="181"/>
    <n v="37752.35"/>
  </r>
  <r>
    <n v="200001811"/>
    <s v="Dan"/>
    <s v="Rutherford"/>
    <x v="0"/>
    <x v="27"/>
    <x v="3"/>
    <s v="Other"/>
    <x v="181"/>
    <n v="73457.73"/>
  </r>
  <r>
    <n v="300001812"/>
    <s v="Boris"/>
    <s v="Lambert"/>
    <x v="0"/>
    <x v="12"/>
    <x v="2"/>
    <s v="White Collar"/>
    <x v="181"/>
    <n v="105439.61"/>
  </r>
  <r>
    <n v="300001813"/>
    <s v="Neil"/>
    <s v="Jones"/>
    <x v="0"/>
    <x v="10"/>
    <x v="2"/>
    <s v="White Collar"/>
    <x v="181"/>
    <n v="32430.78"/>
  </r>
  <r>
    <n v="400001814"/>
    <s v="Alison"/>
    <s v="Scott"/>
    <x v="1"/>
    <x v="3"/>
    <x v="1"/>
    <s v="White Collar"/>
    <x v="181"/>
    <n v="45259.78"/>
  </r>
  <r>
    <n v="400001815"/>
    <s v="Madeleine"/>
    <s v="Payne"/>
    <x v="1"/>
    <x v="22"/>
    <x v="1"/>
    <s v="Blue Collar"/>
    <x v="181"/>
    <n v="17947.14"/>
  </r>
  <r>
    <n v="400001816"/>
    <s v="Emily"/>
    <s v="Alsop"/>
    <x v="1"/>
    <x v="20"/>
    <x v="1"/>
    <s v="Other"/>
    <x v="181"/>
    <n v="29644.65"/>
  </r>
  <r>
    <n v="400001817"/>
    <s v="Colin"/>
    <s v="Stewart"/>
    <x v="0"/>
    <x v="22"/>
    <x v="1"/>
    <s v="White Collar"/>
    <x v="181"/>
    <n v="26311.08"/>
  </r>
  <r>
    <n v="400001818"/>
    <s v="James"/>
    <s v="May"/>
    <x v="0"/>
    <x v="7"/>
    <x v="1"/>
    <s v="White Collar"/>
    <x v="181"/>
    <n v="20111.98"/>
  </r>
  <r>
    <n v="100001819"/>
    <s v="Lucas"/>
    <s v="Mills"/>
    <x v="0"/>
    <x v="4"/>
    <x v="0"/>
    <s v="Other"/>
    <x v="182"/>
    <n v="49610.44"/>
  </r>
  <r>
    <n v="100001820"/>
    <s v="Edward"/>
    <s v="Clarkson"/>
    <x v="0"/>
    <x v="24"/>
    <x v="0"/>
    <s v="White Collar"/>
    <x v="182"/>
    <n v="39495.99"/>
  </r>
  <r>
    <n v="100001821"/>
    <s v="Sonia"/>
    <s v="Henderson"/>
    <x v="1"/>
    <x v="30"/>
    <x v="0"/>
    <s v="White Collar"/>
    <x v="182"/>
    <n v="96673.11"/>
  </r>
  <r>
    <n v="100001822"/>
    <s v="Jasmine"/>
    <s v="Hamilton"/>
    <x v="1"/>
    <x v="4"/>
    <x v="0"/>
    <s v="Other"/>
    <x v="182"/>
    <n v="52220.12"/>
  </r>
  <r>
    <n v="100001823"/>
    <s v="Natalie"/>
    <s v="Paige"/>
    <x v="1"/>
    <x v="1"/>
    <x v="0"/>
    <s v="White Collar"/>
    <x v="182"/>
    <n v="149684.4"/>
  </r>
  <r>
    <n v="100001824"/>
    <s v="Jason"/>
    <s v="Powell"/>
    <x v="0"/>
    <x v="22"/>
    <x v="0"/>
    <s v="Other"/>
    <x v="182"/>
    <n v="20770.080000000002"/>
  </r>
  <r>
    <n v="100001825"/>
    <s v="Alan"/>
    <s v="Brown"/>
    <x v="0"/>
    <x v="1"/>
    <x v="0"/>
    <s v="White Collar"/>
    <x v="182"/>
    <n v="25949.97"/>
  </r>
  <r>
    <n v="200001826"/>
    <s v="Simon"/>
    <s v="Pullman"/>
    <x v="0"/>
    <x v="45"/>
    <x v="3"/>
    <s v="Other"/>
    <x v="182"/>
    <n v="76842.899999999994"/>
  </r>
  <r>
    <n v="200001827"/>
    <s v="Luke"/>
    <s v="Harris"/>
    <x v="0"/>
    <x v="28"/>
    <x v="3"/>
    <s v="Blue Collar"/>
    <x v="182"/>
    <n v="83071.960000000006"/>
  </r>
  <r>
    <n v="200001828"/>
    <s v="Jane"/>
    <s v="Burgess"/>
    <x v="1"/>
    <x v="23"/>
    <x v="3"/>
    <s v="Blue Collar"/>
    <x v="182"/>
    <n v="14569.22"/>
  </r>
  <r>
    <n v="200001829"/>
    <s v="Amy"/>
    <s v="Morrison"/>
    <x v="1"/>
    <x v="17"/>
    <x v="3"/>
    <s v="Other"/>
    <x v="182"/>
    <n v="49205.24"/>
  </r>
  <r>
    <n v="300001830"/>
    <s v="David"/>
    <s v="Slater"/>
    <x v="0"/>
    <x v="30"/>
    <x v="2"/>
    <s v="White Collar"/>
    <x v="182"/>
    <n v="64191.88"/>
  </r>
  <r>
    <n v="100001831"/>
    <s v="Grace"/>
    <s v="Peake"/>
    <x v="1"/>
    <x v="1"/>
    <x v="0"/>
    <s v="White Collar"/>
    <x v="183"/>
    <n v="52702.58"/>
  </r>
  <r>
    <n v="100001832"/>
    <s v="Nicola"/>
    <s v="Blake"/>
    <x v="1"/>
    <x v="12"/>
    <x v="0"/>
    <s v="Other"/>
    <x v="183"/>
    <n v="10057.040000000001"/>
  </r>
  <r>
    <n v="100001833"/>
    <s v="Oliver"/>
    <s v="Kelly"/>
    <x v="0"/>
    <x v="24"/>
    <x v="0"/>
    <s v="White Collar"/>
    <x v="183"/>
    <n v="31637.34"/>
  </r>
  <r>
    <n v="100001834"/>
    <s v="Jasmine"/>
    <s v="Scott"/>
    <x v="1"/>
    <x v="14"/>
    <x v="0"/>
    <s v="White Collar"/>
    <x v="183"/>
    <n v="7355.25"/>
  </r>
  <r>
    <n v="100001835"/>
    <s v="Stephanie"/>
    <s v="Mackay"/>
    <x v="1"/>
    <x v="16"/>
    <x v="0"/>
    <s v="White Collar"/>
    <x v="183"/>
    <n v="18745.419999999998"/>
  </r>
  <r>
    <n v="200001836"/>
    <s v="Luke"/>
    <s v="Mitchell"/>
    <x v="0"/>
    <x v="15"/>
    <x v="3"/>
    <s v="Other"/>
    <x v="183"/>
    <n v="10783.63"/>
  </r>
  <r>
    <n v="200001837"/>
    <s v="Max"/>
    <s v="Springer"/>
    <x v="0"/>
    <x v="27"/>
    <x v="3"/>
    <s v="White Collar"/>
    <x v="183"/>
    <n v="43176.47"/>
  </r>
  <r>
    <n v="200001838"/>
    <s v="Dominic"/>
    <s v="May"/>
    <x v="0"/>
    <x v="11"/>
    <x v="3"/>
    <s v="Other"/>
    <x v="183"/>
    <n v="10369.950000000001"/>
  </r>
  <r>
    <n v="300001839"/>
    <s v="Sue"/>
    <s v="MacLeod"/>
    <x v="1"/>
    <x v="4"/>
    <x v="2"/>
    <s v="White Collar"/>
    <x v="183"/>
    <n v="23308.43"/>
  </r>
  <r>
    <n v="300001840"/>
    <s v="Anne"/>
    <s v="Hardacre"/>
    <x v="1"/>
    <x v="1"/>
    <x v="2"/>
    <s v="White Collar"/>
    <x v="183"/>
    <n v="97934.55"/>
  </r>
  <r>
    <n v="300001841"/>
    <s v="Emily"/>
    <s v="Mills"/>
    <x v="1"/>
    <x v="3"/>
    <x v="2"/>
    <s v="Blue Collar"/>
    <x v="183"/>
    <n v="33207.29"/>
  </r>
  <r>
    <n v="300001842"/>
    <s v="Heather"/>
    <s v="Graham"/>
    <x v="1"/>
    <x v="30"/>
    <x v="2"/>
    <s v="White Collar"/>
    <x v="183"/>
    <n v="25049.02"/>
  </r>
  <r>
    <n v="300001843"/>
    <s v="Alan"/>
    <s v="Lambert"/>
    <x v="0"/>
    <x v="7"/>
    <x v="2"/>
    <s v="Other"/>
    <x v="183"/>
    <n v="95833.44"/>
  </r>
  <r>
    <n v="300001844"/>
    <s v="Keith"/>
    <s v="Turner"/>
    <x v="0"/>
    <x v="22"/>
    <x v="2"/>
    <s v="Other"/>
    <x v="183"/>
    <n v="78755.009999999995"/>
  </r>
  <r>
    <n v="400001845"/>
    <s v="Katherine"/>
    <s v="Hamilton"/>
    <x v="1"/>
    <x v="34"/>
    <x v="1"/>
    <s v="Other"/>
    <x v="183"/>
    <n v="88579.21"/>
  </r>
  <r>
    <n v="100001846"/>
    <s v="Amelia"/>
    <s v="Vance"/>
    <x v="1"/>
    <x v="5"/>
    <x v="0"/>
    <s v="White Collar"/>
    <x v="184"/>
    <n v="45527.09"/>
  </r>
  <r>
    <n v="100001847"/>
    <s v="Una"/>
    <s v="Alsop"/>
    <x v="1"/>
    <x v="13"/>
    <x v="0"/>
    <s v="White Collar"/>
    <x v="184"/>
    <n v="44576.62"/>
  </r>
  <r>
    <n v="100001848"/>
    <s v="Amy"/>
    <s v="MacDonald"/>
    <x v="1"/>
    <x v="30"/>
    <x v="0"/>
    <s v="White Collar"/>
    <x v="184"/>
    <n v="54174.39"/>
  </r>
  <r>
    <n v="100001849"/>
    <s v="Cameron"/>
    <s v="Roberts"/>
    <x v="0"/>
    <x v="7"/>
    <x v="0"/>
    <s v="Other"/>
    <x v="184"/>
    <n v="43473.64"/>
  </r>
  <r>
    <n v="100001850"/>
    <s v="Angela"/>
    <s v="Peters"/>
    <x v="1"/>
    <x v="3"/>
    <x v="0"/>
    <s v="White Collar"/>
    <x v="184"/>
    <n v="52248.29"/>
  </r>
  <r>
    <n v="100001851"/>
    <s v="Joe"/>
    <s v="Springer"/>
    <x v="0"/>
    <x v="5"/>
    <x v="0"/>
    <s v="White Collar"/>
    <x v="184"/>
    <n v="34879.769999999997"/>
  </r>
  <r>
    <n v="100001852"/>
    <s v="Jonathan"/>
    <s v="Butler"/>
    <x v="0"/>
    <x v="13"/>
    <x v="0"/>
    <s v="White Collar"/>
    <x v="184"/>
    <n v="58911.42"/>
  </r>
  <r>
    <n v="100001853"/>
    <s v="Jason"/>
    <s v="Lewis"/>
    <x v="0"/>
    <x v="7"/>
    <x v="0"/>
    <s v="White Collar"/>
    <x v="184"/>
    <n v="96422.41"/>
  </r>
  <r>
    <n v="100001854"/>
    <s v="Donna"/>
    <s v="Scott"/>
    <x v="1"/>
    <x v="5"/>
    <x v="0"/>
    <s v="White Collar"/>
    <x v="184"/>
    <n v="57333.77"/>
  </r>
  <r>
    <n v="300001855"/>
    <s v="Lily"/>
    <s v="Graham"/>
    <x v="1"/>
    <x v="24"/>
    <x v="2"/>
    <s v="Other"/>
    <x v="184"/>
    <n v="40857.78"/>
  </r>
  <r>
    <n v="300001856"/>
    <s v="Virginia"/>
    <s v="Lambert"/>
    <x v="1"/>
    <x v="5"/>
    <x v="2"/>
    <s v="White Collar"/>
    <x v="184"/>
    <n v="69152.929999999993"/>
  </r>
  <r>
    <n v="300001857"/>
    <s v="Lisa"/>
    <s v="Mathis"/>
    <x v="1"/>
    <x v="28"/>
    <x v="2"/>
    <s v="White Collar"/>
    <x v="184"/>
    <n v="3840.53"/>
  </r>
  <r>
    <n v="300001858"/>
    <s v="Charles"/>
    <s v="Vaughan"/>
    <x v="0"/>
    <x v="40"/>
    <x v="2"/>
    <s v="Other"/>
    <x v="184"/>
    <n v="69281.64"/>
  </r>
  <r>
    <n v="100001859"/>
    <s v="Anna"/>
    <s v="Fisher"/>
    <x v="1"/>
    <x v="22"/>
    <x v="0"/>
    <s v="White Collar"/>
    <x v="185"/>
    <n v="4750.24"/>
  </r>
  <r>
    <n v="100001860"/>
    <s v="Nicholas"/>
    <s v="Nash"/>
    <x v="0"/>
    <x v="9"/>
    <x v="0"/>
    <s v="White Collar"/>
    <x v="185"/>
    <n v="82664.039999999994"/>
  </r>
  <r>
    <n v="100001861"/>
    <s v="Julian"/>
    <s v="Mackenzie"/>
    <x v="0"/>
    <x v="21"/>
    <x v="0"/>
    <s v="Other"/>
    <x v="185"/>
    <n v="57623.58"/>
  </r>
  <r>
    <n v="100001862"/>
    <s v="Colin"/>
    <s v="Mathis"/>
    <x v="0"/>
    <x v="22"/>
    <x v="0"/>
    <s v="White Collar"/>
    <x v="185"/>
    <n v="19680.669999999998"/>
  </r>
  <r>
    <n v="100001863"/>
    <s v="Zoe"/>
    <s v="Kerr"/>
    <x v="1"/>
    <x v="12"/>
    <x v="0"/>
    <s v="White Collar"/>
    <x v="185"/>
    <n v="2566.77"/>
  </r>
  <r>
    <n v="100001864"/>
    <s v="Bernadette"/>
    <s v="Allan"/>
    <x v="1"/>
    <x v="38"/>
    <x v="0"/>
    <s v="White Collar"/>
    <x v="185"/>
    <n v="20894.82"/>
  </r>
  <r>
    <n v="100001865"/>
    <s v="Ella"/>
    <s v="Stewart"/>
    <x v="1"/>
    <x v="12"/>
    <x v="0"/>
    <s v="White Collar"/>
    <x v="185"/>
    <n v="61324.68"/>
  </r>
  <r>
    <n v="200001866"/>
    <s v="Jason"/>
    <s v="Rees"/>
    <x v="0"/>
    <x v="9"/>
    <x v="3"/>
    <s v="Blue Collar"/>
    <x v="185"/>
    <n v="99604.38"/>
  </r>
  <r>
    <n v="200001867"/>
    <s v="Victor"/>
    <s v="Jackson"/>
    <x v="0"/>
    <x v="6"/>
    <x v="3"/>
    <s v="White Collar"/>
    <x v="185"/>
    <n v="55410.06"/>
  </r>
  <r>
    <n v="200001868"/>
    <s v="Alexandra"/>
    <s v="Alsop"/>
    <x v="1"/>
    <x v="6"/>
    <x v="3"/>
    <s v="Other"/>
    <x v="185"/>
    <n v="39884.78"/>
  </r>
  <r>
    <n v="200001869"/>
    <s v="Sam"/>
    <s v="Skinner"/>
    <x v="0"/>
    <x v="23"/>
    <x v="3"/>
    <s v="Other"/>
    <x v="185"/>
    <n v="50189.26"/>
  </r>
  <r>
    <n v="200001870"/>
    <s v="Carl"/>
    <s v="Young"/>
    <x v="0"/>
    <x v="18"/>
    <x v="3"/>
    <s v="Blue Collar"/>
    <x v="185"/>
    <n v="71796.679999999993"/>
  </r>
  <r>
    <n v="200001871"/>
    <s v="Oliver"/>
    <s v="Springer"/>
    <x v="0"/>
    <x v="2"/>
    <x v="3"/>
    <s v="Other"/>
    <x v="185"/>
    <n v="16842.71"/>
  </r>
  <r>
    <n v="300001872"/>
    <s v="Alexander"/>
    <s v="Dyer"/>
    <x v="0"/>
    <x v="36"/>
    <x v="2"/>
    <s v="Blue Collar"/>
    <x v="185"/>
    <n v="68184.25"/>
  </r>
  <r>
    <n v="300001873"/>
    <s v="Joanne"/>
    <s v="Rutherford"/>
    <x v="1"/>
    <x v="21"/>
    <x v="2"/>
    <s v="Other"/>
    <x v="185"/>
    <n v="31028.36"/>
  </r>
  <r>
    <n v="300001874"/>
    <s v="Jason"/>
    <s v="Mathis"/>
    <x v="0"/>
    <x v="8"/>
    <x v="2"/>
    <s v="White Collar"/>
    <x v="185"/>
    <n v="80922.09"/>
  </r>
  <r>
    <n v="100001875"/>
    <s v="Evan"/>
    <s v="Hardacre"/>
    <x v="0"/>
    <x v="9"/>
    <x v="0"/>
    <s v="Blue Collar"/>
    <x v="186"/>
    <n v="37812.730000000003"/>
  </r>
  <r>
    <n v="100001876"/>
    <s v="Sebastian"/>
    <s v="Wilson"/>
    <x v="0"/>
    <x v="2"/>
    <x v="0"/>
    <s v="White Collar"/>
    <x v="186"/>
    <n v="47359.83"/>
  </r>
  <r>
    <n v="100001877"/>
    <s v="Ruth"/>
    <s v="Poole"/>
    <x v="1"/>
    <x v="16"/>
    <x v="0"/>
    <s v="White Collar"/>
    <x v="186"/>
    <n v="24927.19"/>
  </r>
  <r>
    <n v="100001878"/>
    <s v="Carol"/>
    <s v="Bond"/>
    <x v="1"/>
    <x v="13"/>
    <x v="0"/>
    <s v="Blue Collar"/>
    <x v="186"/>
    <n v="38379.599999999999"/>
  </r>
  <r>
    <n v="100001879"/>
    <s v="Karen"/>
    <s v="Lawrence"/>
    <x v="1"/>
    <x v="14"/>
    <x v="0"/>
    <s v="Blue Collar"/>
    <x v="186"/>
    <n v="74238.83"/>
  </r>
  <r>
    <n v="100001880"/>
    <s v="Harry"/>
    <s v="Powell"/>
    <x v="0"/>
    <x v="12"/>
    <x v="0"/>
    <s v="White Collar"/>
    <x v="186"/>
    <n v="14699.68"/>
  </r>
  <r>
    <n v="100001881"/>
    <s v="Jane"/>
    <s v="Payne"/>
    <x v="1"/>
    <x v="31"/>
    <x v="0"/>
    <s v="Other"/>
    <x v="186"/>
    <n v="52619.82"/>
  </r>
  <r>
    <n v="100001882"/>
    <s v="Jonathan"/>
    <s v="Rampling"/>
    <x v="0"/>
    <x v="29"/>
    <x v="0"/>
    <s v="White Collar"/>
    <x v="186"/>
    <n v="75913.850000000006"/>
  </r>
  <r>
    <n v="100001883"/>
    <s v="Adrian"/>
    <s v="Thomson"/>
    <x v="0"/>
    <x v="20"/>
    <x v="0"/>
    <s v="White Collar"/>
    <x v="186"/>
    <n v="78020.289999999994"/>
  </r>
  <r>
    <n v="200001884"/>
    <s v="Sally"/>
    <s v="Turner"/>
    <x v="1"/>
    <x v="31"/>
    <x v="3"/>
    <s v="Other"/>
    <x v="186"/>
    <n v="2799.27"/>
  </r>
  <r>
    <n v="300001885"/>
    <s v="Adrian"/>
    <s v="Edmunds"/>
    <x v="0"/>
    <x v="3"/>
    <x v="2"/>
    <s v="White Collar"/>
    <x v="186"/>
    <n v="10728.12"/>
  </r>
  <r>
    <n v="300001886"/>
    <s v="Lisa"/>
    <s v="Watson"/>
    <x v="1"/>
    <x v="1"/>
    <x v="2"/>
    <s v="White Collar"/>
    <x v="186"/>
    <n v="49859.68"/>
  </r>
  <r>
    <n v="100001887"/>
    <s v="Liam"/>
    <s v="Glover"/>
    <x v="0"/>
    <x v="9"/>
    <x v="0"/>
    <s v="White Collar"/>
    <x v="187"/>
    <n v="107130.48"/>
  </r>
  <r>
    <n v="100001888"/>
    <s v="Michelle"/>
    <s v="Gibson"/>
    <x v="1"/>
    <x v="7"/>
    <x v="0"/>
    <s v="White Collar"/>
    <x v="187"/>
    <n v="14301.43"/>
  </r>
  <r>
    <n v="100001889"/>
    <s v="Molly"/>
    <s v="Hunter"/>
    <x v="1"/>
    <x v="1"/>
    <x v="0"/>
    <s v="White Collar"/>
    <x v="187"/>
    <n v="107351.49"/>
  </r>
  <r>
    <n v="200001890"/>
    <s v="Joan"/>
    <s v="North"/>
    <x v="1"/>
    <x v="45"/>
    <x v="3"/>
    <s v="Other"/>
    <x v="187"/>
    <n v="86610.74"/>
  </r>
  <r>
    <n v="200001891"/>
    <s v="Tim"/>
    <s v="Marshall"/>
    <x v="0"/>
    <x v="28"/>
    <x v="3"/>
    <s v="Blue Collar"/>
    <x v="187"/>
    <n v="59561.46"/>
  </r>
  <r>
    <n v="200001892"/>
    <s v="Stewart"/>
    <s v="Hill"/>
    <x v="0"/>
    <x v="16"/>
    <x v="3"/>
    <s v="Blue Collar"/>
    <x v="187"/>
    <n v="34985.760000000002"/>
  </r>
  <r>
    <n v="300001893"/>
    <s v="Leah"/>
    <s v="Glover"/>
    <x v="1"/>
    <x v="22"/>
    <x v="2"/>
    <s v="Blue Collar"/>
    <x v="187"/>
    <n v="41917.78"/>
  </r>
  <r>
    <n v="100001894"/>
    <s v="Jan"/>
    <s v="Lee"/>
    <x v="1"/>
    <x v="1"/>
    <x v="0"/>
    <s v="White Collar"/>
    <x v="188"/>
    <n v="95423"/>
  </r>
  <r>
    <n v="100001895"/>
    <s v="Michelle"/>
    <s v="Jackson"/>
    <x v="1"/>
    <x v="10"/>
    <x v="0"/>
    <s v="Blue Collar"/>
    <x v="188"/>
    <n v="54045.93"/>
  </r>
  <r>
    <n v="100001896"/>
    <s v="Colin"/>
    <s v="Wallace"/>
    <x v="0"/>
    <x v="7"/>
    <x v="0"/>
    <s v="White Collar"/>
    <x v="188"/>
    <n v="24025.119999999999"/>
  </r>
  <r>
    <n v="100001897"/>
    <s v="James"/>
    <s v="Wilkins"/>
    <x v="0"/>
    <x v="12"/>
    <x v="0"/>
    <s v="White Collar"/>
    <x v="188"/>
    <n v="9780.7900000000009"/>
  </r>
  <r>
    <n v="100001898"/>
    <s v="Joseph"/>
    <s v="Bower"/>
    <x v="0"/>
    <x v="3"/>
    <x v="0"/>
    <s v="White Collar"/>
    <x v="188"/>
    <n v="31681.14"/>
  </r>
  <r>
    <n v="100001899"/>
    <s v="Lisa"/>
    <s v="Kerr"/>
    <x v="1"/>
    <x v="11"/>
    <x v="0"/>
    <s v="White Collar"/>
    <x v="188"/>
    <n v="71148.77"/>
  </r>
  <r>
    <n v="200001900"/>
    <s v="Piers"/>
    <s v="Thomson"/>
    <x v="0"/>
    <x v="19"/>
    <x v="3"/>
    <s v="Other"/>
    <x v="188"/>
    <n v="67946.539999999994"/>
  </r>
  <r>
    <n v="200001901"/>
    <s v="Owen"/>
    <s v="Watson"/>
    <x v="0"/>
    <x v="19"/>
    <x v="3"/>
    <s v="Other"/>
    <x v="188"/>
    <n v="6400.76"/>
  </r>
  <r>
    <n v="200001902"/>
    <s v="Keith"/>
    <s v="Kelly"/>
    <x v="0"/>
    <x v="46"/>
    <x v="3"/>
    <s v="Blue Collar"/>
    <x v="188"/>
    <n v="6961.67"/>
  </r>
  <r>
    <n v="200001903"/>
    <s v="Owen"/>
    <s v="Martin"/>
    <x v="0"/>
    <x v="32"/>
    <x v="3"/>
    <s v="Blue Collar"/>
    <x v="188"/>
    <n v="83943.55"/>
  </r>
  <r>
    <n v="200001904"/>
    <s v="Diane"/>
    <s v="Alsop"/>
    <x v="1"/>
    <x v="19"/>
    <x v="3"/>
    <s v="Other"/>
    <x v="188"/>
    <n v="48266.76"/>
  </r>
  <r>
    <n v="200001905"/>
    <s v="Joan"/>
    <s v="Slater"/>
    <x v="1"/>
    <x v="23"/>
    <x v="3"/>
    <s v="Other"/>
    <x v="188"/>
    <n v="99970.31"/>
  </r>
  <r>
    <n v="400001906"/>
    <s v="Alison"/>
    <s v="MacLeod"/>
    <x v="1"/>
    <x v="38"/>
    <x v="1"/>
    <s v="Other"/>
    <x v="188"/>
    <n v="31153.14"/>
  </r>
  <r>
    <n v="100001907"/>
    <s v="Sean"/>
    <s v="Taylor"/>
    <x v="0"/>
    <x v="32"/>
    <x v="0"/>
    <s v="White Collar"/>
    <x v="189"/>
    <n v="6525.63"/>
  </r>
  <r>
    <n v="100001908"/>
    <s v="Simon"/>
    <s v="Marshall"/>
    <x v="0"/>
    <x v="7"/>
    <x v="0"/>
    <s v="White Collar"/>
    <x v="189"/>
    <n v="682.97"/>
  </r>
  <r>
    <n v="100001909"/>
    <s v="Nicola"/>
    <s v="May"/>
    <x v="1"/>
    <x v="12"/>
    <x v="0"/>
    <s v="White Collar"/>
    <x v="189"/>
    <n v="23749.79"/>
  </r>
  <r>
    <n v="100001910"/>
    <s v="Jane"/>
    <s v="Kerr"/>
    <x v="1"/>
    <x v="4"/>
    <x v="0"/>
    <s v="White Collar"/>
    <x v="189"/>
    <n v="31921.61"/>
  </r>
  <r>
    <n v="200001911"/>
    <s v="Carolyn"/>
    <s v="Ogden"/>
    <x v="1"/>
    <x v="18"/>
    <x v="3"/>
    <s v="Other"/>
    <x v="189"/>
    <n v="68864.13"/>
  </r>
  <r>
    <n v="200001912"/>
    <s v="Diana"/>
    <s v="Lyman"/>
    <x v="1"/>
    <x v="25"/>
    <x v="3"/>
    <s v="Other"/>
    <x v="189"/>
    <n v="31505.8"/>
  </r>
  <r>
    <n v="300001913"/>
    <s v="Andrea"/>
    <s v="Wright"/>
    <x v="1"/>
    <x v="7"/>
    <x v="2"/>
    <s v="White Collar"/>
    <x v="189"/>
    <n v="22274.84"/>
  </r>
  <r>
    <n v="100001914"/>
    <s v="Adam"/>
    <s v="James"/>
    <x v="0"/>
    <x v="36"/>
    <x v="0"/>
    <s v="White Collar"/>
    <x v="190"/>
    <n v="38866.870000000003"/>
  </r>
  <r>
    <n v="100001915"/>
    <s v="Wanda"/>
    <s v="Cornish"/>
    <x v="1"/>
    <x v="11"/>
    <x v="0"/>
    <s v="Other"/>
    <x v="190"/>
    <n v="3140.85"/>
  </r>
  <r>
    <n v="100001916"/>
    <s v="Michael"/>
    <s v="Cornish"/>
    <x v="0"/>
    <x v="14"/>
    <x v="0"/>
    <s v="White Collar"/>
    <x v="190"/>
    <n v="33744.120000000003"/>
  </r>
  <r>
    <n v="100001917"/>
    <s v="Piers"/>
    <s v="Fraser"/>
    <x v="0"/>
    <x v="26"/>
    <x v="0"/>
    <s v="Blue Collar"/>
    <x v="190"/>
    <n v="36867.33"/>
  </r>
  <r>
    <n v="100001918"/>
    <s v="Edward"/>
    <s v="Kelly"/>
    <x v="0"/>
    <x v="3"/>
    <x v="0"/>
    <s v="White Collar"/>
    <x v="190"/>
    <n v="19407.16"/>
  </r>
  <r>
    <n v="100001919"/>
    <s v="Yvonne"/>
    <s v="Martin"/>
    <x v="1"/>
    <x v="30"/>
    <x v="0"/>
    <s v="White Collar"/>
    <x v="190"/>
    <n v="40307.9"/>
  </r>
  <r>
    <n v="100001920"/>
    <s v="Keith"/>
    <s v="Churchill"/>
    <x v="0"/>
    <x v="10"/>
    <x v="0"/>
    <s v="Blue Collar"/>
    <x v="190"/>
    <n v="77764.13"/>
  </r>
  <r>
    <n v="100001921"/>
    <s v="Donna"/>
    <s v="Marshall"/>
    <x v="1"/>
    <x v="13"/>
    <x v="0"/>
    <s v="White Collar"/>
    <x v="190"/>
    <n v="16392.78"/>
  </r>
  <r>
    <n v="100001922"/>
    <s v="Richard"/>
    <s v="Hughes"/>
    <x v="0"/>
    <x v="7"/>
    <x v="0"/>
    <s v="Blue Collar"/>
    <x v="190"/>
    <n v="50905.81"/>
  </r>
  <r>
    <n v="100001923"/>
    <s v="Carolyn"/>
    <s v="Johnston"/>
    <x v="1"/>
    <x v="31"/>
    <x v="0"/>
    <s v="White Collar"/>
    <x v="190"/>
    <n v="1607.63"/>
  </r>
  <r>
    <n v="200001924"/>
    <s v="Lillian"/>
    <s v="Walker"/>
    <x v="1"/>
    <x v="40"/>
    <x v="3"/>
    <s v="Other"/>
    <x v="190"/>
    <n v="20516.919999999998"/>
  </r>
  <r>
    <n v="300001925"/>
    <s v="Tracey"/>
    <s v="Mills"/>
    <x v="1"/>
    <x v="13"/>
    <x v="2"/>
    <s v="Other"/>
    <x v="190"/>
    <n v="7541.33"/>
  </r>
  <r>
    <n v="300001926"/>
    <s v="Steven"/>
    <s v="Bond"/>
    <x v="0"/>
    <x v="16"/>
    <x v="2"/>
    <s v="White Collar"/>
    <x v="190"/>
    <n v="27629.86"/>
  </r>
  <r>
    <n v="400001927"/>
    <s v="Emily"/>
    <s v="Burgess"/>
    <x v="1"/>
    <x v="3"/>
    <x v="1"/>
    <s v="Other"/>
    <x v="190"/>
    <n v="48145.5"/>
  </r>
  <r>
    <n v="100001928"/>
    <s v="Chloe"/>
    <s v="Mathis"/>
    <x v="1"/>
    <x v="22"/>
    <x v="0"/>
    <s v="White Collar"/>
    <x v="191"/>
    <n v="45139.58"/>
  </r>
  <r>
    <n v="100001929"/>
    <s v="Wendy"/>
    <s v="Robertson"/>
    <x v="1"/>
    <x v="14"/>
    <x v="0"/>
    <s v="White Collar"/>
    <x v="191"/>
    <n v="47072.67"/>
  </r>
  <r>
    <n v="100001930"/>
    <s v="Brian"/>
    <s v="Baker"/>
    <x v="0"/>
    <x v="4"/>
    <x v="0"/>
    <s v="White Collar"/>
    <x v="191"/>
    <n v="21765.279999999999"/>
  </r>
  <r>
    <n v="100001931"/>
    <s v="Jasmine"/>
    <s v="Kerr"/>
    <x v="1"/>
    <x v="0"/>
    <x v="0"/>
    <s v="White Collar"/>
    <x v="191"/>
    <n v="25489.13"/>
  </r>
  <r>
    <n v="100001932"/>
    <s v="Phil"/>
    <s v="Roberts"/>
    <x v="0"/>
    <x v="14"/>
    <x v="0"/>
    <s v="Other"/>
    <x v="191"/>
    <n v="32063.759999999998"/>
  </r>
  <r>
    <n v="100001933"/>
    <s v="Alan"/>
    <s v="Anderson"/>
    <x v="0"/>
    <x v="7"/>
    <x v="0"/>
    <s v="White Collar"/>
    <x v="191"/>
    <n v="19294.37"/>
  </r>
  <r>
    <n v="200001934"/>
    <s v="Peter"/>
    <s v="Bailey"/>
    <x v="0"/>
    <x v="33"/>
    <x v="3"/>
    <s v="Blue Collar"/>
    <x v="191"/>
    <n v="56809.26"/>
  </r>
  <r>
    <n v="200001935"/>
    <s v="Sebastian"/>
    <s v="Johnston"/>
    <x v="0"/>
    <x v="17"/>
    <x v="3"/>
    <s v="Other"/>
    <x v="191"/>
    <n v="75743.08"/>
  </r>
  <r>
    <n v="200001936"/>
    <s v="Olivia"/>
    <s v="Payne"/>
    <x v="1"/>
    <x v="25"/>
    <x v="3"/>
    <s v="White Collar"/>
    <x v="191"/>
    <n v="2994.25"/>
  </r>
  <r>
    <n v="200001937"/>
    <s v="Ian"/>
    <s v="Hemmings"/>
    <x v="0"/>
    <x v="1"/>
    <x v="3"/>
    <s v="Other"/>
    <x v="191"/>
    <n v="68600.899999999994"/>
  </r>
  <r>
    <n v="200001938"/>
    <s v="Wendy"/>
    <s v="Bailey"/>
    <x v="1"/>
    <x v="8"/>
    <x v="3"/>
    <s v="Other"/>
    <x v="191"/>
    <n v="38905.96"/>
  </r>
  <r>
    <n v="400001939"/>
    <s v="Richard"/>
    <s v="Dowd"/>
    <x v="0"/>
    <x v="0"/>
    <x v="1"/>
    <s v="White Collar"/>
    <x v="191"/>
    <n v="10248.59"/>
  </r>
  <r>
    <n v="100001940"/>
    <s v="Simon"/>
    <s v="Parsons"/>
    <x v="0"/>
    <x v="13"/>
    <x v="0"/>
    <s v="White Collar"/>
    <x v="192"/>
    <n v="17395.93"/>
  </r>
  <r>
    <n v="100001941"/>
    <s v="Katherine"/>
    <s v="Wilson"/>
    <x v="1"/>
    <x v="16"/>
    <x v="0"/>
    <s v="White Collar"/>
    <x v="192"/>
    <n v="60069.88"/>
  </r>
  <r>
    <n v="100001942"/>
    <s v="Joseph"/>
    <s v="Payne"/>
    <x v="0"/>
    <x v="19"/>
    <x v="0"/>
    <s v="White Collar"/>
    <x v="192"/>
    <n v="2470.52"/>
  </r>
  <r>
    <n v="100001943"/>
    <s v="Jonathan"/>
    <s v="Brown"/>
    <x v="0"/>
    <x v="12"/>
    <x v="0"/>
    <s v="White Collar"/>
    <x v="192"/>
    <n v="8335.9699999999993"/>
  </r>
  <r>
    <n v="100001944"/>
    <s v="Sally"/>
    <s v="Greene"/>
    <x v="1"/>
    <x v="36"/>
    <x v="0"/>
    <s v="White Collar"/>
    <x v="192"/>
    <n v="17247.7"/>
  </r>
  <r>
    <n v="100001945"/>
    <s v="David"/>
    <s v="McLean"/>
    <x v="0"/>
    <x v="16"/>
    <x v="0"/>
    <s v="Blue Collar"/>
    <x v="192"/>
    <n v="89366.53"/>
  </r>
  <r>
    <n v="100001946"/>
    <s v="Ian"/>
    <s v="Glover"/>
    <x v="0"/>
    <x v="9"/>
    <x v="0"/>
    <s v="Blue Collar"/>
    <x v="192"/>
    <n v="5106.8599999999997"/>
  </r>
  <r>
    <n v="100001947"/>
    <s v="Carolyn"/>
    <s v="Tucker"/>
    <x v="1"/>
    <x v="14"/>
    <x v="0"/>
    <s v="White Collar"/>
    <x v="192"/>
    <n v="42737.83"/>
  </r>
  <r>
    <n v="100001948"/>
    <s v="Liam"/>
    <s v="Hughes"/>
    <x v="0"/>
    <x v="13"/>
    <x v="0"/>
    <s v="White Collar"/>
    <x v="192"/>
    <n v="70156.160000000003"/>
  </r>
  <r>
    <n v="100001949"/>
    <s v="Trevor"/>
    <s v="May"/>
    <x v="0"/>
    <x v="30"/>
    <x v="0"/>
    <s v="White Collar"/>
    <x v="192"/>
    <n v="38139.699999999997"/>
  </r>
  <r>
    <n v="200001950"/>
    <s v="Boris"/>
    <s v="McDonald"/>
    <x v="0"/>
    <x v="14"/>
    <x v="3"/>
    <s v="Blue Collar"/>
    <x v="192"/>
    <n v="18231.400000000001"/>
  </r>
  <r>
    <n v="200001951"/>
    <s v="Alexander"/>
    <s v="Springer"/>
    <x v="0"/>
    <x v="41"/>
    <x v="3"/>
    <s v="Blue Collar"/>
    <x v="192"/>
    <n v="11561.43"/>
  </r>
  <r>
    <n v="300001952"/>
    <s v="Jasmine"/>
    <s v="Coleman"/>
    <x v="1"/>
    <x v="7"/>
    <x v="2"/>
    <s v="White Collar"/>
    <x v="192"/>
    <n v="32106.880000000001"/>
  </r>
  <r>
    <n v="300001953"/>
    <s v="Vanessa"/>
    <s v="Springer"/>
    <x v="1"/>
    <x v="32"/>
    <x v="2"/>
    <s v="White Collar"/>
    <x v="192"/>
    <n v="78469.73"/>
  </r>
  <r>
    <n v="300001954"/>
    <s v="Gabrielle"/>
    <s v="Kerr"/>
    <x v="1"/>
    <x v="22"/>
    <x v="2"/>
    <s v="White Collar"/>
    <x v="192"/>
    <n v="44438.94"/>
  </r>
  <r>
    <n v="300001955"/>
    <s v="Sarah"/>
    <s v="Scott"/>
    <x v="1"/>
    <x v="16"/>
    <x v="2"/>
    <s v="Blue Collar"/>
    <x v="192"/>
    <n v="30822.55"/>
  </r>
  <r>
    <n v="300001956"/>
    <s v="Kylie"/>
    <s v="Sharp"/>
    <x v="1"/>
    <x v="11"/>
    <x v="2"/>
    <s v="White Collar"/>
    <x v="192"/>
    <n v="55926.46"/>
  </r>
  <r>
    <n v="400001957"/>
    <s v="Simon"/>
    <s v="Lee"/>
    <x v="0"/>
    <x v="7"/>
    <x v="1"/>
    <s v="Other"/>
    <x v="192"/>
    <n v="28681.8"/>
  </r>
  <r>
    <n v="100001958"/>
    <s v="Heather"/>
    <s v="Slater"/>
    <x v="1"/>
    <x v="16"/>
    <x v="0"/>
    <s v="Blue Collar"/>
    <x v="193"/>
    <n v="105902.66"/>
  </r>
  <r>
    <n v="100001959"/>
    <s v="Max"/>
    <s v="Reid"/>
    <x v="0"/>
    <x v="10"/>
    <x v="0"/>
    <s v="Other"/>
    <x v="193"/>
    <n v="20388.38"/>
  </r>
  <r>
    <n v="100001960"/>
    <s v="Olivia"/>
    <s v="Harris"/>
    <x v="1"/>
    <x v="13"/>
    <x v="0"/>
    <s v="White Collar"/>
    <x v="193"/>
    <n v="130717.22"/>
  </r>
  <r>
    <n v="100001961"/>
    <s v="Justin"/>
    <s v="Langdon"/>
    <x v="0"/>
    <x v="1"/>
    <x v="0"/>
    <s v="Other"/>
    <x v="193"/>
    <n v="7842.61"/>
  </r>
  <r>
    <n v="100001962"/>
    <s v="Justin"/>
    <s v="Paige"/>
    <x v="0"/>
    <x v="6"/>
    <x v="0"/>
    <s v="White Collar"/>
    <x v="193"/>
    <n v="81684.679999999993"/>
  </r>
  <r>
    <n v="200001963"/>
    <s v="Joshua"/>
    <s v="Smith"/>
    <x v="0"/>
    <x v="27"/>
    <x v="3"/>
    <s v="Other"/>
    <x v="193"/>
    <n v="11375.64"/>
  </r>
  <r>
    <n v="200001964"/>
    <s v="Nathan"/>
    <s v="Stewart"/>
    <x v="0"/>
    <x v="8"/>
    <x v="3"/>
    <s v="Blue Collar"/>
    <x v="193"/>
    <n v="43767.15"/>
  </r>
  <r>
    <n v="100001965"/>
    <s v="Joseph"/>
    <s v="Sharp"/>
    <x v="0"/>
    <x v="14"/>
    <x v="0"/>
    <s v="White Collar"/>
    <x v="194"/>
    <n v="59940.45"/>
  </r>
  <r>
    <n v="100001966"/>
    <s v="Charles"/>
    <s v="Rampling"/>
    <x v="0"/>
    <x v="14"/>
    <x v="0"/>
    <s v="Blue Collar"/>
    <x v="194"/>
    <n v="22841.56"/>
  </r>
  <r>
    <n v="100001967"/>
    <s v="Eric"/>
    <s v="Cameron"/>
    <x v="0"/>
    <x v="13"/>
    <x v="0"/>
    <s v="Blue Collar"/>
    <x v="194"/>
    <n v="24958.04"/>
  </r>
  <r>
    <n v="100001968"/>
    <s v="Jack"/>
    <s v="Grant"/>
    <x v="0"/>
    <x v="4"/>
    <x v="0"/>
    <s v="White Collar"/>
    <x v="194"/>
    <n v="62279.7"/>
  </r>
  <r>
    <n v="100001969"/>
    <s v="Sebastian"/>
    <s v="Lyman"/>
    <x v="0"/>
    <x v="22"/>
    <x v="0"/>
    <s v="White Collar"/>
    <x v="194"/>
    <n v="33838.370000000003"/>
  </r>
  <r>
    <n v="100001970"/>
    <s v="Joshua"/>
    <s v="Lewis"/>
    <x v="0"/>
    <x v="1"/>
    <x v="0"/>
    <s v="Blue Collar"/>
    <x v="194"/>
    <n v="36464.31"/>
  </r>
  <r>
    <n v="100001971"/>
    <s v="Brandon"/>
    <s v="Duncan"/>
    <x v="0"/>
    <x v="12"/>
    <x v="0"/>
    <s v="White Collar"/>
    <x v="194"/>
    <n v="46758.9"/>
  </r>
  <r>
    <n v="100001972"/>
    <s v="Amelia"/>
    <s v="Quinn"/>
    <x v="1"/>
    <x v="10"/>
    <x v="0"/>
    <s v="White Collar"/>
    <x v="194"/>
    <n v="76736.41"/>
  </r>
  <r>
    <n v="100001973"/>
    <s v="Nathan"/>
    <s v="Ince"/>
    <x v="0"/>
    <x v="16"/>
    <x v="0"/>
    <s v="White Collar"/>
    <x v="194"/>
    <n v="24924.42"/>
  </r>
  <r>
    <n v="200001974"/>
    <s v="Sarah"/>
    <s v="Hardacre"/>
    <x v="1"/>
    <x v="39"/>
    <x v="3"/>
    <s v="Other"/>
    <x v="194"/>
    <n v="14418.78"/>
  </r>
  <r>
    <n v="200001975"/>
    <s v="Jack"/>
    <s v="Kerr"/>
    <x v="0"/>
    <x v="32"/>
    <x v="3"/>
    <s v="Blue Collar"/>
    <x v="194"/>
    <n v="10301.709999999999"/>
  </r>
  <r>
    <n v="200001976"/>
    <s v="Isaac"/>
    <s v="Coleman"/>
    <x v="0"/>
    <x v="34"/>
    <x v="3"/>
    <s v="Other"/>
    <x v="194"/>
    <n v="3927.15"/>
  </r>
  <r>
    <n v="200001977"/>
    <s v="Ryan"/>
    <s v="Dyer"/>
    <x v="0"/>
    <x v="41"/>
    <x v="3"/>
    <s v="Other"/>
    <x v="194"/>
    <n v="15269.36"/>
  </r>
  <r>
    <n v="300001978"/>
    <s v="Adrian"/>
    <s v="Ince"/>
    <x v="0"/>
    <x v="38"/>
    <x v="2"/>
    <s v="White Collar"/>
    <x v="194"/>
    <n v="94767.31"/>
  </r>
  <r>
    <n v="300001979"/>
    <s v="Brandon"/>
    <s v="Dyer"/>
    <x v="0"/>
    <x v="7"/>
    <x v="2"/>
    <s v="Blue Collar"/>
    <x v="194"/>
    <n v="121683.14"/>
  </r>
  <r>
    <n v="400001980"/>
    <s v="Harry"/>
    <s v="Hudson"/>
    <x v="0"/>
    <x v="30"/>
    <x v="1"/>
    <s v="Blue Collar"/>
    <x v="194"/>
    <n v="33615.06"/>
  </r>
  <r>
    <n v="400001981"/>
    <s v="Wendy"/>
    <s v="Watson"/>
    <x v="1"/>
    <x v="10"/>
    <x v="1"/>
    <s v="White Collar"/>
    <x v="194"/>
    <n v="76608.600000000006"/>
  </r>
  <r>
    <n v="100001982"/>
    <s v="Simon"/>
    <s v="Sharp"/>
    <x v="0"/>
    <x v="21"/>
    <x v="0"/>
    <s v="Blue Collar"/>
    <x v="195"/>
    <n v="15031.01"/>
  </r>
  <r>
    <n v="100001983"/>
    <s v="Alan"/>
    <s v="Gibson"/>
    <x v="0"/>
    <x v="21"/>
    <x v="0"/>
    <s v="White Collar"/>
    <x v="195"/>
    <n v="91847.1"/>
  </r>
  <r>
    <n v="100001984"/>
    <s v="Michelle"/>
    <s v="Sharp"/>
    <x v="1"/>
    <x v="10"/>
    <x v="0"/>
    <s v="White Collar"/>
    <x v="195"/>
    <n v="4157.79"/>
  </r>
  <r>
    <n v="100001985"/>
    <s v="Alan"/>
    <s v="Duncan"/>
    <x v="0"/>
    <x v="1"/>
    <x v="0"/>
    <s v="White Collar"/>
    <x v="195"/>
    <n v="7149.43"/>
  </r>
  <r>
    <n v="100001986"/>
    <s v="Ian"/>
    <s v="Terry"/>
    <x v="0"/>
    <x v="16"/>
    <x v="0"/>
    <s v="White Collar"/>
    <x v="195"/>
    <n v="1423.98"/>
  </r>
  <r>
    <n v="100001987"/>
    <s v="Andrew"/>
    <s v="Skinner"/>
    <x v="0"/>
    <x v="24"/>
    <x v="0"/>
    <s v="Other"/>
    <x v="195"/>
    <n v="10223.59"/>
  </r>
  <r>
    <n v="100001988"/>
    <s v="Molly"/>
    <s v="White"/>
    <x v="1"/>
    <x v="22"/>
    <x v="0"/>
    <s v="White Collar"/>
    <x v="195"/>
    <n v="46370.97"/>
  </r>
  <r>
    <n v="200001989"/>
    <s v="Hannah"/>
    <s v="Henderson"/>
    <x v="1"/>
    <x v="6"/>
    <x v="3"/>
    <s v="Other"/>
    <x v="195"/>
    <n v="40137.730000000003"/>
  </r>
  <r>
    <n v="200001990"/>
    <s v="Evan"/>
    <s v="Kerr"/>
    <x v="0"/>
    <x v="35"/>
    <x v="3"/>
    <s v="Blue Collar"/>
    <x v="195"/>
    <n v="27770.799999999999"/>
  </r>
  <r>
    <n v="200001991"/>
    <s v="Bernadette"/>
    <s v="Alsop"/>
    <x v="1"/>
    <x v="34"/>
    <x v="3"/>
    <s v="White Collar"/>
    <x v="195"/>
    <n v="42756.92"/>
  </r>
  <r>
    <n v="200001992"/>
    <s v="Jonathan"/>
    <s v="Pullman"/>
    <x v="0"/>
    <x v="46"/>
    <x v="3"/>
    <s v="Other"/>
    <x v="195"/>
    <n v="58058.81"/>
  </r>
  <r>
    <n v="200001993"/>
    <s v="Brian"/>
    <s v="Butler"/>
    <x v="0"/>
    <x v="42"/>
    <x v="3"/>
    <s v="Other"/>
    <x v="195"/>
    <n v="53004.65"/>
  </r>
  <r>
    <n v="200001994"/>
    <s v="Steven"/>
    <s v="Brown"/>
    <x v="0"/>
    <x v="34"/>
    <x v="3"/>
    <s v="Other"/>
    <x v="195"/>
    <n v="10473.26"/>
  </r>
  <r>
    <n v="200001995"/>
    <s v="Phil"/>
    <s v="Peters"/>
    <x v="0"/>
    <x v="34"/>
    <x v="3"/>
    <s v="Blue Collar"/>
    <x v="195"/>
    <n v="111961.53"/>
  </r>
  <r>
    <n v="300001996"/>
    <s v="Owen"/>
    <s v="Ball"/>
    <x v="0"/>
    <x v="16"/>
    <x v="2"/>
    <s v="White Collar"/>
    <x v="195"/>
    <n v="4657.16"/>
  </r>
  <r>
    <n v="100001997"/>
    <s v="Ruth"/>
    <s v="Marshall"/>
    <x v="1"/>
    <x v="8"/>
    <x v="0"/>
    <s v="White Collar"/>
    <x v="196"/>
    <n v="73121.320000000007"/>
  </r>
  <r>
    <n v="100001998"/>
    <s v="Amelia"/>
    <s v="Howard"/>
    <x v="1"/>
    <x v="5"/>
    <x v="0"/>
    <s v="White Collar"/>
    <x v="196"/>
    <n v="1839.84"/>
  </r>
  <r>
    <n v="100001999"/>
    <s v="Ian"/>
    <s v="Graham"/>
    <x v="0"/>
    <x v="21"/>
    <x v="0"/>
    <s v="White Collar"/>
    <x v="196"/>
    <n v="80850.12"/>
  </r>
  <r>
    <n v="100002000"/>
    <s v="Edward"/>
    <s v="May"/>
    <x v="0"/>
    <x v="10"/>
    <x v="0"/>
    <s v="White Collar"/>
    <x v="196"/>
    <n v="30475.64"/>
  </r>
  <r>
    <n v="100002001"/>
    <s v="Bernadette"/>
    <s v="Ince"/>
    <x v="1"/>
    <x v="32"/>
    <x v="0"/>
    <s v="White Collar"/>
    <x v="196"/>
    <n v="57739.46"/>
  </r>
  <r>
    <n v="100002002"/>
    <s v="Jan"/>
    <s v="Blake"/>
    <x v="1"/>
    <x v="5"/>
    <x v="0"/>
    <s v="White Collar"/>
    <x v="196"/>
    <n v="12356.64"/>
  </r>
  <r>
    <n v="100002003"/>
    <s v="Ruth"/>
    <s v="Kerr"/>
    <x v="1"/>
    <x v="9"/>
    <x v="0"/>
    <s v="White Collar"/>
    <x v="196"/>
    <n v="50283.03"/>
  </r>
  <r>
    <n v="100002004"/>
    <s v="Maria"/>
    <s v="Rutherford"/>
    <x v="1"/>
    <x v="38"/>
    <x v="0"/>
    <s v="White Collar"/>
    <x v="196"/>
    <n v="39275.120000000003"/>
  </r>
  <r>
    <n v="100002005"/>
    <s v="Deirdre"/>
    <s v="Nash"/>
    <x v="1"/>
    <x v="25"/>
    <x v="0"/>
    <s v="White Collar"/>
    <x v="196"/>
    <n v="1602.81"/>
  </r>
  <r>
    <n v="100002006"/>
    <s v="Keith"/>
    <s v="Wilson"/>
    <x v="0"/>
    <x v="24"/>
    <x v="0"/>
    <s v="Other"/>
    <x v="196"/>
    <n v="36303.300000000003"/>
  </r>
  <r>
    <n v="200002007"/>
    <s v="Adam"/>
    <s v="White"/>
    <x v="0"/>
    <x v="35"/>
    <x v="3"/>
    <s v="Other"/>
    <x v="196"/>
    <n v="16192.49"/>
  </r>
  <r>
    <n v="200002008"/>
    <s v="Ella"/>
    <s v="Clark"/>
    <x v="1"/>
    <x v="25"/>
    <x v="3"/>
    <s v="Other"/>
    <x v="196"/>
    <n v="62026.18"/>
  </r>
  <r>
    <n v="200002009"/>
    <s v="Simon"/>
    <s v="Sutherland"/>
    <x v="0"/>
    <x v="17"/>
    <x v="3"/>
    <s v="Other"/>
    <x v="196"/>
    <n v="35191.56"/>
  </r>
  <r>
    <n v="200002010"/>
    <s v="Connor"/>
    <s v="North"/>
    <x v="0"/>
    <x v="19"/>
    <x v="3"/>
    <s v="Other"/>
    <x v="196"/>
    <n v="172085.48"/>
  </r>
  <r>
    <n v="200002011"/>
    <s v="Hannah"/>
    <s v="Mackenzie"/>
    <x v="1"/>
    <x v="27"/>
    <x v="3"/>
    <s v="Other"/>
    <x v="196"/>
    <n v="56872.97"/>
  </r>
  <r>
    <n v="300002012"/>
    <s v="Jennifer"/>
    <s v="Allan"/>
    <x v="1"/>
    <x v="29"/>
    <x v="2"/>
    <s v="Blue Collar"/>
    <x v="196"/>
    <n v="71036.740000000005"/>
  </r>
  <r>
    <n v="400002013"/>
    <s v="Carl"/>
    <s v="Dickens"/>
    <x v="0"/>
    <x v="43"/>
    <x v="1"/>
    <s v="White Collar"/>
    <x v="196"/>
    <n v="50457.71"/>
  </r>
  <r>
    <n v="400002014"/>
    <s v="Amy"/>
    <s v="Kerr"/>
    <x v="1"/>
    <x v="13"/>
    <x v="1"/>
    <s v="Other"/>
    <x v="196"/>
    <n v="8261.2000000000007"/>
  </r>
  <r>
    <n v="400002015"/>
    <s v="Yvonne"/>
    <s v="Mills"/>
    <x v="1"/>
    <x v="18"/>
    <x v="1"/>
    <s v="Other"/>
    <x v="196"/>
    <n v="55111.01"/>
  </r>
  <r>
    <n v="400002016"/>
    <s v="Jennifer"/>
    <s v="Newman"/>
    <x v="1"/>
    <x v="12"/>
    <x v="1"/>
    <s v="Blue Collar"/>
    <x v="196"/>
    <n v="19799.419999999998"/>
  </r>
  <r>
    <n v="100002017"/>
    <s v="Tim"/>
    <s v="Reid"/>
    <x v="0"/>
    <x v="32"/>
    <x v="0"/>
    <s v="White Collar"/>
    <x v="197"/>
    <n v="11880.68"/>
  </r>
  <r>
    <n v="100002018"/>
    <s v="Neil"/>
    <s v="Chapman"/>
    <x v="0"/>
    <x v="13"/>
    <x v="0"/>
    <s v="Blue Collar"/>
    <x v="197"/>
    <n v="9099.81"/>
  </r>
  <r>
    <n v="100002019"/>
    <s v="Grace"/>
    <s v="May"/>
    <x v="1"/>
    <x v="1"/>
    <x v="0"/>
    <s v="Blue Collar"/>
    <x v="197"/>
    <n v="3279.7"/>
  </r>
  <r>
    <n v="100002020"/>
    <s v="Irene"/>
    <s v="Dowd"/>
    <x v="1"/>
    <x v="20"/>
    <x v="0"/>
    <s v="White Collar"/>
    <x v="197"/>
    <n v="54930.04"/>
  </r>
  <r>
    <n v="100002021"/>
    <s v="Grace"/>
    <s v="Campbell"/>
    <x v="1"/>
    <x v="4"/>
    <x v="0"/>
    <s v="White Collar"/>
    <x v="197"/>
    <n v="9071.7099999999991"/>
  </r>
  <r>
    <n v="100002022"/>
    <s v="Oliver"/>
    <s v="Poole"/>
    <x v="0"/>
    <x v="14"/>
    <x v="0"/>
    <s v="White Collar"/>
    <x v="197"/>
    <n v="32591.02"/>
  </r>
  <r>
    <n v="100002023"/>
    <s v="James"/>
    <s v="Mills"/>
    <x v="0"/>
    <x v="12"/>
    <x v="0"/>
    <s v="White Collar"/>
    <x v="197"/>
    <n v="45626.720000000001"/>
  </r>
  <r>
    <n v="200002024"/>
    <s v="Connor"/>
    <s v="Poole"/>
    <x v="0"/>
    <x v="35"/>
    <x v="3"/>
    <s v="Blue Collar"/>
    <x v="197"/>
    <n v="50629.7"/>
  </r>
  <r>
    <n v="200002025"/>
    <s v="Dan"/>
    <s v="Forsyth"/>
    <x v="0"/>
    <x v="15"/>
    <x v="3"/>
    <s v="White Collar"/>
    <x v="197"/>
    <n v="139610.13"/>
  </r>
  <r>
    <n v="200002026"/>
    <s v="Megan"/>
    <s v="Greene"/>
    <x v="1"/>
    <x v="31"/>
    <x v="3"/>
    <s v="Other"/>
    <x v="197"/>
    <n v="19326.71"/>
  </r>
  <r>
    <n v="200002027"/>
    <s v="Heather"/>
    <s v="Smith"/>
    <x v="1"/>
    <x v="17"/>
    <x v="3"/>
    <s v="Blue Collar"/>
    <x v="197"/>
    <n v="97609.31"/>
  </r>
  <r>
    <n v="200002028"/>
    <s v="Jacob"/>
    <s v="Lee"/>
    <x v="0"/>
    <x v="19"/>
    <x v="3"/>
    <s v="Other"/>
    <x v="197"/>
    <n v="27043.73"/>
  </r>
  <r>
    <n v="200002029"/>
    <s v="Dominic"/>
    <s v="Dyer"/>
    <x v="0"/>
    <x v="46"/>
    <x v="3"/>
    <s v="Blue Collar"/>
    <x v="197"/>
    <n v="59183.23"/>
  </r>
  <r>
    <n v="200002030"/>
    <s v="James"/>
    <s v="Paterson"/>
    <x v="0"/>
    <x v="2"/>
    <x v="3"/>
    <s v="Blue Collar"/>
    <x v="197"/>
    <n v="47720.66"/>
  </r>
  <r>
    <n v="300002031"/>
    <s v="Piers"/>
    <s v="Piper"/>
    <x v="0"/>
    <x v="26"/>
    <x v="2"/>
    <s v="White Collar"/>
    <x v="197"/>
    <n v="96018.25"/>
  </r>
  <r>
    <n v="300002032"/>
    <s v="Richard"/>
    <s v="Black"/>
    <x v="0"/>
    <x v="13"/>
    <x v="2"/>
    <s v="Blue Collar"/>
    <x v="197"/>
    <n v="29371.32"/>
  </r>
  <r>
    <n v="300002033"/>
    <s v="Max"/>
    <s v="McGrath"/>
    <x v="0"/>
    <x v="4"/>
    <x v="2"/>
    <s v="White Collar"/>
    <x v="197"/>
    <n v="63211.19"/>
  </r>
  <r>
    <n v="100002034"/>
    <s v="Gordon"/>
    <s v="Dowd"/>
    <x v="0"/>
    <x v="32"/>
    <x v="0"/>
    <s v="White Collar"/>
    <x v="198"/>
    <n v="51578.31"/>
  </r>
  <r>
    <n v="100002035"/>
    <s v="Kevin"/>
    <s v="Rees"/>
    <x v="0"/>
    <x v="30"/>
    <x v="0"/>
    <s v="White Collar"/>
    <x v="198"/>
    <n v="12258.48"/>
  </r>
  <r>
    <n v="100002036"/>
    <s v="Joanne"/>
    <s v="Terry"/>
    <x v="1"/>
    <x v="14"/>
    <x v="0"/>
    <s v="Other"/>
    <x v="198"/>
    <n v="93845.6"/>
  </r>
  <r>
    <n v="100002037"/>
    <s v="Matt"/>
    <s v="Baker"/>
    <x v="0"/>
    <x v="13"/>
    <x v="0"/>
    <s v="White Collar"/>
    <x v="198"/>
    <n v="88023.96"/>
  </r>
  <r>
    <n v="100002038"/>
    <s v="Alan"/>
    <s v="Butler"/>
    <x v="0"/>
    <x v="30"/>
    <x v="0"/>
    <s v="Other"/>
    <x v="198"/>
    <n v="70086.820000000007"/>
  </r>
  <r>
    <n v="200002039"/>
    <s v="Frank"/>
    <s v="Chapman"/>
    <x v="0"/>
    <x v="15"/>
    <x v="3"/>
    <s v="Blue Collar"/>
    <x v="198"/>
    <n v="20162.2"/>
  </r>
  <r>
    <n v="200002040"/>
    <s v="Steven"/>
    <s v="Langdon"/>
    <x v="0"/>
    <x v="9"/>
    <x v="3"/>
    <s v="White Collar"/>
    <x v="198"/>
    <n v="34944.910000000003"/>
  </r>
  <r>
    <n v="200002041"/>
    <s v="Abigail"/>
    <s v="Fraser"/>
    <x v="1"/>
    <x v="47"/>
    <x v="3"/>
    <s v="Blue Collar"/>
    <x v="198"/>
    <n v="24729.53"/>
  </r>
  <r>
    <n v="200002042"/>
    <s v="Chloe"/>
    <s v="Rampling"/>
    <x v="1"/>
    <x v="7"/>
    <x v="3"/>
    <s v="Other"/>
    <x v="198"/>
    <n v="27833.06"/>
  </r>
  <r>
    <n v="200002043"/>
    <s v="Tim"/>
    <s v="Carr"/>
    <x v="0"/>
    <x v="39"/>
    <x v="3"/>
    <s v="Blue Collar"/>
    <x v="198"/>
    <n v="9249.08"/>
  </r>
  <r>
    <n v="300002044"/>
    <s v="Tracey"/>
    <s v="Lee"/>
    <x v="1"/>
    <x v="1"/>
    <x v="2"/>
    <s v="Other"/>
    <x v="198"/>
    <n v="55297.13"/>
  </r>
  <r>
    <n v="300002045"/>
    <s v="Olivia"/>
    <s v="Kelly"/>
    <x v="1"/>
    <x v="14"/>
    <x v="2"/>
    <s v="White Collar"/>
    <x v="198"/>
    <n v="16581.560000000001"/>
  </r>
  <r>
    <n v="400002046"/>
    <s v="Megan"/>
    <s v="Hart"/>
    <x v="1"/>
    <x v="29"/>
    <x v="1"/>
    <s v="Blue Collar"/>
    <x v="198"/>
    <n v="69.78"/>
  </r>
  <r>
    <n v="400002047"/>
    <s v="Peter"/>
    <s v="Campbell"/>
    <x v="0"/>
    <x v="0"/>
    <x v="1"/>
    <s v="Blue Collar"/>
    <x v="198"/>
    <n v="16696.080000000002"/>
  </r>
  <r>
    <n v="100002048"/>
    <s v="Sarah"/>
    <s v="Wilson"/>
    <x v="1"/>
    <x v="14"/>
    <x v="0"/>
    <s v="White Collar"/>
    <x v="199"/>
    <n v="31435.65"/>
  </r>
  <r>
    <n v="100002049"/>
    <s v="Anne"/>
    <s v="Newman"/>
    <x v="1"/>
    <x v="13"/>
    <x v="0"/>
    <s v="White Collar"/>
    <x v="199"/>
    <n v="70153.14"/>
  </r>
  <r>
    <n v="100002050"/>
    <s v="Elizabeth"/>
    <s v="Hart"/>
    <x v="1"/>
    <x v="38"/>
    <x v="0"/>
    <s v="White Collar"/>
    <x v="199"/>
    <n v="82638.509999999995"/>
  </r>
  <r>
    <n v="100002051"/>
    <s v="Gordon"/>
    <s v="Mackenzie"/>
    <x v="0"/>
    <x v="9"/>
    <x v="0"/>
    <s v="White Collar"/>
    <x v="199"/>
    <n v="45671.3"/>
  </r>
  <r>
    <n v="100002052"/>
    <s v="Brian"/>
    <s v="Newman"/>
    <x v="0"/>
    <x v="6"/>
    <x v="0"/>
    <s v="Blue Collar"/>
    <x v="199"/>
    <n v="62065.37"/>
  </r>
  <r>
    <n v="100002053"/>
    <s v="Brandon"/>
    <s v="Springer"/>
    <x v="0"/>
    <x v="4"/>
    <x v="0"/>
    <s v="White Collar"/>
    <x v="199"/>
    <n v="98022.86"/>
  </r>
  <r>
    <n v="100002054"/>
    <s v="Rebecca"/>
    <s v="Vance"/>
    <x v="1"/>
    <x v="1"/>
    <x v="0"/>
    <s v="White Collar"/>
    <x v="199"/>
    <n v="7520"/>
  </r>
  <r>
    <n v="100002055"/>
    <s v="Pippa"/>
    <s v="Forsyth"/>
    <x v="1"/>
    <x v="21"/>
    <x v="0"/>
    <s v="White Collar"/>
    <x v="199"/>
    <n v="2849.16"/>
  </r>
  <r>
    <n v="200002056"/>
    <s v="Joshua"/>
    <s v="Carr"/>
    <x v="0"/>
    <x v="47"/>
    <x v="3"/>
    <s v="Other"/>
    <x v="199"/>
    <n v="14558.13"/>
  </r>
  <r>
    <n v="200002057"/>
    <s v="Peter"/>
    <s v="Vance"/>
    <x v="0"/>
    <x v="19"/>
    <x v="3"/>
    <s v="Blue Collar"/>
    <x v="199"/>
    <n v="42830.98"/>
  </r>
  <r>
    <n v="200002058"/>
    <s v="Simon"/>
    <s v="Wright"/>
    <x v="0"/>
    <x v="28"/>
    <x v="3"/>
    <s v="Blue Collar"/>
    <x v="199"/>
    <n v="32801"/>
  </r>
  <r>
    <n v="200002059"/>
    <s v="Nathan"/>
    <s v="Campbell"/>
    <x v="0"/>
    <x v="28"/>
    <x v="3"/>
    <s v="Blue Collar"/>
    <x v="199"/>
    <n v="26087.66"/>
  </r>
  <r>
    <n v="300002060"/>
    <s v="James"/>
    <s v="Smith"/>
    <x v="0"/>
    <x v="1"/>
    <x v="2"/>
    <s v="White Collar"/>
    <x v="199"/>
    <n v="59292.42"/>
  </r>
  <r>
    <n v="100002061"/>
    <s v="Ryan"/>
    <s v="Piper"/>
    <x v="0"/>
    <x v="7"/>
    <x v="0"/>
    <s v="Blue Collar"/>
    <x v="200"/>
    <n v="11150.82"/>
  </r>
  <r>
    <n v="100002062"/>
    <s v="Thomas"/>
    <s v="Johnston"/>
    <x v="0"/>
    <x v="12"/>
    <x v="0"/>
    <s v="White Collar"/>
    <x v="200"/>
    <n v="59127.76"/>
  </r>
  <r>
    <n v="100002063"/>
    <s v="Sam"/>
    <s v="Carr"/>
    <x v="0"/>
    <x v="12"/>
    <x v="0"/>
    <s v="White Collar"/>
    <x v="200"/>
    <n v="27584.04"/>
  </r>
  <r>
    <n v="100002064"/>
    <s v="Adam"/>
    <s v="Mills"/>
    <x v="0"/>
    <x v="3"/>
    <x v="0"/>
    <s v="Other"/>
    <x v="200"/>
    <n v="22126.720000000001"/>
  </r>
  <r>
    <n v="100002065"/>
    <s v="Victoria"/>
    <s v="Abraham"/>
    <x v="1"/>
    <x v="30"/>
    <x v="0"/>
    <s v="Other"/>
    <x v="200"/>
    <n v="41897.53"/>
  </r>
  <r>
    <n v="100002066"/>
    <s v="Samantha"/>
    <s v="Pullman"/>
    <x v="1"/>
    <x v="20"/>
    <x v="0"/>
    <s v="White Collar"/>
    <x v="200"/>
    <n v="21738.25"/>
  </r>
  <r>
    <n v="100002067"/>
    <s v="Benjamin"/>
    <s v="Davidson"/>
    <x v="0"/>
    <x v="31"/>
    <x v="0"/>
    <s v="White Collar"/>
    <x v="200"/>
    <n v="65544.92"/>
  </r>
  <r>
    <n v="200002068"/>
    <s v="Brian"/>
    <s v="Cornish"/>
    <x v="0"/>
    <x v="35"/>
    <x v="3"/>
    <s v="Other"/>
    <x v="200"/>
    <n v="62064.73"/>
  </r>
  <r>
    <n v="200002069"/>
    <s v="Christian"/>
    <s v="Mathis"/>
    <x v="0"/>
    <x v="41"/>
    <x v="3"/>
    <s v="Blue Collar"/>
    <x v="200"/>
    <n v="41314.33"/>
  </r>
  <r>
    <n v="200002070"/>
    <s v="Jack"/>
    <s v="Sanderson"/>
    <x v="0"/>
    <x v="27"/>
    <x v="3"/>
    <s v="Blue Collar"/>
    <x v="200"/>
    <n v="121801.58"/>
  </r>
  <r>
    <n v="200002071"/>
    <s v="Diana"/>
    <s v="Gray"/>
    <x v="1"/>
    <x v="35"/>
    <x v="3"/>
    <s v="Other"/>
    <x v="200"/>
    <n v="55056.65"/>
  </r>
  <r>
    <n v="200002072"/>
    <s v="Wendy"/>
    <s v="Payne"/>
    <x v="1"/>
    <x v="6"/>
    <x v="3"/>
    <s v="Other"/>
    <x v="200"/>
    <n v="73328.320000000007"/>
  </r>
  <r>
    <n v="300002073"/>
    <s v="Anna"/>
    <s v="Howard"/>
    <x v="1"/>
    <x v="1"/>
    <x v="2"/>
    <s v="White Collar"/>
    <x v="200"/>
    <n v="22490.5"/>
  </r>
  <r>
    <n v="300002074"/>
    <s v="Fiona"/>
    <s v="Bower"/>
    <x v="1"/>
    <x v="4"/>
    <x v="2"/>
    <s v="White Collar"/>
    <x v="200"/>
    <n v="86892.69"/>
  </r>
  <r>
    <n v="400002075"/>
    <s v="James"/>
    <s v="Welch"/>
    <x v="0"/>
    <x v="24"/>
    <x v="1"/>
    <s v="White Collar"/>
    <x v="200"/>
    <n v="3331.8"/>
  </r>
  <r>
    <n v="100002076"/>
    <s v="Deirdre"/>
    <s v="Jackson"/>
    <x v="1"/>
    <x v="30"/>
    <x v="0"/>
    <s v="White Collar"/>
    <x v="201"/>
    <n v="14661.25"/>
  </r>
  <r>
    <n v="100002077"/>
    <s v="David"/>
    <s v="Harris"/>
    <x v="0"/>
    <x v="20"/>
    <x v="0"/>
    <s v="White Collar"/>
    <x v="201"/>
    <n v="2126.9"/>
  </r>
  <r>
    <n v="100002078"/>
    <s v="Anne"/>
    <s v="Lewis"/>
    <x v="1"/>
    <x v="30"/>
    <x v="0"/>
    <s v="White Collar"/>
    <x v="201"/>
    <n v="17952.16"/>
  </r>
  <r>
    <n v="100002079"/>
    <s v="Sophie"/>
    <s v="Buckland"/>
    <x v="1"/>
    <x v="10"/>
    <x v="0"/>
    <s v="White Collar"/>
    <x v="201"/>
    <n v="74240.479999999996"/>
  </r>
  <r>
    <n v="100002080"/>
    <s v="Chloe"/>
    <s v="Thomson"/>
    <x v="1"/>
    <x v="9"/>
    <x v="0"/>
    <s v="White Collar"/>
    <x v="201"/>
    <n v="72020.25"/>
  </r>
  <r>
    <n v="100002081"/>
    <s v="Alison"/>
    <s v="Edmunds"/>
    <x v="1"/>
    <x v="10"/>
    <x v="0"/>
    <s v="White Collar"/>
    <x v="201"/>
    <n v="43546.78"/>
  </r>
  <r>
    <n v="100002082"/>
    <s v="Justin"/>
    <s v="Young"/>
    <x v="0"/>
    <x v="3"/>
    <x v="0"/>
    <s v="White Collar"/>
    <x v="201"/>
    <n v="132536.87"/>
  </r>
  <r>
    <n v="100002083"/>
    <s v="Jason"/>
    <s v="Wallace"/>
    <x v="0"/>
    <x v="1"/>
    <x v="0"/>
    <s v="White Collar"/>
    <x v="201"/>
    <n v="41060.69"/>
  </r>
  <r>
    <n v="100002084"/>
    <s v="Paul"/>
    <s v="Paterson"/>
    <x v="0"/>
    <x v="28"/>
    <x v="0"/>
    <s v="Other"/>
    <x v="201"/>
    <n v="8300.2900000000009"/>
  </r>
  <r>
    <n v="100002085"/>
    <s v="Joshua"/>
    <s v="Randall"/>
    <x v="0"/>
    <x v="16"/>
    <x v="0"/>
    <s v="Other"/>
    <x v="201"/>
    <n v="68193.25"/>
  </r>
  <r>
    <n v="100002086"/>
    <s v="Jane"/>
    <s v="Mathis"/>
    <x v="1"/>
    <x v="3"/>
    <x v="0"/>
    <s v="White Collar"/>
    <x v="201"/>
    <n v="79292.149999999994"/>
  </r>
  <r>
    <n v="100002087"/>
    <s v="Matt"/>
    <s v="Hemmings"/>
    <x v="0"/>
    <x v="38"/>
    <x v="0"/>
    <s v="White Collar"/>
    <x v="201"/>
    <n v="53357.54"/>
  </r>
  <r>
    <n v="100002088"/>
    <s v="Phil"/>
    <s v="Miller"/>
    <x v="0"/>
    <x v="1"/>
    <x v="0"/>
    <s v="Blue Collar"/>
    <x v="201"/>
    <n v="41924.07"/>
  </r>
  <r>
    <n v="100002089"/>
    <s v="Sam"/>
    <s v="Allan"/>
    <x v="0"/>
    <x v="13"/>
    <x v="0"/>
    <s v="White Collar"/>
    <x v="201"/>
    <n v="59589.73"/>
  </r>
  <r>
    <n v="200002090"/>
    <s v="Connor"/>
    <s v="Newman"/>
    <x v="0"/>
    <x v="3"/>
    <x v="3"/>
    <s v="Blue Collar"/>
    <x v="201"/>
    <n v="3785.1"/>
  </r>
  <r>
    <n v="200002091"/>
    <s v="David"/>
    <s v="Cameron"/>
    <x v="0"/>
    <x v="41"/>
    <x v="3"/>
    <s v="Other"/>
    <x v="201"/>
    <n v="12749.4"/>
  </r>
  <r>
    <n v="200002092"/>
    <s v="Carl"/>
    <s v="Howard"/>
    <x v="0"/>
    <x v="6"/>
    <x v="3"/>
    <s v="Blue Collar"/>
    <x v="201"/>
    <n v="39883.56"/>
  </r>
  <r>
    <n v="200002093"/>
    <s v="Colin"/>
    <s v="Russell"/>
    <x v="0"/>
    <x v="34"/>
    <x v="3"/>
    <s v="Other"/>
    <x v="201"/>
    <n v="9207.6200000000008"/>
  </r>
  <r>
    <n v="200002094"/>
    <s v="Anthony"/>
    <s v="Marshall"/>
    <x v="0"/>
    <x v="19"/>
    <x v="3"/>
    <s v="Other"/>
    <x v="201"/>
    <n v="55396.83"/>
  </r>
  <r>
    <n v="100002095"/>
    <s v="Audrey"/>
    <s v="Sanderson"/>
    <x v="1"/>
    <x v="12"/>
    <x v="0"/>
    <s v="White Collar"/>
    <x v="202"/>
    <n v="66084.12"/>
  </r>
  <r>
    <n v="100002096"/>
    <s v="Zoe"/>
    <s v="Miller"/>
    <x v="1"/>
    <x v="10"/>
    <x v="0"/>
    <s v="White Collar"/>
    <x v="202"/>
    <n v="12748.71"/>
  </r>
  <r>
    <n v="100002097"/>
    <s v="Zoe"/>
    <s v="Cornish"/>
    <x v="1"/>
    <x v="34"/>
    <x v="0"/>
    <s v="White Collar"/>
    <x v="202"/>
    <n v="1320.93"/>
  </r>
  <r>
    <n v="100002098"/>
    <s v="James"/>
    <s v="Slater"/>
    <x v="0"/>
    <x v="38"/>
    <x v="0"/>
    <s v="White Collar"/>
    <x v="202"/>
    <n v="65994.320000000007"/>
  </r>
  <r>
    <n v="200002099"/>
    <s v="Yvonne"/>
    <s v="Terry"/>
    <x v="1"/>
    <x v="28"/>
    <x v="3"/>
    <s v="Other"/>
    <x v="202"/>
    <n v="86073.84"/>
  </r>
  <r>
    <n v="200002100"/>
    <s v="Felicity"/>
    <s v="MacDonald"/>
    <x v="1"/>
    <x v="31"/>
    <x v="3"/>
    <s v="Other"/>
    <x v="202"/>
    <n v="44623.87"/>
  </r>
  <r>
    <n v="200002101"/>
    <s v="Lucas"/>
    <s v="Murray"/>
    <x v="0"/>
    <x v="6"/>
    <x v="3"/>
    <s v="Other"/>
    <x v="202"/>
    <n v="45705.24"/>
  </r>
  <r>
    <n v="200002102"/>
    <s v="Emily"/>
    <s v="Underwood"/>
    <x v="1"/>
    <x v="31"/>
    <x v="3"/>
    <s v="Other"/>
    <x v="202"/>
    <n v="33835.65"/>
  </r>
  <r>
    <n v="200002103"/>
    <s v="Jacob"/>
    <s v="Watson"/>
    <x v="0"/>
    <x v="2"/>
    <x v="3"/>
    <s v="Other"/>
    <x v="202"/>
    <n v="94781.97"/>
  </r>
  <r>
    <n v="200002104"/>
    <s v="Phil"/>
    <s v="Gray"/>
    <x v="0"/>
    <x v="23"/>
    <x v="3"/>
    <s v="White Collar"/>
    <x v="202"/>
    <n v="24989.82"/>
  </r>
  <r>
    <n v="200002105"/>
    <s v="Kevin"/>
    <s v="Nolan"/>
    <x v="0"/>
    <x v="19"/>
    <x v="3"/>
    <s v="Blue Collar"/>
    <x v="202"/>
    <n v="21417.49"/>
  </r>
  <r>
    <n v="300002106"/>
    <s v="Rebecca"/>
    <s v="McLean"/>
    <x v="1"/>
    <x v="20"/>
    <x v="2"/>
    <s v="White Collar"/>
    <x v="202"/>
    <n v="74812.05"/>
  </r>
  <r>
    <n v="300002107"/>
    <s v="Lucas"/>
    <s v="Walsh"/>
    <x v="0"/>
    <x v="24"/>
    <x v="2"/>
    <s v="Blue Collar"/>
    <x v="202"/>
    <n v="47857.14"/>
  </r>
  <r>
    <n v="400002108"/>
    <s v="Ava"/>
    <s v="Wilson"/>
    <x v="1"/>
    <x v="30"/>
    <x v="1"/>
    <s v="Other"/>
    <x v="202"/>
    <n v="75395.320000000007"/>
  </r>
  <r>
    <n v="400002109"/>
    <s v="Jennifer"/>
    <s v="Skinner"/>
    <x v="1"/>
    <x v="24"/>
    <x v="1"/>
    <s v="White Collar"/>
    <x v="202"/>
    <n v="64714.44"/>
  </r>
  <r>
    <n v="100002110"/>
    <s v="Thomas"/>
    <s v="Newman"/>
    <x v="0"/>
    <x v="7"/>
    <x v="0"/>
    <s v="Other"/>
    <x v="203"/>
    <n v="920.87"/>
  </r>
  <r>
    <n v="100002111"/>
    <s v="Deirdre"/>
    <s v="Lee"/>
    <x v="1"/>
    <x v="14"/>
    <x v="0"/>
    <s v="White Collar"/>
    <x v="203"/>
    <n v="4909.99"/>
  </r>
  <r>
    <n v="100002112"/>
    <s v="Emily"/>
    <s v="Avery"/>
    <x v="1"/>
    <x v="7"/>
    <x v="0"/>
    <s v="Blue Collar"/>
    <x v="203"/>
    <n v="16040.88"/>
  </r>
  <r>
    <n v="100002113"/>
    <s v="Karen"/>
    <s v="Wallace"/>
    <x v="1"/>
    <x v="10"/>
    <x v="0"/>
    <s v="White Collar"/>
    <x v="203"/>
    <n v="45969.7"/>
  </r>
  <r>
    <n v="100002114"/>
    <s v="Sally"/>
    <s v="Churchill"/>
    <x v="1"/>
    <x v="14"/>
    <x v="0"/>
    <s v="White Collar"/>
    <x v="203"/>
    <n v="12504.73"/>
  </r>
  <r>
    <n v="100002115"/>
    <s v="Joan"/>
    <s v="Springer"/>
    <x v="1"/>
    <x v="4"/>
    <x v="0"/>
    <s v="White Collar"/>
    <x v="203"/>
    <n v="24729.58"/>
  </r>
  <r>
    <n v="100002116"/>
    <s v="Alan"/>
    <s v="Parr"/>
    <x v="0"/>
    <x v="1"/>
    <x v="0"/>
    <s v="Blue Collar"/>
    <x v="203"/>
    <n v="18952.55"/>
  </r>
  <r>
    <n v="100002117"/>
    <s v="Frank"/>
    <s v="North"/>
    <x v="0"/>
    <x v="12"/>
    <x v="0"/>
    <s v="White Collar"/>
    <x v="203"/>
    <n v="7441.87"/>
  </r>
  <r>
    <n v="100002118"/>
    <s v="Dominic"/>
    <s v="Chapman"/>
    <x v="0"/>
    <x v="1"/>
    <x v="0"/>
    <s v="Other"/>
    <x v="203"/>
    <n v="68498.240000000005"/>
  </r>
  <r>
    <n v="100002119"/>
    <s v="Emily"/>
    <s v="Bailey"/>
    <x v="1"/>
    <x v="4"/>
    <x v="0"/>
    <s v="White Collar"/>
    <x v="203"/>
    <n v="95608.2"/>
  </r>
  <r>
    <n v="100002120"/>
    <s v="Fiona"/>
    <s v="Welch"/>
    <x v="1"/>
    <x v="36"/>
    <x v="0"/>
    <s v="Other"/>
    <x v="203"/>
    <n v="42510.95"/>
  </r>
  <r>
    <n v="100002121"/>
    <s v="Nathan"/>
    <s v="Miller"/>
    <x v="0"/>
    <x v="31"/>
    <x v="0"/>
    <s v="White Collar"/>
    <x v="203"/>
    <n v="918.56"/>
  </r>
  <r>
    <n v="200002122"/>
    <s v="Leah"/>
    <s v="Oliver"/>
    <x v="1"/>
    <x v="28"/>
    <x v="3"/>
    <s v="Other"/>
    <x v="203"/>
    <n v="38258.980000000003"/>
  </r>
  <r>
    <n v="200002123"/>
    <s v="Boris"/>
    <s v="Bell"/>
    <x v="0"/>
    <x v="3"/>
    <x v="3"/>
    <s v="Blue Collar"/>
    <x v="203"/>
    <n v="33570.99"/>
  </r>
  <r>
    <n v="200002124"/>
    <s v="Michael"/>
    <s v="Alsop"/>
    <x v="0"/>
    <x v="32"/>
    <x v="3"/>
    <s v="Other"/>
    <x v="203"/>
    <n v="75563.64"/>
  </r>
  <r>
    <n v="200002125"/>
    <s v="Tracey"/>
    <s v="Greene"/>
    <x v="1"/>
    <x v="45"/>
    <x v="3"/>
    <s v="Other"/>
    <x v="203"/>
    <n v="110171.27"/>
  </r>
  <r>
    <n v="200002126"/>
    <s v="Simon"/>
    <s v="Kelly"/>
    <x v="0"/>
    <x v="34"/>
    <x v="3"/>
    <s v="Blue Collar"/>
    <x v="203"/>
    <n v="70491.38"/>
  </r>
  <r>
    <n v="300002127"/>
    <s v="Tracey"/>
    <s v="MacLeod"/>
    <x v="1"/>
    <x v="4"/>
    <x v="2"/>
    <s v="Other"/>
    <x v="203"/>
    <n v="28968.33"/>
  </r>
  <r>
    <n v="300002128"/>
    <s v="Jessica"/>
    <s v="Morgan"/>
    <x v="1"/>
    <x v="4"/>
    <x v="2"/>
    <s v="Other"/>
    <x v="203"/>
    <n v="23527.21"/>
  </r>
  <r>
    <n v="300002129"/>
    <s v="Amelia"/>
    <s v="Payne"/>
    <x v="1"/>
    <x v="31"/>
    <x v="2"/>
    <s v="White Collar"/>
    <x v="203"/>
    <n v="45868.51"/>
  </r>
  <r>
    <n v="400002130"/>
    <s v="Amy"/>
    <s v="Ferguson"/>
    <x v="1"/>
    <x v="3"/>
    <x v="1"/>
    <s v="Other"/>
    <x v="203"/>
    <n v="5908.97"/>
  </r>
  <r>
    <n v="100002131"/>
    <s v="Austin"/>
    <s v="Oliver"/>
    <x v="0"/>
    <x v="12"/>
    <x v="0"/>
    <s v="Blue Collar"/>
    <x v="204"/>
    <n v="53759.89"/>
  </r>
  <r>
    <n v="100002132"/>
    <s v="Penelope"/>
    <s v="Bailey"/>
    <x v="1"/>
    <x v="5"/>
    <x v="0"/>
    <s v="White Collar"/>
    <x v="204"/>
    <n v="106490.28"/>
  </r>
  <r>
    <n v="100002133"/>
    <s v="Michelle"/>
    <s v="Ferguson"/>
    <x v="1"/>
    <x v="5"/>
    <x v="0"/>
    <s v="White Collar"/>
    <x v="204"/>
    <n v="59120.59"/>
  </r>
  <r>
    <n v="100002134"/>
    <s v="Stephanie"/>
    <s v="Nolan"/>
    <x v="1"/>
    <x v="5"/>
    <x v="0"/>
    <s v="Blue Collar"/>
    <x v="204"/>
    <n v="8100.12"/>
  </r>
  <r>
    <n v="100002135"/>
    <s v="Connor"/>
    <s v="Bond"/>
    <x v="0"/>
    <x v="24"/>
    <x v="0"/>
    <s v="Blue Collar"/>
    <x v="204"/>
    <n v="43117.33"/>
  </r>
  <r>
    <n v="100002136"/>
    <s v="Lisa"/>
    <s v="Dickens"/>
    <x v="1"/>
    <x v="30"/>
    <x v="0"/>
    <s v="White Collar"/>
    <x v="204"/>
    <n v="65213.98"/>
  </r>
  <r>
    <n v="100002137"/>
    <s v="Amy"/>
    <s v="Lawrence"/>
    <x v="1"/>
    <x v="0"/>
    <x v="0"/>
    <s v="Blue Collar"/>
    <x v="204"/>
    <n v="113673.32"/>
  </r>
  <r>
    <n v="100002138"/>
    <s v="Adrian"/>
    <s v="McDonald"/>
    <x v="0"/>
    <x v="7"/>
    <x v="0"/>
    <s v="White Collar"/>
    <x v="204"/>
    <n v="7974.93"/>
  </r>
  <r>
    <n v="100002139"/>
    <s v="Luke"/>
    <s v="Mackenzie"/>
    <x v="0"/>
    <x v="4"/>
    <x v="0"/>
    <s v="White Collar"/>
    <x v="204"/>
    <n v="59179.29"/>
  </r>
  <r>
    <n v="100002140"/>
    <s v="Penelope"/>
    <s v="Bell"/>
    <x v="1"/>
    <x v="32"/>
    <x v="0"/>
    <s v="Other"/>
    <x v="204"/>
    <n v="38986.480000000003"/>
  </r>
  <r>
    <n v="200002141"/>
    <s v="Kevin"/>
    <s v="Gill"/>
    <x v="0"/>
    <x v="41"/>
    <x v="3"/>
    <s v="White Collar"/>
    <x v="204"/>
    <n v="25605.83"/>
  </r>
  <r>
    <n v="200002142"/>
    <s v="Boris"/>
    <s v="Short"/>
    <x v="0"/>
    <x v="2"/>
    <x v="3"/>
    <s v="Blue Collar"/>
    <x v="204"/>
    <n v="68884.38"/>
  </r>
  <r>
    <n v="200002143"/>
    <s v="Luke"/>
    <s v="Martin"/>
    <x v="0"/>
    <x v="9"/>
    <x v="3"/>
    <s v="Other"/>
    <x v="204"/>
    <n v="37247.660000000003"/>
  </r>
  <r>
    <n v="200002144"/>
    <s v="Gavin"/>
    <s v="Davies"/>
    <x v="0"/>
    <x v="19"/>
    <x v="3"/>
    <s v="Blue Collar"/>
    <x v="204"/>
    <n v="2311.31"/>
  </r>
  <r>
    <n v="200002145"/>
    <s v="Victor"/>
    <s v="Ince"/>
    <x v="0"/>
    <x v="14"/>
    <x v="3"/>
    <s v="Blue Collar"/>
    <x v="204"/>
    <n v="64601.54"/>
  </r>
  <r>
    <n v="200002146"/>
    <s v="Neil"/>
    <s v="Vance"/>
    <x v="0"/>
    <x v="34"/>
    <x v="3"/>
    <s v="Blue Collar"/>
    <x v="204"/>
    <n v="55276.13"/>
  </r>
  <r>
    <n v="200002147"/>
    <s v="Brian"/>
    <s v="Morgan"/>
    <x v="0"/>
    <x v="42"/>
    <x v="3"/>
    <s v="Blue Collar"/>
    <x v="204"/>
    <n v="15822.61"/>
  </r>
  <r>
    <n v="200002148"/>
    <s v="Hannah"/>
    <s v="Payne"/>
    <x v="1"/>
    <x v="46"/>
    <x v="3"/>
    <s v="Other"/>
    <x v="204"/>
    <n v="44430.94"/>
  </r>
  <r>
    <n v="200002149"/>
    <s v="Mary"/>
    <s v="MacLeod"/>
    <x v="1"/>
    <x v="27"/>
    <x v="3"/>
    <s v="Other"/>
    <x v="204"/>
    <n v="56122.61"/>
  </r>
  <r>
    <n v="300002150"/>
    <s v="Jasmine"/>
    <s v="Mitchell"/>
    <x v="1"/>
    <x v="14"/>
    <x v="2"/>
    <s v="Other"/>
    <x v="204"/>
    <n v="15635.08"/>
  </r>
  <r>
    <n v="400002151"/>
    <s v="Adam"/>
    <s v="Skinner"/>
    <x v="0"/>
    <x v="14"/>
    <x v="1"/>
    <s v="White Collar"/>
    <x v="204"/>
    <n v="117089.60000000001"/>
  </r>
  <r>
    <n v="400002152"/>
    <s v="Jane"/>
    <s v="Baker"/>
    <x v="1"/>
    <x v="24"/>
    <x v="1"/>
    <s v="Other"/>
    <x v="204"/>
    <n v="18601.060000000001"/>
  </r>
  <r>
    <n v="400002153"/>
    <s v="Gordon"/>
    <s v="Abraham"/>
    <x v="0"/>
    <x v="5"/>
    <x v="1"/>
    <s v="Other"/>
    <x v="204"/>
    <n v="83549.66"/>
  </r>
  <r>
    <n v="100002154"/>
    <s v="Virginia"/>
    <s v="Springer"/>
    <x v="1"/>
    <x v="30"/>
    <x v="0"/>
    <s v="White Collar"/>
    <x v="205"/>
    <n v="40656.480000000003"/>
  </r>
  <r>
    <n v="100002155"/>
    <s v="Dylan"/>
    <s v="Skinner"/>
    <x v="0"/>
    <x v="12"/>
    <x v="0"/>
    <s v="White Collar"/>
    <x v="205"/>
    <n v="39384.83"/>
  </r>
  <r>
    <n v="100002156"/>
    <s v="Liam"/>
    <s v="Davies"/>
    <x v="0"/>
    <x v="32"/>
    <x v="0"/>
    <s v="White Collar"/>
    <x v="205"/>
    <n v="5055.3100000000004"/>
  </r>
  <r>
    <n v="100002157"/>
    <s v="Colin"/>
    <s v="Bell"/>
    <x v="0"/>
    <x v="38"/>
    <x v="0"/>
    <s v="Other"/>
    <x v="205"/>
    <n v="38926.370000000003"/>
  </r>
  <r>
    <n v="200002158"/>
    <s v="William"/>
    <s v="McGrath"/>
    <x v="0"/>
    <x v="33"/>
    <x v="3"/>
    <s v="Other"/>
    <x v="205"/>
    <n v="32439.599999999999"/>
  </r>
  <r>
    <n v="200002159"/>
    <s v="Michael"/>
    <s v="Smith"/>
    <x v="0"/>
    <x v="13"/>
    <x v="3"/>
    <s v="Blue Collar"/>
    <x v="205"/>
    <n v="18673.91"/>
  </r>
  <r>
    <n v="200002160"/>
    <s v="Zoe"/>
    <s v="Lawrence"/>
    <x v="1"/>
    <x v="35"/>
    <x v="3"/>
    <s v="Other"/>
    <x v="205"/>
    <n v="50115.25"/>
  </r>
  <r>
    <n v="200002161"/>
    <s v="Benjamin"/>
    <s v="Sanderson"/>
    <x v="0"/>
    <x v="2"/>
    <x v="3"/>
    <s v="Blue Collar"/>
    <x v="205"/>
    <n v="7532.32"/>
  </r>
  <r>
    <n v="300002162"/>
    <s v="Audrey"/>
    <s v="Peake"/>
    <x v="1"/>
    <x v="22"/>
    <x v="2"/>
    <s v="White Collar"/>
    <x v="205"/>
    <n v="68176.38"/>
  </r>
  <r>
    <n v="300002163"/>
    <s v="Diana"/>
    <s v="Bailey"/>
    <x v="1"/>
    <x v="32"/>
    <x v="2"/>
    <s v="White Collar"/>
    <x v="205"/>
    <n v="74452.61"/>
  </r>
  <r>
    <n v="300002164"/>
    <s v="Bella"/>
    <s v="Jones"/>
    <x v="1"/>
    <x v="13"/>
    <x v="2"/>
    <s v="White Collar"/>
    <x v="205"/>
    <n v="61587.63"/>
  </r>
  <r>
    <n v="400002165"/>
    <s v="Adrian"/>
    <s v="Vaughan"/>
    <x v="0"/>
    <x v="21"/>
    <x v="1"/>
    <s v="Other"/>
    <x v="205"/>
    <n v="26165.32"/>
  </r>
  <r>
    <n v="400002166"/>
    <s v="Molly"/>
    <s v="Kelly"/>
    <x v="1"/>
    <x v="24"/>
    <x v="1"/>
    <s v="Blue Collar"/>
    <x v="205"/>
    <n v="1897.88"/>
  </r>
  <r>
    <n v="100002167"/>
    <s v="Stewart"/>
    <s v="Walker"/>
    <x v="0"/>
    <x v="30"/>
    <x v="0"/>
    <s v="White Collar"/>
    <x v="206"/>
    <n v="76517.850000000006"/>
  </r>
  <r>
    <n v="100002168"/>
    <s v="Maria"/>
    <s v="Bailey"/>
    <x v="1"/>
    <x v="8"/>
    <x v="0"/>
    <s v="White Collar"/>
    <x v="206"/>
    <n v="5252.57"/>
  </r>
  <r>
    <n v="100002169"/>
    <s v="Ruth"/>
    <s v="Hudson"/>
    <x v="1"/>
    <x v="24"/>
    <x v="0"/>
    <s v="White Collar"/>
    <x v="206"/>
    <n v="361.64"/>
  </r>
  <r>
    <n v="100002170"/>
    <s v="Boris"/>
    <s v="Avery"/>
    <x v="0"/>
    <x v="3"/>
    <x v="0"/>
    <s v="White Collar"/>
    <x v="206"/>
    <n v="54090.91"/>
  </r>
  <r>
    <n v="100002171"/>
    <s v="Andrew"/>
    <s v="Walker"/>
    <x v="0"/>
    <x v="7"/>
    <x v="0"/>
    <s v="White Collar"/>
    <x v="206"/>
    <n v="2710.9"/>
  </r>
  <r>
    <n v="100002172"/>
    <s v="Keith"/>
    <s v="Slater"/>
    <x v="0"/>
    <x v="1"/>
    <x v="0"/>
    <s v="White Collar"/>
    <x v="206"/>
    <n v="14010.06"/>
  </r>
  <r>
    <n v="100002173"/>
    <s v="Jane"/>
    <s v="Turner"/>
    <x v="1"/>
    <x v="38"/>
    <x v="0"/>
    <s v="White Collar"/>
    <x v="206"/>
    <n v="88090.32"/>
  </r>
  <r>
    <n v="100002174"/>
    <s v="Maria"/>
    <s v="McLean"/>
    <x v="1"/>
    <x v="12"/>
    <x v="0"/>
    <s v="White Collar"/>
    <x v="206"/>
    <n v="48661.99"/>
  </r>
  <r>
    <n v="100002175"/>
    <s v="Owen"/>
    <s v="Dyer"/>
    <x v="0"/>
    <x v="19"/>
    <x v="0"/>
    <s v="White Collar"/>
    <x v="206"/>
    <n v="50706.400000000001"/>
  </r>
  <r>
    <n v="200002176"/>
    <s v="Lisa"/>
    <s v="Sharp"/>
    <x v="1"/>
    <x v="38"/>
    <x v="3"/>
    <s v="Blue Collar"/>
    <x v="206"/>
    <n v="39597.199999999997"/>
  </r>
  <r>
    <n v="200002177"/>
    <s v="Blake"/>
    <s v="Terry"/>
    <x v="0"/>
    <x v="16"/>
    <x v="3"/>
    <s v="Blue Collar"/>
    <x v="206"/>
    <n v="61508.32"/>
  </r>
  <r>
    <n v="300002178"/>
    <s v="Julia"/>
    <s v="Glover"/>
    <x v="1"/>
    <x v="18"/>
    <x v="2"/>
    <s v="White Collar"/>
    <x v="206"/>
    <n v="19547.39"/>
  </r>
  <r>
    <n v="300002179"/>
    <s v="Jessica"/>
    <s v="Sharp"/>
    <x v="1"/>
    <x v="32"/>
    <x v="2"/>
    <s v="Blue Collar"/>
    <x v="206"/>
    <n v="9130.19"/>
  </r>
  <r>
    <n v="400002180"/>
    <s v="Audrey"/>
    <s v="Berry"/>
    <x v="1"/>
    <x v="13"/>
    <x v="1"/>
    <s v="White Collar"/>
    <x v="206"/>
    <n v="20101.47"/>
  </r>
  <r>
    <n v="100002181"/>
    <s v="Blake"/>
    <s v="Turner"/>
    <x v="0"/>
    <x v="3"/>
    <x v="0"/>
    <s v="White Collar"/>
    <x v="207"/>
    <n v="32529.22"/>
  </r>
  <r>
    <n v="100002182"/>
    <s v="Bella"/>
    <s v="Parsons"/>
    <x v="1"/>
    <x v="12"/>
    <x v="0"/>
    <s v="White Collar"/>
    <x v="207"/>
    <n v="27081.119999999999"/>
  </r>
  <r>
    <n v="100002183"/>
    <s v="Lillian"/>
    <s v="Bond"/>
    <x v="1"/>
    <x v="7"/>
    <x v="0"/>
    <s v="White Collar"/>
    <x v="207"/>
    <n v="31896.91"/>
  </r>
  <r>
    <n v="100002184"/>
    <s v="Sam"/>
    <s v="Ince"/>
    <x v="0"/>
    <x v="22"/>
    <x v="0"/>
    <s v="White Collar"/>
    <x v="207"/>
    <n v="33153.19"/>
  </r>
  <r>
    <n v="100002185"/>
    <s v="Owen"/>
    <s v="Ross"/>
    <x v="0"/>
    <x v="3"/>
    <x v="0"/>
    <s v="White Collar"/>
    <x v="207"/>
    <n v="3103.61"/>
  </r>
  <r>
    <n v="200002186"/>
    <s v="Nicholas"/>
    <s v="White"/>
    <x v="0"/>
    <x v="27"/>
    <x v="3"/>
    <s v="Blue Collar"/>
    <x v="207"/>
    <n v="49225.7"/>
  </r>
  <r>
    <n v="200002187"/>
    <s v="Leah"/>
    <s v="Gibson"/>
    <x v="1"/>
    <x v="2"/>
    <x v="3"/>
    <s v="Other"/>
    <x v="207"/>
    <n v="13507.48"/>
  </r>
  <r>
    <n v="300002188"/>
    <s v="Mary"/>
    <s v="Murray"/>
    <x v="1"/>
    <x v="38"/>
    <x v="2"/>
    <s v="Blue Collar"/>
    <x v="207"/>
    <n v="94793.04"/>
  </r>
  <r>
    <n v="300002189"/>
    <s v="Abigail"/>
    <s v="Wright"/>
    <x v="1"/>
    <x v="30"/>
    <x v="2"/>
    <s v="White Collar"/>
    <x v="207"/>
    <n v="99557.72"/>
  </r>
  <r>
    <n v="100002190"/>
    <s v="Vanessa"/>
    <s v="Miller"/>
    <x v="1"/>
    <x v="38"/>
    <x v="0"/>
    <s v="White Collar"/>
    <x v="208"/>
    <n v="11549.67"/>
  </r>
  <r>
    <n v="100002191"/>
    <s v="Edward"/>
    <s v="Cornish"/>
    <x v="0"/>
    <x v="3"/>
    <x v="0"/>
    <s v="White Collar"/>
    <x v="208"/>
    <n v="64701.01"/>
  </r>
  <r>
    <n v="100002192"/>
    <s v="Warren"/>
    <s v="Alsop"/>
    <x v="0"/>
    <x v="38"/>
    <x v="0"/>
    <s v="Other"/>
    <x v="208"/>
    <n v="78383.539999999994"/>
  </r>
  <r>
    <n v="100002193"/>
    <s v="Owen"/>
    <s v="Quinn"/>
    <x v="0"/>
    <x v="43"/>
    <x v="0"/>
    <s v="Blue Collar"/>
    <x v="208"/>
    <n v="62583.68"/>
  </r>
  <r>
    <n v="100002194"/>
    <s v="Alison"/>
    <s v="Nash"/>
    <x v="1"/>
    <x v="34"/>
    <x v="0"/>
    <s v="Blue Collar"/>
    <x v="208"/>
    <n v="12508.07"/>
  </r>
  <r>
    <n v="100002195"/>
    <s v="Ava"/>
    <s v="Mackay"/>
    <x v="1"/>
    <x v="21"/>
    <x v="0"/>
    <s v="White Collar"/>
    <x v="208"/>
    <n v="59155.94"/>
  </r>
  <r>
    <n v="100002196"/>
    <s v="Jasmine"/>
    <s v="Sutherland"/>
    <x v="1"/>
    <x v="3"/>
    <x v="0"/>
    <s v="Blue Collar"/>
    <x v="208"/>
    <n v="50290.76"/>
  </r>
  <r>
    <n v="100002197"/>
    <s v="Sebastian"/>
    <s v="Churchill"/>
    <x v="0"/>
    <x v="43"/>
    <x v="0"/>
    <s v="White Collar"/>
    <x v="208"/>
    <n v="840.88"/>
  </r>
  <r>
    <n v="100002198"/>
    <s v="Molly"/>
    <s v="Fisher"/>
    <x v="1"/>
    <x v="37"/>
    <x v="0"/>
    <s v="White Collar"/>
    <x v="208"/>
    <n v="51904.56"/>
  </r>
  <r>
    <n v="100002199"/>
    <s v="Leah"/>
    <s v="Sutherland"/>
    <x v="1"/>
    <x v="13"/>
    <x v="0"/>
    <s v="Other"/>
    <x v="208"/>
    <n v="73990.81"/>
  </r>
  <r>
    <n v="100002200"/>
    <s v="Phil"/>
    <s v="Davies"/>
    <x v="0"/>
    <x v="24"/>
    <x v="0"/>
    <s v="White Collar"/>
    <x v="208"/>
    <n v="33355.25"/>
  </r>
  <r>
    <n v="100002201"/>
    <s v="Phil"/>
    <s v="Ross"/>
    <x v="0"/>
    <x v="9"/>
    <x v="0"/>
    <s v="White Collar"/>
    <x v="208"/>
    <n v="37713.230000000003"/>
  </r>
  <r>
    <n v="200002202"/>
    <s v="Jonathan"/>
    <s v="Baker"/>
    <x v="0"/>
    <x v="25"/>
    <x v="3"/>
    <s v="Blue Collar"/>
    <x v="208"/>
    <n v="20409.28"/>
  </r>
  <r>
    <n v="200002203"/>
    <s v="Warren"/>
    <s v="Gray"/>
    <x v="0"/>
    <x v="32"/>
    <x v="3"/>
    <s v="Blue Collar"/>
    <x v="208"/>
    <n v="33132.449999999997"/>
  </r>
  <r>
    <n v="200002204"/>
    <s v="Joan"/>
    <s v="Howard"/>
    <x v="1"/>
    <x v="31"/>
    <x v="3"/>
    <s v="White Collar"/>
    <x v="208"/>
    <n v="36903.949999999997"/>
  </r>
  <r>
    <n v="200002205"/>
    <s v="Michelle"/>
    <s v="Lyman"/>
    <x v="1"/>
    <x v="28"/>
    <x v="3"/>
    <s v="White Collar"/>
    <x v="208"/>
    <n v="29046.07"/>
  </r>
  <r>
    <n v="200002206"/>
    <s v="Kylie"/>
    <s v="Dowd"/>
    <x v="1"/>
    <x v="18"/>
    <x v="3"/>
    <s v="Other"/>
    <x v="208"/>
    <n v="77113.36"/>
  </r>
  <r>
    <n v="200002207"/>
    <s v="William"/>
    <s v="Forsyth"/>
    <x v="0"/>
    <x v="41"/>
    <x v="3"/>
    <s v="Blue Collar"/>
    <x v="208"/>
    <n v="76439.520000000004"/>
  </r>
  <r>
    <n v="200002208"/>
    <s v="Nicholas"/>
    <s v="Graham"/>
    <x v="0"/>
    <x v="39"/>
    <x v="3"/>
    <s v="Blue Collar"/>
    <x v="208"/>
    <n v="10642.44"/>
  </r>
  <r>
    <n v="300002209"/>
    <s v="Jasmine"/>
    <s v="Henderson"/>
    <x v="1"/>
    <x v="30"/>
    <x v="2"/>
    <s v="Blue Collar"/>
    <x v="208"/>
    <n v="7614.4"/>
  </r>
  <r>
    <n v="300002210"/>
    <s v="Steven"/>
    <s v="Burgess"/>
    <x v="0"/>
    <x v="7"/>
    <x v="2"/>
    <s v="White Collar"/>
    <x v="208"/>
    <n v="44605.53"/>
  </r>
  <r>
    <n v="400002211"/>
    <s v="Amy"/>
    <s v="Graham"/>
    <x v="1"/>
    <x v="24"/>
    <x v="1"/>
    <s v="Other"/>
    <x v="208"/>
    <n v="37985.870000000003"/>
  </r>
  <r>
    <n v="400002212"/>
    <s v="Lily"/>
    <s v="Rees"/>
    <x v="1"/>
    <x v="11"/>
    <x v="1"/>
    <s v="Other"/>
    <x v="208"/>
    <n v="66857.45"/>
  </r>
  <r>
    <n v="400002213"/>
    <s v="Claire"/>
    <s v="Martin"/>
    <x v="1"/>
    <x v="24"/>
    <x v="1"/>
    <s v="Other"/>
    <x v="208"/>
    <n v="65095.97"/>
  </r>
  <r>
    <n v="100002214"/>
    <s v="Adrian"/>
    <s v="Hudson"/>
    <x v="0"/>
    <x v="9"/>
    <x v="0"/>
    <s v="Other"/>
    <x v="209"/>
    <n v="15634.04"/>
  </r>
  <r>
    <n v="100002215"/>
    <s v="Harry"/>
    <s v="Lee"/>
    <x v="0"/>
    <x v="7"/>
    <x v="0"/>
    <s v="White Collar"/>
    <x v="209"/>
    <n v="61877.87"/>
  </r>
  <r>
    <n v="100002216"/>
    <s v="Austin"/>
    <s v="McGrath"/>
    <x v="0"/>
    <x v="9"/>
    <x v="0"/>
    <s v="White Collar"/>
    <x v="209"/>
    <n v="25921.919999999998"/>
  </r>
  <r>
    <n v="100002217"/>
    <s v="Jason"/>
    <s v="Parr"/>
    <x v="0"/>
    <x v="16"/>
    <x v="0"/>
    <s v="White Collar"/>
    <x v="209"/>
    <n v="26828.16"/>
  </r>
  <r>
    <n v="100002218"/>
    <s v="Jasmine"/>
    <s v="Turner"/>
    <x v="1"/>
    <x v="30"/>
    <x v="0"/>
    <s v="White Collar"/>
    <x v="209"/>
    <n v="119118.39"/>
  </r>
  <r>
    <n v="100002219"/>
    <s v="Victoria"/>
    <s v="Underwood"/>
    <x v="1"/>
    <x v="14"/>
    <x v="0"/>
    <s v="Blue Collar"/>
    <x v="209"/>
    <n v="54692.79"/>
  </r>
  <r>
    <n v="100002220"/>
    <s v="Dominic"/>
    <s v="Kerr"/>
    <x v="0"/>
    <x v="21"/>
    <x v="0"/>
    <s v="White Collar"/>
    <x v="209"/>
    <n v="29265.97"/>
  </r>
  <r>
    <n v="100002221"/>
    <s v="Joseph"/>
    <s v="Lee"/>
    <x v="0"/>
    <x v="14"/>
    <x v="0"/>
    <s v="White Collar"/>
    <x v="209"/>
    <n v="12160.79"/>
  </r>
  <r>
    <n v="100002222"/>
    <s v="Ava"/>
    <s v="Walsh"/>
    <x v="1"/>
    <x v="2"/>
    <x v="0"/>
    <s v="White Collar"/>
    <x v="209"/>
    <n v="59642.17"/>
  </r>
  <r>
    <n v="100002223"/>
    <s v="Harry"/>
    <s v="Clarkson"/>
    <x v="0"/>
    <x v="6"/>
    <x v="0"/>
    <s v="White Collar"/>
    <x v="209"/>
    <n v="53270.720000000001"/>
  </r>
  <r>
    <n v="100002224"/>
    <s v="Megan"/>
    <s v="Hardacre"/>
    <x v="1"/>
    <x v="10"/>
    <x v="0"/>
    <s v="White Collar"/>
    <x v="209"/>
    <n v="19383.54"/>
  </r>
  <r>
    <n v="100002225"/>
    <s v="Sarah"/>
    <s v="Morrison"/>
    <x v="1"/>
    <x v="14"/>
    <x v="0"/>
    <s v="White Collar"/>
    <x v="209"/>
    <n v="14610.17"/>
  </r>
  <r>
    <n v="100002226"/>
    <s v="Chloe"/>
    <s v="Young"/>
    <x v="1"/>
    <x v="13"/>
    <x v="0"/>
    <s v="White Collar"/>
    <x v="209"/>
    <n v="47381.87"/>
  </r>
  <r>
    <n v="100002227"/>
    <s v="Jason"/>
    <s v="Thomson"/>
    <x v="0"/>
    <x v="2"/>
    <x v="0"/>
    <s v="White Collar"/>
    <x v="209"/>
    <n v="29407.63"/>
  </r>
  <r>
    <n v="100002228"/>
    <s v="Katherine"/>
    <s v="Marshall"/>
    <x v="1"/>
    <x v="1"/>
    <x v="0"/>
    <s v="White Collar"/>
    <x v="209"/>
    <n v="41588.81"/>
  </r>
  <r>
    <n v="100002229"/>
    <s v="Alan"/>
    <s v="Buckland"/>
    <x v="0"/>
    <x v="14"/>
    <x v="0"/>
    <s v="Blue Collar"/>
    <x v="209"/>
    <n v="30147.279999999999"/>
  </r>
  <r>
    <n v="100002230"/>
    <s v="Mary"/>
    <s v="Hart"/>
    <x v="1"/>
    <x v="26"/>
    <x v="0"/>
    <s v="White Collar"/>
    <x v="209"/>
    <n v="32946.720000000001"/>
  </r>
  <r>
    <n v="100002231"/>
    <s v="Una"/>
    <s v="Paterson"/>
    <x v="1"/>
    <x v="3"/>
    <x v="0"/>
    <s v="White Collar"/>
    <x v="209"/>
    <n v="37281.32"/>
  </r>
  <r>
    <n v="100002232"/>
    <s v="Sonia"/>
    <s v="Roberts"/>
    <x v="1"/>
    <x v="7"/>
    <x v="0"/>
    <s v="Other"/>
    <x v="209"/>
    <n v="36709.9"/>
  </r>
  <r>
    <n v="100002233"/>
    <s v="Elizabeth"/>
    <s v="Cameron"/>
    <x v="1"/>
    <x v="13"/>
    <x v="0"/>
    <s v="Blue Collar"/>
    <x v="209"/>
    <n v="63449.29"/>
  </r>
  <r>
    <n v="100002234"/>
    <s v="Heather"/>
    <s v="Hughes"/>
    <x v="1"/>
    <x v="37"/>
    <x v="0"/>
    <s v="White Collar"/>
    <x v="209"/>
    <n v="17321.009999999998"/>
  </r>
  <r>
    <n v="100002235"/>
    <s v="Dan"/>
    <s v="Gill"/>
    <x v="0"/>
    <x v="9"/>
    <x v="0"/>
    <s v="White Collar"/>
    <x v="209"/>
    <n v="25417.31"/>
  </r>
  <r>
    <n v="100002236"/>
    <s v="Andrea"/>
    <s v="Rampling"/>
    <x v="1"/>
    <x v="8"/>
    <x v="0"/>
    <s v="White Collar"/>
    <x v="209"/>
    <n v="17631.939999999999"/>
  </r>
  <r>
    <n v="100002237"/>
    <s v="Sebastian"/>
    <s v="May"/>
    <x v="0"/>
    <x v="12"/>
    <x v="0"/>
    <s v="White Collar"/>
    <x v="209"/>
    <n v="39028.74"/>
  </r>
  <r>
    <n v="100002238"/>
    <s v="Andrew"/>
    <s v="MacLeod"/>
    <x v="0"/>
    <x v="1"/>
    <x v="0"/>
    <s v="White Collar"/>
    <x v="209"/>
    <n v="9197.0400000000009"/>
  </r>
  <r>
    <n v="100002239"/>
    <s v="Adam"/>
    <s v="Parsons"/>
    <x v="0"/>
    <x v="1"/>
    <x v="0"/>
    <s v="White Collar"/>
    <x v="209"/>
    <n v="48947.83"/>
  </r>
  <r>
    <n v="100002240"/>
    <s v="Bernadette"/>
    <s v="Wilkins"/>
    <x v="1"/>
    <x v="12"/>
    <x v="0"/>
    <s v="White Collar"/>
    <x v="209"/>
    <n v="33197.49"/>
  </r>
  <r>
    <n v="100002241"/>
    <s v="Harry"/>
    <s v="Hill"/>
    <x v="0"/>
    <x v="14"/>
    <x v="0"/>
    <s v="White Collar"/>
    <x v="209"/>
    <n v="83804.88"/>
  </r>
  <r>
    <n v="100002242"/>
    <s v="Richard"/>
    <s v="Burgess"/>
    <x v="0"/>
    <x v="13"/>
    <x v="0"/>
    <s v="White Collar"/>
    <x v="209"/>
    <n v="38361.910000000003"/>
  </r>
  <r>
    <n v="100002243"/>
    <s v="Felicity"/>
    <s v="Arnold"/>
    <x v="1"/>
    <x v="31"/>
    <x v="0"/>
    <s v="White Collar"/>
    <x v="209"/>
    <n v="27520.61"/>
  </r>
  <r>
    <n v="100002244"/>
    <s v="Sue"/>
    <s v="Arnold"/>
    <x v="1"/>
    <x v="4"/>
    <x v="0"/>
    <s v="White Collar"/>
    <x v="209"/>
    <n v="5053.6400000000003"/>
  </r>
  <r>
    <n v="100002245"/>
    <s v="Thomas"/>
    <s v="Randall"/>
    <x v="0"/>
    <x v="11"/>
    <x v="0"/>
    <s v="White Collar"/>
    <x v="209"/>
    <n v="52872.53"/>
  </r>
  <r>
    <n v="200002246"/>
    <s v="Samantha"/>
    <s v="Marshall"/>
    <x v="1"/>
    <x v="17"/>
    <x v="3"/>
    <s v="Blue Collar"/>
    <x v="209"/>
    <n v="43787.71"/>
  </r>
  <r>
    <n v="200002247"/>
    <s v="David"/>
    <s v="McLean"/>
    <x v="0"/>
    <x v="32"/>
    <x v="3"/>
    <s v="Other"/>
    <x v="209"/>
    <n v="8115.05"/>
  </r>
  <r>
    <n v="200002248"/>
    <s v="Warren"/>
    <s v="Kerr"/>
    <x v="0"/>
    <x v="29"/>
    <x v="3"/>
    <s v="Other"/>
    <x v="209"/>
    <n v="30691.82"/>
  </r>
  <r>
    <n v="200002249"/>
    <s v="Ruth"/>
    <s v="Knox"/>
    <x v="1"/>
    <x v="17"/>
    <x v="3"/>
    <s v="Other"/>
    <x v="209"/>
    <n v="65019.95"/>
  </r>
  <r>
    <n v="200002250"/>
    <s v="Ian"/>
    <s v="Metcalfe"/>
    <x v="0"/>
    <x v="6"/>
    <x v="3"/>
    <s v="Other"/>
    <x v="209"/>
    <n v="32709.97"/>
  </r>
  <r>
    <n v="200002251"/>
    <s v="Molly"/>
    <s v="Ball"/>
    <x v="1"/>
    <x v="33"/>
    <x v="3"/>
    <s v="Other"/>
    <x v="209"/>
    <n v="18880.990000000002"/>
  </r>
  <r>
    <n v="200002252"/>
    <s v="Lucas"/>
    <s v="Short"/>
    <x v="0"/>
    <x v="6"/>
    <x v="3"/>
    <s v="Blue Collar"/>
    <x v="209"/>
    <n v="23726.79"/>
  </r>
  <r>
    <n v="200002253"/>
    <s v="Diana"/>
    <s v="Terry"/>
    <x v="1"/>
    <x v="19"/>
    <x v="3"/>
    <s v="Other"/>
    <x v="209"/>
    <n v="14835.01"/>
  </r>
  <r>
    <n v="200002254"/>
    <s v="Stephen"/>
    <s v="Carr"/>
    <x v="0"/>
    <x v="34"/>
    <x v="3"/>
    <s v="Blue Collar"/>
    <x v="209"/>
    <n v="64665.58"/>
  </r>
  <r>
    <n v="200002255"/>
    <s v="Jason"/>
    <s v="Pullman"/>
    <x v="0"/>
    <x v="10"/>
    <x v="3"/>
    <s v="Blue Collar"/>
    <x v="209"/>
    <n v="27726.59"/>
  </r>
  <r>
    <n v="200002256"/>
    <s v="Brian"/>
    <s v="Paige"/>
    <x v="0"/>
    <x v="15"/>
    <x v="3"/>
    <s v="Other"/>
    <x v="209"/>
    <n v="47114.02"/>
  </r>
  <r>
    <n v="200002257"/>
    <s v="Molly"/>
    <s v="Clark"/>
    <x v="1"/>
    <x v="35"/>
    <x v="3"/>
    <s v="Other"/>
    <x v="209"/>
    <n v="16321.85"/>
  </r>
  <r>
    <n v="200002258"/>
    <s v="Megan"/>
    <s v="Morgan"/>
    <x v="1"/>
    <x v="19"/>
    <x v="3"/>
    <s v="Other"/>
    <x v="209"/>
    <n v="31918.02"/>
  </r>
  <r>
    <n v="200002259"/>
    <s v="Alexander"/>
    <s v="Marshall"/>
    <x v="0"/>
    <x v="8"/>
    <x v="3"/>
    <s v="Blue Collar"/>
    <x v="209"/>
    <n v="54856.02"/>
  </r>
  <r>
    <n v="200002260"/>
    <s v="Jennifer"/>
    <s v="Forsyth"/>
    <x v="1"/>
    <x v="32"/>
    <x v="3"/>
    <s v="Other"/>
    <x v="209"/>
    <n v="10037.76"/>
  </r>
  <r>
    <n v="200002261"/>
    <s v="Neil"/>
    <s v="Alsop"/>
    <x v="0"/>
    <x v="19"/>
    <x v="3"/>
    <s v="Other"/>
    <x v="209"/>
    <n v="33161.08"/>
  </r>
  <r>
    <n v="200002262"/>
    <s v="Emily"/>
    <s v="Thomson"/>
    <x v="1"/>
    <x v="19"/>
    <x v="3"/>
    <s v="Other"/>
    <x v="209"/>
    <n v="28116.71"/>
  </r>
  <r>
    <n v="200002263"/>
    <s v="Madeleine"/>
    <s v="Russell"/>
    <x v="1"/>
    <x v="33"/>
    <x v="3"/>
    <s v="Blue Collar"/>
    <x v="209"/>
    <n v="48394.84"/>
  </r>
  <r>
    <n v="200002264"/>
    <s v="Leonard"/>
    <s v="Mills"/>
    <x v="0"/>
    <x v="34"/>
    <x v="3"/>
    <s v="Other"/>
    <x v="209"/>
    <n v="10508.74"/>
  </r>
  <r>
    <n v="300002265"/>
    <s v="Gabrielle"/>
    <s v="Allan"/>
    <x v="1"/>
    <x v="20"/>
    <x v="2"/>
    <s v="White Collar"/>
    <x v="209"/>
    <n v="40535.160000000003"/>
  </r>
  <r>
    <n v="300002266"/>
    <s v="Stewart"/>
    <s v="Alsop"/>
    <x v="0"/>
    <x v="7"/>
    <x v="2"/>
    <s v="Other"/>
    <x v="209"/>
    <n v="38089.79"/>
  </r>
  <r>
    <n v="300002267"/>
    <s v="Anna"/>
    <s v="Tucker"/>
    <x v="1"/>
    <x v="20"/>
    <x v="2"/>
    <s v="Other"/>
    <x v="209"/>
    <n v="5073.87"/>
  </r>
  <r>
    <n v="300002268"/>
    <s v="Evan"/>
    <s v="Dickens"/>
    <x v="0"/>
    <x v="43"/>
    <x v="2"/>
    <s v="White Collar"/>
    <x v="209"/>
    <n v="27333.57"/>
  </r>
  <r>
    <n v="300002269"/>
    <s v="Gordon"/>
    <s v="Bell"/>
    <x v="0"/>
    <x v="21"/>
    <x v="2"/>
    <s v="White Collar"/>
    <x v="209"/>
    <n v="58399.199999999997"/>
  </r>
  <r>
    <n v="300002270"/>
    <s v="Neil"/>
    <s v="Lawrence"/>
    <x v="0"/>
    <x v="22"/>
    <x v="2"/>
    <s v="White Collar"/>
    <x v="209"/>
    <n v="11552.18"/>
  </r>
  <r>
    <n v="300002271"/>
    <s v="Christian"/>
    <s v="Miller"/>
    <x v="0"/>
    <x v="14"/>
    <x v="2"/>
    <s v="Other"/>
    <x v="209"/>
    <n v="40862.92"/>
  </r>
  <r>
    <n v="300002272"/>
    <s v="Boris"/>
    <s v="Graham"/>
    <x v="0"/>
    <x v="26"/>
    <x v="2"/>
    <s v="Blue Collar"/>
    <x v="209"/>
    <n v="14748.59"/>
  </r>
  <r>
    <n v="300002273"/>
    <s v="Nathan"/>
    <s v="Wright"/>
    <x v="0"/>
    <x v="2"/>
    <x v="2"/>
    <s v="Blue Collar"/>
    <x v="209"/>
    <n v="36919.089999999997"/>
  </r>
  <r>
    <n v="300002274"/>
    <s v="Jason"/>
    <s v="Avery"/>
    <x v="0"/>
    <x v="20"/>
    <x v="2"/>
    <s v="Other"/>
    <x v="209"/>
    <n v="41197.660000000003"/>
  </r>
  <r>
    <n v="300002275"/>
    <s v="Olivia"/>
    <s v="Newman"/>
    <x v="1"/>
    <x v="12"/>
    <x v="2"/>
    <s v="White Collar"/>
    <x v="209"/>
    <n v="84942.22"/>
  </r>
  <r>
    <n v="400002276"/>
    <s v="Irene"/>
    <s v="Sutherland"/>
    <x v="1"/>
    <x v="24"/>
    <x v="1"/>
    <s v="White Collar"/>
    <x v="209"/>
    <n v="50798.78"/>
  </r>
  <r>
    <n v="400002277"/>
    <s v="Vanessa"/>
    <s v="McLean"/>
    <x v="1"/>
    <x v="4"/>
    <x v="1"/>
    <s v="Other"/>
    <x v="209"/>
    <n v="13914.8"/>
  </r>
  <r>
    <n v="400002278"/>
    <s v="Pippa"/>
    <s v="Ball"/>
    <x v="1"/>
    <x v="7"/>
    <x v="1"/>
    <s v="Other"/>
    <x v="209"/>
    <n v="133.75"/>
  </r>
  <r>
    <n v="400002279"/>
    <s v="Victoria"/>
    <s v="Slater"/>
    <x v="1"/>
    <x v="30"/>
    <x v="1"/>
    <s v="Other"/>
    <x v="209"/>
    <n v="74348.45"/>
  </r>
  <r>
    <n v="400002280"/>
    <s v="Connor"/>
    <s v="Fisher"/>
    <x v="0"/>
    <x v="30"/>
    <x v="1"/>
    <s v="Blue Collar"/>
    <x v="209"/>
    <n v="11180.72"/>
  </r>
  <r>
    <n v="100002281"/>
    <s v="Leah"/>
    <s v="Marshall"/>
    <x v="1"/>
    <x v="25"/>
    <x v="0"/>
    <s v="White Collar"/>
    <x v="210"/>
    <n v="34393.800000000003"/>
  </r>
  <r>
    <n v="100002282"/>
    <s v="Nathan"/>
    <s v="Clarkson"/>
    <x v="0"/>
    <x v="3"/>
    <x v="0"/>
    <s v="White Collar"/>
    <x v="210"/>
    <n v="59321.49"/>
  </r>
  <r>
    <n v="100002283"/>
    <s v="Andrea"/>
    <s v="Burgess"/>
    <x v="1"/>
    <x v="4"/>
    <x v="0"/>
    <s v="White Collar"/>
    <x v="210"/>
    <n v="96144.95"/>
  </r>
  <r>
    <n v="100002284"/>
    <s v="Michael"/>
    <s v="Lewis"/>
    <x v="0"/>
    <x v="30"/>
    <x v="0"/>
    <s v="Blue Collar"/>
    <x v="210"/>
    <n v="34290.400000000001"/>
  </r>
  <r>
    <n v="100002285"/>
    <s v="Sonia"/>
    <s v="Ball"/>
    <x v="1"/>
    <x v="13"/>
    <x v="0"/>
    <s v="Other"/>
    <x v="210"/>
    <n v="4941.26"/>
  </r>
  <r>
    <n v="100002286"/>
    <s v="Wanda"/>
    <s v="Mackenzie"/>
    <x v="1"/>
    <x v="38"/>
    <x v="0"/>
    <s v="White Collar"/>
    <x v="210"/>
    <n v="107083.15"/>
  </r>
  <r>
    <n v="100002287"/>
    <s v="Sophie"/>
    <s v="Welch"/>
    <x v="1"/>
    <x v="12"/>
    <x v="0"/>
    <s v="Blue Collar"/>
    <x v="210"/>
    <n v="49350.39"/>
  </r>
  <r>
    <n v="100002288"/>
    <s v="Isaac"/>
    <s v="Dickens"/>
    <x v="0"/>
    <x v="35"/>
    <x v="0"/>
    <s v="Blue Collar"/>
    <x v="210"/>
    <n v="56729.36"/>
  </r>
  <r>
    <n v="200002289"/>
    <s v="Stewart"/>
    <s v="Cornish"/>
    <x v="0"/>
    <x v="8"/>
    <x v="3"/>
    <s v="Blue Collar"/>
    <x v="210"/>
    <n v="82055.210000000006"/>
  </r>
  <r>
    <n v="200002290"/>
    <s v="Nicholas"/>
    <s v="Metcalfe"/>
    <x v="0"/>
    <x v="34"/>
    <x v="3"/>
    <s v="White Collar"/>
    <x v="210"/>
    <n v="48333.09"/>
  </r>
  <r>
    <n v="200002291"/>
    <s v="Justin"/>
    <s v="Wallace"/>
    <x v="0"/>
    <x v="12"/>
    <x v="3"/>
    <s v="Blue Collar"/>
    <x v="210"/>
    <n v="15706.01"/>
  </r>
  <r>
    <n v="200002292"/>
    <s v="Gordon"/>
    <s v="Wright"/>
    <x v="0"/>
    <x v="27"/>
    <x v="3"/>
    <s v="Other"/>
    <x v="210"/>
    <n v="67521.259999999995"/>
  </r>
  <r>
    <n v="200002293"/>
    <s v="Jacob"/>
    <s v="Mackay"/>
    <x v="0"/>
    <x v="25"/>
    <x v="3"/>
    <s v="Blue Collar"/>
    <x v="210"/>
    <n v="875.27"/>
  </r>
  <r>
    <n v="200002294"/>
    <s v="William"/>
    <s v="Morrison"/>
    <x v="0"/>
    <x v="16"/>
    <x v="3"/>
    <s v="Blue Collar"/>
    <x v="210"/>
    <n v="93395.64"/>
  </r>
  <r>
    <n v="200002295"/>
    <s v="Gavin"/>
    <s v="Hardacre"/>
    <x v="0"/>
    <x v="17"/>
    <x v="3"/>
    <s v="Other"/>
    <x v="210"/>
    <n v="27024.47"/>
  </r>
  <r>
    <n v="200002296"/>
    <s v="John"/>
    <s v="Forsyth"/>
    <x v="0"/>
    <x v="34"/>
    <x v="3"/>
    <s v="Blue Collar"/>
    <x v="210"/>
    <n v="10899.65"/>
  </r>
  <r>
    <n v="300002297"/>
    <s v="Jasmine"/>
    <s v="Rees"/>
    <x v="1"/>
    <x v="5"/>
    <x v="2"/>
    <s v="White Collar"/>
    <x v="210"/>
    <n v="117809.44"/>
  </r>
  <r>
    <n v="300002298"/>
    <s v="Phil"/>
    <s v="Arnold"/>
    <x v="0"/>
    <x v="14"/>
    <x v="2"/>
    <s v="Blue Collar"/>
    <x v="210"/>
    <n v="80824.89"/>
  </r>
  <r>
    <n v="400002299"/>
    <s v="Ella"/>
    <s v="McLean"/>
    <x v="1"/>
    <x v="14"/>
    <x v="1"/>
    <s v="Blue Collar"/>
    <x v="210"/>
    <n v="59970.28"/>
  </r>
  <r>
    <n v="100002300"/>
    <s v="Phil"/>
    <s v="Jones"/>
    <x v="0"/>
    <x v="1"/>
    <x v="0"/>
    <s v="White Collar"/>
    <x v="211"/>
    <n v="81376.19"/>
  </r>
  <r>
    <n v="100002301"/>
    <s v="Irene"/>
    <s v="Dyer"/>
    <x v="1"/>
    <x v="12"/>
    <x v="0"/>
    <s v="White Collar"/>
    <x v="211"/>
    <n v="64555.12"/>
  </r>
  <r>
    <n v="100002302"/>
    <s v="Neil"/>
    <s v="Wright"/>
    <x v="0"/>
    <x v="38"/>
    <x v="0"/>
    <s v="Other"/>
    <x v="211"/>
    <n v="11825.37"/>
  </r>
  <r>
    <n v="100002303"/>
    <s v="Lauren"/>
    <s v="Marshall"/>
    <x v="1"/>
    <x v="34"/>
    <x v="0"/>
    <s v="Blue Collar"/>
    <x v="211"/>
    <n v="22420.34"/>
  </r>
  <r>
    <n v="100002304"/>
    <s v="Maria"/>
    <s v="Newman"/>
    <x v="1"/>
    <x v="35"/>
    <x v="0"/>
    <s v="White Collar"/>
    <x v="211"/>
    <n v="80925.56"/>
  </r>
  <r>
    <n v="100002305"/>
    <s v="Joan"/>
    <s v="Fisher"/>
    <x v="1"/>
    <x v="1"/>
    <x v="0"/>
    <s v="Other"/>
    <x v="211"/>
    <n v="22433.360000000001"/>
  </r>
  <r>
    <n v="100002306"/>
    <s v="Luke"/>
    <s v="Lyman"/>
    <x v="0"/>
    <x v="13"/>
    <x v="0"/>
    <s v="White Collar"/>
    <x v="211"/>
    <n v="116522.47"/>
  </r>
  <r>
    <n v="100002307"/>
    <s v="Nicola"/>
    <s v="Gray"/>
    <x v="1"/>
    <x v="32"/>
    <x v="0"/>
    <s v="White Collar"/>
    <x v="211"/>
    <n v="106071.02"/>
  </r>
  <r>
    <n v="200002308"/>
    <s v="Adam"/>
    <s v="Dowd"/>
    <x v="0"/>
    <x v="25"/>
    <x v="3"/>
    <s v="Blue Collar"/>
    <x v="211"/>
    <n v="75620.5"/>
  </r>
  <r>
    <n v="200002309"/>
    <s v="Caroline"/>
    <s v="Carr"/>
    <x v="1"/>
    <x v="34"/>
    <x v="3"/>
    <s v="Other"/>
    <x v="211"/>
    <n v="71299.839999999997"/>
  </r>
  <r>
    <n v="200002310"/>
    <s v="Isaac"/>
    <s v="Paige"/>
    <x v="0"/>
    <x v="6"/>
    <x v="3"/>
    <s v="White Collar"/>
    <x v="211"/>
    <n v="54081.03"/>
  </r>
  <r>
    <n v="200002311"/>
    <s v="Kevin"/>
    <s v="Howard"/>
    <x v="0"/>
    <x v="47"/>
    <x v="3"/>
    <s v="Blue Collar"/>
    <x v="211"/>
    <n v="10325.52"/>
  </r>
  <r>
    <n v="200002312"/>
    <s v="Jason"/>
    <s v="Quinn"/>
    <x v="0"/>
    <x v="27"/>
    <x v="3"/>
    <s v="Blue Collar"/>
    <x v="211"/>
    <n v="65464.91"/>
  </r>
  <r>
    <n v="200002313"/>
    <s v="Christopher"/>
    <s v="Ferguson"/>
    <x v="0"/>
    <x v="34"/>
    <x v="3"/>
    <s v="Other"/>
    <x v="211"/>
    <n v="77140.53"/>
  </r>
  <r>
    <n v="300002314"/>
    <s v="Hannah"/>
    <s v="Hill"/>
    <x v="1"/>
    <x v="37"/>
    <x v="2"/>
    <s v="White Collar"/>
    <x v="211"/>
    <n v="32823.599999999999"/>
  </r>
  <r>
    <n v="300002315"/>
    <s v="Rachel"/>
    <s v="Morgan"/>
    <x v="1"/>
    <x v="22"/>
    <x v="2"/>
    <s v="Blue Collar"/>
    <x v="211"/>
    <n v="80558.45"/>
  </r>
  <r>
    <n v="300002316"/>
    <s v="Jan"/>
    <s v="Randall"/>
    <x v="1"/>
    <x v="1"/>
    <x v="2"/>
    <s v="White Collar"/>
    <x v="211"/>
    <n v="14009.77"/>
  </r>
  <r>
    <n v="400002317"/>
    <s v="Amanda"/>
    <s v="Newman"/>
    <x v="1"/>
    <x v="29"/>
    <x v="1"/>
    <s v="Blue Collar"/>
    <x v="211"/>
    <n v="63979.4"/>
  </r>
  <r>
    <n v="400002318"/>
    <s v="Natalie"/>
    <s v="Vaughan"/>
    <x v="1"/>
    <x v="13"/>
    <x v="1"/>
    <s v="Other"/>
    <x v="211"/>
    <n v="27667.95"/>
  </r>
  <r>
    <n v="400002319"/>
    <s v="Karen"/>
    <s v="Butler"/>
    <x v="1"/>
    <x v="9"/>
    <x v="1"/>
    <s v="White Collar"/>
    <x v="211"/>
    <n v="6540.58"/>
  </r>
  <r>
    <n v="100002320"/>
    <s v="Blake"/>
    <s v="Brown"/>
    <x v="0"/>
    <x v="24"/>
    <x v="0"/>
    <s v="White Collar"/>
    <x v="212"/>
    <n v="54644.32"/>
  </r>
  <r>
    <n v="100002321"/>
    <s v="Mary"/>
    <s v="Graham"/>
    <x v="1"/>
    <x v="2"/>
    <x v="0"/>
    <s v="White Collar"/>
    <x v="212"/>
    <n v="26572.57"/>
  </r>
  <r>
    <n v="100002322"/>
    <s v="Audrey"/>
    <s v="Piper"/>
    <x v="1"/>
    <x v="32"/>
    <x v="0"/>
    <s v="White Collar"/>
    <x v="212"/>
    <n v="7835.46"/>
  </r>
  <r>
    <n v="100002323"/>
    <s v="Charles"/>
    <s v="Glover"/>
    <x v="0"/>
    <x v="9"/>
    <x v="0"/>
    <s v="Blue Collar"/>
    <x v="212"/>
    <n v="71368.77"/>
  </r>
  <r>
    <n v="100002324"/>
    <s v="Anthony"/>
    <s v="Rutherford"/>
    <x v="0"/>
    <x v="14"/>
    <x v="0"/>
    <s v="Other"/>
    <x v="212"/>
    <n v="6031.79"/>
  </r>
  <r>
    <n v="100002325"/>
    <s v="Lily"/>
    <s v="Sutherland"/>
    <x v="1"/>
    <x v="34"/>
    <x v="0"/>
    <s v="Other"/>
    <x v="212"/>
    <n v="68291.360000000001"/>
  </r>
  <r>
    <n v="100002326"/>
    <s v="Caroline"/>
    <s v="Bond"/>
    <x v="1"/>
    <x v="34"/>
    <x v="0"/>
    <s v="White Collar"/>
    <x v="212"/>
    <n v="59349.16"/>
  </r>
  <r>
    <n v="100002327"/>
    <s v="Adrian"/>
    <s v="Ross"/>
    <x v="0"/>
    <x v="13"/>
    <x v="0"/>
    <s v="White Collar"/>
    <x v="212"/>
    <n v="12395.4"/>
  </r>
  <r>
    <n v="100002328"/>
    <s v="Jennifer"/>
    <s v="Rampling"/>
    <x v="1"/>
    <x v="14"/>
    <x v="0"/>
    <s v="Blue Collar"/>
    <x v="212"/>
    <n v="25978.37"/>
  </r>
  <r>
    <n v="200002329"/>
    <s v="Claire"/>
    <s v="Nolan"/>
    <x v="1"/>
    <x v="27"/>
    <x v="3"/>
    <s v="Other"/>
    <x v="212"/>
    <n v="41704.559999999998"/>
  </r>
  <r>
    <n v="200002330"/>
    <s v="Andrew"/>
    <s v="Lewis"/>
    <x v="0"/>
    <x v="15"/>
    <x v="3"/>
    <s v="Other"/>
    <x v="212"/>
    <n v="58713.96"/>
  </r>
  <r>
    <n v="200002331"/>
    <s v="Harry"/>
    <s v="James"/>
    <x v="0"/>
    <x v="17"/>
    <x v="3"/>
    <s v="Blue Collar"/>
    <x v="212"/>
    <n v="64059.71"/>
  </r>
  <r>
    <n v="200002332"/>
    <s v="Warren"/>
    <s v="Quinn"/>
    <x v="0"/>
    <x v="41"/>
    <x v="3"/>
    <s v="Blue Collar"/>
    <x v="212"/>
    <n v="34782.54"/>
  </r>
  <r>
    <n v="200002333"/>
    <s v="Carl"/>
    <s v="Ellison"/>
    <x v="0"/>
    <x v="19"/>
    <x v="3"/>
    <s v="Blue Collar"/>
    <x v="212"/>
    <n v="3246.67"/>
  </r>
  <r>
    <n v="300002334"/>
    <s v="Joe"/>
    <s v="Nolan"/>
    <x v="0"/>
    <x v="7"/>
    <x v="2"/>
    <s v="Blue Collar"/>
    <x v="212"/>
    <n v="108674.69"/>
  </r>
  <r>
    <n v="300002335"/>
    <s v="Benjamin"/>
    <s v="Howard"/>
    <x v="0"/>
    <x v="12"/>
    <x v="2"/>
    <s v="White Collar"/>
    <x v="212"/>
    <n v="144209.76999999999"/>
  </r>
  <r>
    <n v="300002336"/>
    <s v="Heather"/>
    <s v="Buckland"/>
    <x v="1"/>
    <x v="24"/>
    <x v="2"/>
    <s v="White Collar"/>
    <x v="212"/>
    <n v="33122.15"/>
  </r>
  <r>
    <n v="400002337"/>
    <s v="Victoria"/>
    <s v="Powell"/>
    <x v="1"/>
    <x v="9"/>
    <x v="1"/>
    <s v="White Collar"/>
    <x v="212"/>
    <n v="40064.67"/>
  </r>
  <r>
    <n v="100002338"/>
    <s v="Michael"/>
    <s v="Langdon"/>
    <x v="0"/>
    <x v="9"/>
    <x v="0"/>
    <s v="Blue Collar"/>
    <x v="213"/>
    <n v="29733.42"/>
  </r>
  <r>
    <n v="100002339"/>
    <s v="Deirdre"/>
    <s v="May"/>
    <x v="1"/>
    <x v="13"/>
    <x v="0"/>
    <s v="Other"/>
    <x v="213"/>
    <n v="107268.59"/>
  </r>
  <r>
    <n v="100002340"/>
    <s v="William"/>
    <s v="Graham"/>
    <x v="0"/>
    <x v="14"/>
    <x v="0"/>
    <s v="White Collar"/>
    <x v="213"/>
    <n v="34070.86"/>
  </r>
  <r>
    <n v="100002341"/>
    <s v="Dominic"/>
    <s v="Black"/>
    <x v="0"/>
    <x v="16"/>
    <x v="0"/>
    <s v="Other"/>
    <x v="213"/>
    <n v="10486.23"/>
  </r>
  <r>
    <n v="100002342"/>
    <s v="Hannah"/>
    <s v="Russell"/>
    <x v="1"/>
    <x v="5"/>
    <x v="0"/>
    <s v="Blue Collar"/>
    <x v="213"/>
    <n v="13717.09"/>
  </r>
  <r>
    <n v="100002343"/>
    <s v="Theresa"/>
    <s v="Ferguson"/>
    <x v="1"/>
    <x v="13"/>
    <x v="0"/>
    <s v="White Collar"/>
    <x v="213"/>
    <n v="12498.12"/>
  </r>
  <r>
    <n v="100002344"/>
    <s v="Stephanie"/>
    <s v="Gray"/>
    <x v="1"/>
    <x v="26"/>
    <x v="0"/>
    <s v="White Collar"/>
    <x v="213"/>
    <n v="84123.93"/>
  </r>
  <r>
    <n v="100002345"/>
    <s v="John"/>
    <s v="Terry"/>
    <x v="0"/>
    <x v="34"/>
    <x v="0"/>
    <s v="White Collar"/>
    <x v="213"/>
    <n v="73668.490000000005"/>
  </r>
  <r>
    <n v="100002346"/>
    <s v="Kylie"/>
    <s v="Davidson"/>
    <x v="1"/>
    <x v="30"/>
    <x v="0"/>
    <s v="White Collar"/>
    <x v="213"/>
    <n v="103942.23"/>
  </r>
  <r>
    <n v="100002347"/>
    <s v="Leonard"/>
    <s v="Lee"/>
    <x v="0"/>
    <x v="19"/>
    <x v="0"/>
    <s v="White Collar"/>
    <x v="213"/>
    <n v="26318.03"/>
  </r>
  <r>
    <n v="100002348"/>
    <s v="Benjamin"/>
    <s v="Payne"/>
    <x v="0"/>
    <x v="16"/>
    <x v="0"/>
    <s v="White Collar"/>
    <x v="213"/>
    <n v="71079.13"/>
  </r>
  <r>
    <n v="200002349"/>
    <s v="Christian"/>
    <s v="Mackenzie"/>
    <x v="0"/>
    <x v="23"/>
    <x v="3"/>
    <s v="Blue Collar"/>
    <x v="213"/>
    <n v="68406.240000000005"/>
  </r>
  <r>
    <n v="200002350"/>
    <s v="Gavin"/>
    <s v="Jones"/>
    <x v="0"/>
    <x v="28"/>
    <x v="3"/>
    <s v="Blue Collar"/>
    <x v="213"/>
    <n v="14273.21"/>
  </r>
  <r>
    <n v="200002351"/>
    <s v="Amelia"/>
    <s v="Short"/>
    <x v="1"/>
    <x v="18"/>
    <x v="3"/>
    <s v="Other"/>
    <x v="213"/>
    <n v="12232.83"/>
  </r>
  <r>
    <n v="200002352"/>
    <s v="Owen"/>
    <s v="Marshall"/>
    <x v="0"/>
    <x v="14"/>
    <x v="3"/>
    <s v="Blue Collar"/>
    <x v="213"/>
    <n v="91884.77"/>
  </r>
  <r>
    <n v="200002353"/>
    <s v="Leonard"/>
    <s v="Lyman"/>
    <x v="0"/>
    <x v="47"/>
    <x v="3"/>
    <s v="Blue Collar"/>
    <x v="213"/>
    <n v="139415.88"/>
  </r>
  <r>
    <n v="200002354"/>
    <s v="Blake"/>
    <s v="Nolan"/>
    <x v="0"/>
    <x v="34"/>
    <x v="3"/>
    <s v="Blue Collar"/>
    <x v="213"/>
    <n v="91759.2"/>
  </r>
  <r>
    <n v="200002355"/>
    <s v="Molly"/>
    <s v="Buckland"/>
    <x v="1"/>
    <x v="4"/>
    <x v="3"/>
    <s v="Other"/>
    <x v="213"/>
    <n v="69556.06"/>
  </r>
  <r>
    <n v="200002356"/>
    <s v="Chloe"/>
    <s v="Sanderson"/>
    <x v="1"/>
    <x v="23"/>
    <x v="3"/>
    <s v="Other"/>
    <x v="213"/>
    <n v="6674.7"/>
  </r>
  <r>
    <n v="200002357"/>
    <s v="Katherine"/>
    <s v="Lambert"/>
    <x v="1"/>
    <x v="15"/>
    <x v="3"/>
    <s v="Other"/>
    <x v="213"/>
    <n v="53914.11"/>
  </r>
  <r>
    <n v="200002358"/>
    <s v="Simon"/>
    <s v="Churchill"/>
    <x v="0"/>
    <x v="33"/>
    <x v="3"/>
    <s v="Blue Collar"/>
    <x v="213"/>
    <n v="19128.02"/>
  </r>
  <r>
    <n v="300002359"/>
    <s v="Theresa"/>
    <s v="Bailey"/>
    <x v="1"/>
    <x v="3"/>
    <x v="2"/>
    <s v="Other"/>
    <x v="213"/>
    <n v="19954.05"/>
  </r>
  <r>
    <n v="400002360"/>
    <s v="Molly"/>
    <s v="Mackenzie"/>
    <x v="1"/>
    <x v="22"/>
    <x v="1"/>
    <s v="Other"/>
    <x v="213"/>
    <n v="77091.37"/>
  </r>
  <r>
    <n v="400002361"/>
    <s v="Peter"/>
    <s v="Bailey"/>
    <x v="0"/>
    <x v="16"/>
    <x v="1"/>
    <s v="White Collar"/>
    <x v="213"/>
    <n v="85187.91"/>
  </r>
  <r>
    <n v="100002362"/>
    <s v="Melanie"/>
    <s v="Hodges"/>
    <x v="1"/>
    <x v="7"/>
    <x v="0"/>
    <s v="White Collar"/>
    <x v="214"/>
    <n v="4575"/>
  </r>
  <r>
    <n v="100002363"/>
    <s v="Heather"/>
    <s v="Sutherland"/>
    <x v="1"/>
    <x v="5"/>
    <x v="0"/>
    <s v="White Collar"/>
    <x v="214"/>
    <n v="78128.45"/>
  </r>
  <r>
    <n v="100002364"/>
    <s v="Amy"/>
    <s v="McDonald"/>
    <x v="1"/>
    <x v="22"/>
    <x v="0"/>
    <s v="White Collar"/>
    <x v="214"/>
    <n v="16080.85"/>
  </r>
  <r>
    <n v="100002365"/>
    <s v="Sam"/>
    <s v="Hunter"/>
    <x v="0"/>
    <x v="25"/>
    <x v="0"/>
    <s v="Other"/>
    <x v="214"/>
    <n v="4735.8"/>
  </r>
  <r>
    <n v="100002366"/>
    <s v="Stephen"/>
    <s v="Oliver"/>
    <x v="0"/>
    <x v="13"/>
    <x v="0"/>
    <s v="White Collar"/>
    <x v="214"/>
    <n v="36528.379999999997"/>
  </r>
  <r>
    <n v="100002367"/>
    <s v="Ryan"/>
    <s v="Mackenzie"/>
    <x v="0"/>
    <x v="1"/>
    <x v="0"/>
    <s v="Blue Collar"/>
    <x v="214"/>
    <n v="135158.19"/>
  </r>
  <r>
    <n v="100002368"/>
    <s v="Gavin"/>
    <s v="Morgan"/>
    <x v="0"/>
    <x v="14"/>
    <x v="0"/>
    <s v="White Collar"/>
    <x v="214"/>
    <n v="91665.23"/>
  </r>
  <r>
    <n v="100002369"/>
    <s v="Warren"/>
    <s v="Glover"/>
    <x v="0"/>
    <x v="21"/>
    <x v="0"/>
    <s v="White Collar"/>
    <x v="214"/>
    <n v="61577.15"/>
  </r>
  <r>
    <n v="100002370"/>
    <s v="Madeleine"/>
    <s v="Avery"/>
    <x v="1"/>
    <x v="3"/>
    <x v="0"/>
    <s v="White Collar"/>
    <x v="214"/>
    <n v="19995.78"/>
  </r>
  <r>
    <n v="100002371"/>
    <s v="Jonathan"/>
    <s v="Kelly"/>
    <x v="0"/>
    <x v="7"/>
    <x v="0"/>
    <s v="White Collar"/>
    <x v="214"/>
    <n v="23676.73"/>
  </r>
  <r>
    <n v="100002372"/>
    <s v="Faith"/>
    <s v="Berry"/>
    <x v="1"/>
    <x v="21"/>
    <x v="0"/>
    <s v="White Collar"/>
    <x v="214"/>
    <n v="13836.11"/>
  </r>
  <r>
    <n v="100002373"/>
    <s v="Piers"/>
    <s v="Greene"/>
    <x v="0"/>
    <x v="1"/>
    <x v="0"/>
    <s v="Blue Collar"/>
    <x v="214"/>
    <n v="30792.03"/>
  </r>
  <r>
    <n v="200002374"/>
    <s v="Connor"/>
    <s v="King"/>
    <x v="0"/>
    <x v="4"/>
    <x v="3"/>
    <s v="Blue Collar"/>
    <x v="214"/>
    <n v="43582.09"/>
  </r>
  <r>
    <n v="200002375"/>
    <s v="Stewart"/>
    <s v="Mackenzie"/>
    <x v="0"/>
    <x v="34"/>
    <x v="3"/>
    <s v="Other"/>
    <x v="214"/>
    <n v="64592.88"/>
  </r>
  <r>
    <n v="200002376"/>
    <s v="Paul"/>
    <s v="Murray"/>
    <x v="0"/>
    <x v="32"/>
    <x v="3"/>
    <s v="Blue Collar"/>
    <x v="214"/>
    <n v="57784.39"/>
  </r>
  <r>
    <n v="200002377"/>
    <s v="Simon"/>
    <s v="Gray"/>
    <x v="0"/>
    <x v="2"/>
    <x v="3"/>
    <s v="White Collar"/>
    <x v="214"/>
    <n v="12483.24"/>
  </r>
  <r>
    <n v="200002378"/>
    <s v="Charles"/>
    <s v="Avery"/>
    <x v="0"/>
    <x v="15"/>
    <x v="3"/>
    <s v="Other"/>
    <x v="214"/>
    <n v="7185.59"/>
  </r>
  <r>
    <n v="200002379"/>
    <s v="Isaac"/>
    <s v="Lambert"/>
    <x v="0"/>
    <x v="32"/>
    <x v="3"/>
    <s v="Blue Collar"/>
    <x v="214"/>
    <n v="21251.759999999998"/>
  </r>
  <r>
    <n v="300002380"/>
    <s v="Claire"/>
    <s v="James"/>
    <x v="1"/>
    <x v="10"/>
    <x v="2"/>
    <s v="White Collar"/>
    <x v="214"/>
    <n v="100130.71"/>
  </r>
  <r>
    <n v="400002381"/>
    <s v="Hannah"/>
    <s v="Short"/>
    <x v="1"/>
    <x v="32"/>
    <x v="1"/>
    <s v="Other"/>
    <x v="214"/>
    <n v="21607.48"/>
  </r>
  <r>
    <n v="400002382"/>
    <s v="Audrey"/>
    <s v="Knox"/>
    <x v="1"/>
    <x v="11"/>
    <x v="1"/>
    <s v="Other"/>
    <x v="214"/>
    <n v="899.97"/>
  </r>
  <r>
    <n v="400002383"/>
    <s v="Amy"/>
    <s v="Fisher"/>
    <x v="1"/>
    <x v="11"/>
    <x v="1"/>
    <s v="White Collar"/>
    <x v="214"/>
    <n v="17347.52"/>
  </r>
  <r>
    <n v="100002384"/>
    <s v="Jessica"/>
    <s v="Jackson"/>
    <x v="1"/>
    <x v="7"/>
    <x v="0"/>
    <s v="White Collar"/>
    <x v="215"/>
    <n v="30454.03"/>
  </r>
  <r>
    <n v="100002385"/>
    <s v="Jake"/>
    <s v="Bell"/>
    <x v="0"/>
    <x v="38"/>
    <x v="0"/>
    <s v="White Collar"/>
    <x v="215"/>
    <n v="73793.66"/>
  </r>
  <r>
    <n v="100002386"/>
    <s v="Andrea"/>
    <s v="Hudson"/>
    <x v="1"/>
    <x v="2"/>
    <x v="0"/>
    <s v="White Collar"/>
    <x v="215"/>
    <n v="112571.21"/>
  </r>
  <r>
    <n v="100002387"/>
    <s v="Richard"/>
    <s v="Hudson"/>
    <x v="0"/>
    <x v="30"/>
    <x v="0"/>
    <s v="White Collar"/>
    <x v="215"/>
    <n v="58720.19"/>
  </r>
  <r>
    <n v="100002388"/>
    <s v="Theresa"/>
    <s v="Lewis"/>
    <x v="1"/>
    <x v="4"/>
    <x v="0"/>
    <s v="Blue Collar"/>
    <x v="215"/>
    <n v="3761.07"/>
  </r>
  <r>
    <n v="100002389"/>
    <s v="Felicity"/>
    <s v="Oliver"/>
    <x v="1"/>
    <x v="34"/>
    <x v="0"/>
    <s v="Other"/>
    <x v="215"/>
    <n v="12247.62"/>
  </r>
  <r>
    <n v="100002390"/>
    <s v="Penelope"/>
    <s v="Dowd"/>
    <x v="1"/>
    <x v="34"/>
    <x v="0"/>
    <s v="White Collar"/>
    <x v="215"/>
    <n v="123159.76"/>
  </r>
  <r>
    <n v="100002391"/>
    <s v="Gordon"/>
    <s v="Russell"/>
    <x v="0"/>
    <x v="30"/>
    <x v="0"/>
    <s v="White Collar"/>
    <x v="215"/>
    <n v="9979.14"/>
  </r>
  <r>
    <n v="100002392"/>
    <s v="Colin"/>
    <s v="Newman"/>
    <x v="0"/>
    <x v="5"/>
    <x v="0"/>
    <s v="Other"/>
    <x v="215"/>
    <n v="20821.23"/>
  </r>
  <r>
    <n v="200002393"/>
    <s v="Warren"/>
    <s v="Bond"/>
    <x v="0"/>
    <x v="9"/>
    <x v="3"/>
    <s v="Blue Collar"/>
    <x v="215"/>
    <n v="64487.05"/>
  </r>
  <r>
    <n v="200002394"/>
    <s v="Anna"/>
    <s v="Oliver"/>
    <x v="1"/>
    <x v="31"/>
    <x v="3"/>
    <s v="Other"/>
    <x v="215"/>
    <n v="24636.06"/>
  </r>
  <r>
    <n v="200002395"/>
    <s v="Alexander"/>
    <s v="Hudson"/>
    <x v="0"/>
    <x v="34"/>
    <x v="3"/>
    <s v="Other"/>
    <x v="215"/>
    <n v="81068.100000000006"/>
  </r>
  <r>
    <n v="200002396"/>
    <s v="Ian"/>
    <s v="Black"/>
    <x v="0"/>
    <x v="40"/>
    <x v="3"/>
    <s v="Blue Collar"/>
    <x v="215"/>
    <n v="49358.43"/>
  </r>
  <r>
    <n v="200002397"/>
    <s v="Paul"/>
    <s v="Nash"/>
    <x v="0"/>
    <x v="19"/>
    <x v="3"/>
    <s v="Blue Collar"/>
    <x v="215"/>
    <n v="34740.160000000003"/>
  </r>
  <r>
    <n v="200002398"/>
    <s v="Isaac"/>
    <s v="Paige"/>
    <x v="0"/>
    <x v="18"/>
    <x v="3"/>
    <s v="Blue Collar"/>
    <x v="215"/>
    <n v="28781.46"/>
  </r>
  <r>
    <n v="200002399"/>
    <s v="Wendy"/>
    <s v="Ferguson"/>
    <x v="1"/>
    <x v="40"/>
    <x v="3"/>
    <s v="Other"/>
    <x v="215"/>
    <n v="4025.97"/>
  </r>
  <r>
    <n v="300002400"/>
    <s v="Alexandra"/>
    <s v="Butler"/>
    <x v="1"/>
    <x v="12"/>
    <x v="2"/>
    <s v="Blue Collar"/>
    <x v="215"/>
    <n v="15245.28"/>
  </r>
  <r>
    <n v="400002401"/>
    <s v="Wanda"/>
    <s v="Peters"/>
    <x v="1"/>
    <x v="0"/>
    <x v="1"/>
    <s v="Other"/>
    <x v="215"/>
    <n v="50686.07"/>
  </r>
  <r>
    <n v="100002402"/>
    <s v="Jack"/>
    <s v="Lambert"/>
    <x v="0"/>
    <x v="28"/>
    <x v="0"/>
    <s v="White Collar"/>
    <x v="216"/>
    <n v="8964.65"/>
  </r>
  <r>
    <n v="100002403"/>
    <s v="Gavin"/>
    <s v="Lyman"/>
    <x v="0"/>
    <x v="7"/>
    <x v="0"/>
    <s v="White Collar"/>
    <x v="216"/>
    <n v="13036.35"/>
  </r>
  <r>
    <n v="100002404"/>
    <s v="Sean"/>
    <s v="Duncan"/>
    <x v="0"/>
    <x v="32"/>
    <x v="0"/>
    <s v="White Collar"/>
    <x v="216"/>
    <n v="31840.240000000002"/>
  </r>
  <r>
    <n v="100002405"/>
    <s v="Katherine"/>
    <s v="Hudson"/>
    <x v="1"/>
    <x v="1"/>
    <x v="0"/>
    <s v="White Collar"/>
    <x v="216"/>
    <n v="48696.83"/>
  </r>
  <r>
    <n v="100002406"/>
    <s v="Grace"/>
    <s v="Ince"/>
    <x v="1"/>
    <x v="3"/>
    <x v="0"/>
    <s v="White Collar"/>
    <x v="216"/>
    <n v="31675.17"/>
  </r>
  <r>
    <n v="100002407"/>
    <s v="Gordon"/>
    <s v="Ball"/>
    <x v="0"/>
    <x v="1"/>
    <x v="0"/>
    <s v="Blue Collar"/>
    <x v="216"/>
    <n v="21360.89"/>
  </r>
  <r>
    <n v="100002408"/>
    <s v="Oliver"/>
    <s v="Short"/>
    <x v="0"/>
    <x v="30"/>
    <x v="0"/>
    <s v="White Collar"/>
    <x v="216"/>
    <n v="5564.99"/>
  </r>
  <r>
    <n v="200002409"/>
    <s v="Alan"/>
    <s v="Peters"/>
    <x v="0"/>
    <x v="27"/>
    <x v="3"/>
    <s v="Blue Collar"/>
    <x v="216"/>
    <n v="43276.26"/>
  </r>
  <r>
    <n v="200002410"/>
    <s v="Anthony"/>
    <s v="Robertson"/>
    <x v="0"/>
    <x v="17"/>
    <x v="3"/>
    <s v="Blue Collar"/>
    <x v="216"/>
    <n v="47271.67"/>
  </r>
  <r>
    <n v="200002411"/>
    <s v="Angela"/>
    <s v="Paterson"/>
    <x v="1"/>
    <x v="39"/>
    <x v="3"/>
    <s v="Other"/>
    <x v="216"/>
    <n v="10029.709999999999"/>
  </r>
  <r>
    <n v="200002412"/>
    <s v="David"/>
    <s v="Parsons"/>
    <x v="0"/>
    <x v="41"/>
    <x v="3"/>
    <s v="Blue Collar"/>
    <x v="216"/>
    <n v="34987.42"/>
  </r>
  <r>
    <n v="200002413"/>
    <s v="Lillian"/>
    <s v="Payne"/>
    <x v="1"/>
    <x v="35"/>
    <x v="3"/>
    <s v="Other"/>
    <x v="216"/>
    <n v="5467.19"/>
  </r>
  <r>
    <n v="100002414"/>
    <s v="Luke"/>
    <s v="Grant"/>
    <x v="0"/>
    <x v="14"/>
    <x v="0"/>
    <s v="White Collar"/>
    <x v="217"/>
    <n v="28809.98"/>
  </r>
  <r>
    <n v="100002415"/>
    <s v="Sue"/>
    <s v="King"/>
    <x v="1"/>
    <x v="16"/>
    <x v="0"/>
    <s v="Other"/>
    <x v="217"/>
    <n v="19938.810000000001"/>
  </r>
  <r>
    <n v="100002416"/>
    <s v="Sophie"/>
    <s v="Nash"/>
    <x v="1"/>
    <x v="3"/>
    <x v="0"/>
    <s v="White Collar"/>
    <x v="217"/>
    <n v="50111.16"/>
  </r>
  <r>
    <n v="100002417"/>
    <s v="Anna"/>
    <s v="Campbell"/>
    <x v="1"/>
    <x v="1"/>
    <x v="0"/>
    <s v="White Collar"/>
    <x v="217"/>
    <n v="24006.93"/>
  </r>
  <r>
    <n v="100002418"/>
    <s v="Oliver"/>
    <s v="Hunter"/>
    <x v="0"/>
    <x v="4"/>
    <x v="0"/>
    <s v="Other"/>
    <x v="217"/>
    <n v="59261.81"/>
  </r>
  <r>
    <n v="100002419"/>
    <s v="Diane"/>
    <s v="Ellison"/>
    <x v="1"/>
    <x v="7"/>
    <x v="0"/>
    <s v="White Collar"/>
    <x v="217"/>
    <n v="46035.81"/>
  </r>
  <r>
    <n v="100002420"/>
    <s v="Molly"/>
    <s v="Grant"/>
    <x v="1"/>
    <x v="8"/>
    <x v="0"/>
    <s v="White Collar"/>
    <x v="217"/>
    <n v="14989.3"/>
  </r>
  <r>
    <n v="100002421"/>
    <s v="Richard"/>
    <s v="Avery"/>
    <x v="0"/>
    <x v="38"/>
    <x v="0"/>
    <s v="White Collar"/>
    <x v="217"/>
    <n v="14448.61"/>
  </r>
  <r>
    <n v="100002422"/>
    <s v="Benjamin"/>
    <s v="Newman"/>
    <x v="0"/>
    <x v="38"/>
    <x v="0"/>
    <s v="White Collar"/>
    <x v="217"/>
    <n v="23076.43"/>
  </r>
  <r>
    <n v="100002423"/>
    <s v="Brandon"/>
    <s v="Vaughan"/>
    <x v="0"/>
    <x v="7"/>
    <x v="0"/>
    <s v="White Collar"/>
    <x v="217"/>
    <n v="48286.35"/>
  </r>
  <r>
    <n v="100002424"/>
    <s v="Wendy"/>
    <s v="Clarkson"/>
    <x v="1"/>
    <x v="16"/>
    <x v="0"/>
    <s v="Blue Collar"/>
    <x v="217"/>
    <n v="964.1"/>
  </r>
  <r>
    <n v="100002425"/>
    <s v="Colin"/>
    <s v="Lyman"/>
    <x v="0"/>
    <x v="13"/>
    <x v="0"/>
    <s v="Blue Collar"/>
    <x v="217"/>
    <n v="79314.11"/>
  </r>
  <r>
    <n v="200002426"/>
    <s v="Gavin"/>
    <s v="McLean"/>
    <x v="0"/>
    <x v="6"/>
    <x v="3"/>
    <s v="Blue Collar"/>
    <x v="217"/>
    <n v="54817.88"/>
  </r>
  <r>
    <n v="200002427"/>
    <s v="Stephanie"/>
    <s v="Randall"/>
    <x v="1"/>
    <x v="9"/>
    <x v="3"/>
    <s v="Other"/>
    <x v="217"/>
    <n v="36530.74"/>
  </r>
  <r>
    <n v="300002428"/>
    <s v="Keith"/>
    <s v="Underwood"/>
    <x v="0"/>
    <x v="12"/>
    <x v="2"/>
    <s v="White Collar"/>
    <x v="217"/>
    <n v="23291.89"/>
  </r>
  <r>
    <n v="100002429"/>
    <s v="Diana"/>
    <s v="Alsop"/>
    <x v="1"/>
    <x v="32"/>
    <x v="0"/>
    <s v="White Collar"/>
    <x v="218"/>
    <n v="42972.72"/>
  </r>
  <r>
    <n v="100002430"/>
    <s v="Tim"/>
    <s v="Hunter"/>
    <x v="0"/>
    <x v="12"/>
    <x v="0"/>
    <s v="White Collar"/>
    <x v="218"/>
    <n v="22675.26"/>
  </r>
  <r>
    <n v="100002431"/>
    <s v="Julian"/>
    <s v="Lambert"/>
    <x v="0"/>
    <x v="9"/>
    <x v="0"/>
    <s v="White Collar"/>
    <x v="218"/>
    <n v="12622.63"/>
  </r>
  <r>
    <n v="100002432"/>
    <s v="Wanda"/>
    <s v="Bell"/>
    <x v="1"/>
    <x v="32"/>
    <x v="0"/>
    <s v="White Collar"/>
    <x v="218"/>
    <n v="23251.07"/>
  </r>
  <r>
    <n v="100002433"/>
    <s v="Fiona"/>
    <s v="Lambert"/>
    <x v="1"/>
    <x v="34"/>
    <x v="0"/>
    <s v="White Collar"/>
    <x v="218"/>
    <n v="53536.19"/>
  </r>
  <r>
    <n v="100002434"/>
    <s v="Alexander"/>
    <s v="Nash"/>
    <x v="0"/>
    <x v="3"/>
    <x v="0"/>
    <s v="White Collar"/>
    <x v="218"/>
    <n v="16127.3"/>
  </r>
  <r>
    <n v="100002435"/>
    <s v="Boris"/>
    <s v="Arnold"/>
    <x v="0"/>
    <x v="12"/>
    <x v="0"/>
    <s v="White Collar"/>
    <x v="218"/>
    <n v="43882.44"/>
  </r>
  <r>
    <n v="100002436"/>
    <s v="Sean"/>
    <s v="Mitchell"/>
    <x v="0"/>
    <x v="9"/>
    <x v="0"/>
    <s v="White Collar"/>
    <x v="218"/>
    <n v="7741.38"/>
  </r>
  <r>
    <n v="100002437"/>
    <s v="Phil"/>
    <s v="Jackson"/>
    <x v="0"/>
    <x v="7"/>
    <x v="0"/>
    <s v="White Collar"/>
    <x v="218"/>
    <n v="39625"/>
  </r>
  <r>
    <n v="100002438"/>
    <s v="Grace"/>
    <s v="Hardacre"/>
    <x v="1"/>
    <x v="5"/>
    <x v="0"/>
    <s v="White Collar"/>
    <x v="218"/>
    <n v="138086.22"/>
  </r>
  <r>
    <n v="100002439"/>
    <s v="Eric"/>
    <s v="Smith"/>
    <x v="0"/>
    <x v="8"/>
    <x v="0"/>
    <s v="White Collar"/>
    <x v="218"/>
    <n v="32973.730000000003"/>
  </r>
  <r>
    <n v="100002440"/>
    <s v="Bella"/>
    <s v="Bower"/>
    <x v="1"/>
    <x v="38"/>
    <x v="0"/>
    <s v="White Collar"/>
    <x v="218"/>
    <n v="76304.75"/>
  </r>
  <r>
    <n v="200002441"/>
    <s v="Justin"/>
    <s v="Knox"/>
    <x v="0"/>
    <x v="21"/>
    <x v="3"/>
    <s v="Blue Collar"/>
    <x v="218"/>
    <n v="69903.960000000006"/>
  </r>
  <r>
    <n v="200002442"/>
    <s v="Blake"/>
    <s v="Forsyth"/>
    <x v="0"/>
    <x v="17"/>
    <x v="3"/>
    <s v="Blue Collar"/>
    <x v="218"/>
    <n v="40011.42"/>
  </r>
  <r>
    <n v="200002443"/>
    <s v="John"/>
    <s v="Mathis"/>
    <x v="0"/>
    <x v="15"/>
    <x v="3"/>
    <s v="Blue Collar"/>
    <x v="218"/>
    <n v="31082.12"/>
  </r>
  <r>
    <n v="200002444"/>
    <s v="Christian"/>
    <s v="Graham"/>
    <x v="0"/>
    <x v="28"/>
    <x v="3"/>
    <s v="Other"/>
    <x v="218"/>
    <n v="87669.32"/>
  </r>
  <r>
    <n v="200002445"/>
    <s v="Carolyn"/>
    <s v="Cornish"/>
    <x v="1"/>
    <x v="6"/>
    <x v="3"/>
    <s v="Other"/>
    <x v="218"/>
    <n v="12405.42"/>
  </r>
  <r>
    <n v="200002446"/>
    <s v="Christian"/>
    <s v="Davidson"/>
    <x v="0"/>
    <x v="19"/>
    <x v="3"/>
    <s v="Blue Collar"/>
    <x v="218"/>
    <n v="21885.91"/>
  </r>
  <r>
    <n v="200002447"/>
    <s v="Justin"/>
    <s v="Sanderson"/>
    <x v="0"/>
    <x v="15"/>
    <x v="3"/>
    <s v="Blue Collar"/>
    <x v="218"/>
    <n v="13230.47"/>
  </r>
  <r>
    <n v="300002448"/>
    <s v="Stephen"/>
    <s v="Piper"/>
    <x v="0"/>
    <x v="16"/>
    <x v="2"/>
    <s v="Blue Collar"/>
    <x v="218"/>
    <n v="32837.019999999997"/>
  </r>
  <r>
    <n v="100002449"/>
    <s v="John"/>
    <s v="MacDonald"/>
    <x v="0"/>
    <x v="24"/>
    <x v="0"/>
    <s v="Blue Collar"/>
    <x v="219"/>
    <n v="7385.38"/>
  </r>
  <r>
    <n v="100002450"/>
    <s v="Amy"/>
    <s v="Hill"/>
    <x v="1"/>
    <x v="8"/>
    <x v="0"/>
    <s v="Other"/>
    <x v="219"/>
    <n v="10562.39"/>
  </r>
  <r>
    <n v="100002451"/>
    <s v="Warren"/>
    <s v="Metcalfe"/>
    <x v="0"/>
    <x v="16"/>
    <x v="0"/>
    <s v="White Collar"/>
    <x v="219"/>
    <n v="54256.9"/>
  </r>
  <r>
    <n v="100002452"/>
    <s v="Rebecca"/>
    <s v="Gill"/>
    <x v="1"/>
    <x v="20"/>
    <x v="0"/>
    <s v="Blue Collar"/>
    <x v="219"/>
    <n v="5490.74"/>
  </r>
  <r>
    <n v="100002453"/>
    <s v="Wendy"/>
    <s v="Skinner"/>
    <x v="1"/>
    <x v="1"/>
    <x v="0"/>
    <s v="White Collar"/>
    <x v="219"/>
    <n v="10594.11"/>
  </r>
  <r>
    <n v="100002454"/>
    <s v="Connor"/>
    <s v="Short"/>
    <x v="0"/>
    <x v="28"/>
    <x v="0"/>
    <s v="White Collar"/>
    <x v="219"/>
    <n v="53788.44"/>
  </r>
  <r>
    <n v="100002455"/>
    <s v="Ruth"/>
    <s v="Chapman"/>
    <x v="1"/>
    <x v="38"/>
    <x v="0"/>
    <s v="White Collar"/>
    <x v="219"/>
    <n v="19866.919999999998"/>
  </r>
  <r>
    <n v="100002456"/>
    <s v="Cameron"/>
    <s v="Cameron"/>
    <x v="0"/>
    <x v="31"/>
    <x v="0"/>
    <s v="Other"/>
    <x v="219"/>
    <n v="54062.080000000002"/>
  </r>
  <r>
    <n v="100002457"/>
    <s v="Joseph"/>
    <s v="Rees"/>
    <x v="0"/>
    <x v="10"/>
    <x v="0"/>
    <s v="Blue Collar"/>
    <x v="219"/>
    <n v="9947.41"/>
  </r>
  <r>
    <n v="100002458"/>
    <s v="Wanda"/>
    <s v="Wallace"/>
    <x v="1"/>
    <x v="4"/>
    <x v="0"/>
    <s v="White Collar"/>
    <x v="219"/>
    <n v="67842.28"/>
  </r>
  <r>
    <n v="100002459"/>
    <s v="Peter"/>
    <s v="James"/>
    <x v="0"/>
    <x v="14"/>
    <x v="0"/>
    <s v="White Collar"/>
    <x v="219"/>
    <n v="19014.05"/>
  </r>
  <r>
    <n v="100002460"/>
    <s v="John"/>
    <s v="Clarkson"/>
    <x v="0"/>
    <x v="26"/>
    <x v="0"/>
    <s v="White Collar"/>
    <x v="219"/>
    <n v="781.84"/>
  </r>
  <r>
    <n v="100002461"/>
    <s v="Robert"/>
    <s v="Walker"/>
    <x v="0"/>
    <x v="1"/>
    <x v="0"/>
    <s v="White Collar"/>
    <x v="219"/>
    <n v="99934.82"/>
  </r>
  <r>
    <n v="200002462"/>
    <s v="Melanie"/>
    <s v="Miller"/>
    <x v="1"/>
    <x v="25"/>
    <x v="3"/>
    <s v="White Collar"/>
    <x v="219"/>
    <n v="64721.73"/>
  </r>
  <r>
    <n v="200002463"/>
    <s v="Nicola"/>
    <s v="Dyer"/>
    <x v="1"/>
    <x v="27"/>
    <x v="3"/>
    <s v="Other"/>
    <x v="219"/>
    <n v="7887.99"/>
  </r>
  <r>
    <n v="100002464"/>
    <s v="Emily"/>
    <s v="Mackenzie"/>
    <x v="1"/>
    <x v="12"/>
    <x v="0"/>
    <s v="White Collar"/>
    <x v="220"/>
    <n v="51614.58"/>
  </r>
  <r>
    <n v="100002465"/>
    <s v="Amy"/>
    <s v="Jones"/>
    <x v="1"/>
    <x v="1"/>
    <x v="0"/>
    <s v="White Collar"/>
    <x v="220"/>
    <n v="9286.99"/>
  </r>
  <r>
    <n v="100002466"/>
    <s v="Virginia"/>
    <s v="Skinner"/>
    <x v="1"/>
    <x v="24"/>
    <x v="0"/>
    <s v="Blue Collar"/>
    <x v="220"/>
    <n v="3471.22"/>
  </r>
  <r>
    <n v="100002467"/>
    <s v="Mary"/>
    <s v="Brown"/>
    <x v="1"/>
    <x v="22"/>
    <x v="0"/>
    <s v="Blue Collar"/>
    <x v="220"/>
    <n v="39047.449999999997"/>
  </r>
  <r>
    <n v="100002468"/>
    <s v="Robert"/>
    <s v="Mills"/>
    <x v="0"/>
    <x v="8"/>
    <x v="0"/>
    <s v="White Collar"/>
    <x v="220"/>
    <n v="368.53"/>
  </r>
  <r>
    <n v="100002469"/>
    <s v="Frank"/>
    <s v="Powell"/>
    <x v="0"/>
    <x v="26"/>
    <x v="0"/>
    <s v="White Collar"/>
    <x v="220"/>
    <n v="66480.850000000006"/>
  </r>
  <r>
    <n v="200002470"/>
    <s v="Adam"/>
    <s v="Bell"/>
    <x v="0"/>
    <x v="33"/>
    <x v="3"/>
    <s v="Other"/>
    <x v="220"/>
    <n v="35341.040000000001"/>
  </r>
  <r>
    <n v="300002471"/>
    <s v="Kimberly"/>
    <s v="MacDonald"/>
    <x v="1"/>
    <x v="31"/>
    <x v="2"/>
    <s v="Other"/>
    <x v="220"/>
    <n v="1884.22"/>
  </r>
  <r>
    <n v="400002472"/>
    <s v="Jane"/>
    <s v="Wilson"/>
    <x v="1"/>
    <x v="2"/>
    <x v="1"/>
    <s v="Other"/>
    <x v="220"/>
    <n v="44875.11"/>
  </r>
  <r>
    <n v="100002473"/>
    <s v="Jake"/>
    <s v="Churchill"/>
    <x v="0"/>
    <x v="13"/>
    <x v="0"/>
    <s v="Blue Collar"/>
    <x v="221"/>
    <n v="56801.98"/>
  </r>
  <r>
    <n v="100002474"/>
    <s v="Chloe"/>
    <s v="Powell"/>
    <x v="1"/>
    <x v="26"/>
    <x v="0"/>
    <s v="Blue Collar"/>
    <x v="221"/>
    <n v="2301.9"/>
  </r>
  <r>
    <n v="100002475"/>
    <s v="Diane"/>
    <s v="Newman"/>
    <x v="1"/>
    <x v="20"/>
    <x v="0"/>
    <s v="White Collar"/>
    <x v="221"/>
    <n v="29770.55"/>
  </r>
  <r>
    <n v="100002476"/>
    <s v="Nathan"/>
    <s v="Graham"/>
    <x v="0"/>
    <x v="28"/>
    <x v="0"/>
    <s v="White Collar"/>
    <x v="221"/>
    <n v="63746.78"/>
  </r>
  <r>
    <n v="100002477"/>
    <s v="Trevor"/>
    <s v="Wilson"/>
    <x v="0"/>
    <x v="21"/>
    <x v="0"/>
    <s v="White Collar"/>
    <x v="221"/>
    <n v="81489.429999999993"/>
  </r>
  <r>
    <n v="100002478"/>
    <s v="Diane"/>
    <s v="May"/>
    <x v="1"/>
    <x v="4"/>
    <x v="0"/>
    <s v="Other"/>
    <x v="221"/>
    <n v="37142.39"/>
  </r>
  <r>
    <n v="100002479"/>
    <s v="Andrew"/>
    <s v="Oliver"/>
    <x v="0"/>
    <x v="14"/>
    <x v="0"/>
    <s v="White Collar"/>
    <x v="221"/>
    <n v="27526.79"/>
  </r>
  <r>
    <n v="100002480"/>
    <s v="Deirdre"/>
    <s v="Mackay"/>
    <x v="1"/>
    <x v="24"/>
    <x v="0"/>
    <s v="Blue Collar"/>
    <x v="221"/>
    <n v="115220.03"/>
  </r>
  <r>
    <n v="100002481"/>
    <s v="Julia"/>
    <s v="Stewart"/>
    <x v="1"/>
    <x v="20"/>
    <x v="0"/>
    <s v="Blue Collar"/>
    <x v="221"/>
    <n v="31113.33"/>
  </r>
  <r>
    <n v="100002482"/>
    <s v="Yvonne"/>
    <s v="Poole"/>
    <x v="1"/>
    <x v="37"/>
    <x v="0"/>
    <s v="White Collar"/>
    <x v="221"/>
    <n v="74880.210000000006"/>
  </r>
  <r>
    <n v="200002483"/>
    <s v="Heather"/>
    <s v="Brown"/>
    <x v="1"/>
    <x v="34"/>
    <x v="3"/>
    <s v="Other"/>
    <x v="221"/>
    <n v="24993.27"/>
  </r>
  <r>
    <n v="200002484"/>
    <s v="Warren"/>
    <s v="Rutherford"/>
    <x v="0"/>
    <x v="19"/>
    <x v="3"/>
    <s v="Blue Collar"/>
    <x v="221"/>
    <n v="1566.53"/>
  </r>
  <r>
    <n v="200002485"/>
    <s v="Heather"/>
    <s v="King"/>
    <x v="1"/>
    <x v="27"/>
    <x v="3"/>
    <s v="Other"/>
    <x v="221"/>
    <n v="12769.93"/>
  </r>
  <r>
    <n v="200002486"/>
    <s v="Rebecca"/>
    <s v="Hunter"/>
    <x v="1"/>
    <x v="17"/>
    <x v="3"/>
    <s v="Other"/>
    <x v="221"/>
    <n v="6222.21"/>
  </r>
  <r>
    <n v="200002487"/>
    <s v="Trevor"/>
    <s v="Dyer"/>
    <x v="0"/>
    <x v="15"/>
    <x v="3"/>
    <s v="Blue Collar"/>
    <x v="221"/>
    <n v="51723.62"/>
  </r>
  <r>
    <n v="300002488"/>
    <s v="Simon"/>
    <s v="Hardacre"/>
    <x v="0"/>
    <x v="8"/>
    <x v="2"/>
    <s v="White Collar"/>
    <x v="221"/>
    <n v="5436"/>
  </r>
  <r>
    <n v="300002489"/>
    <s v="Andrew"/>
    <s v="Tucker"/>
    <x v="0"/>
    <x v="14"/>
    <x v="2"/>
    <s v="White Collar"/>
    <x v="221"/>
    <n v="13005.94"/>
  </r>
  <r>
    <n v="300002490"/>
    <s v="Max"/>
    <s v="Parr"/>
    <x v="0"/>
    <x v="13"/>
    <x v="2"/>
    <s v="Blue Collar"/>
    <x v="221"/>
    <n v="40081.67"/>
  </r>
  <r>
    <n v="300002491"/>
    <s v="Emma"/>
    <s v="Campbell"/>
    <x v="1"/>
    <x v="11"/>
    <x v="2"/>
    <s v="Blue Collar"/>
    <x v="221"/>
    <n v="16527"/>
  </r>
  <r>
    <n v="300002492"/>
    <s v="Maria"/>
    <s v="Wright"/>
    <x v="1"/>
    <x v="12"/>
    <x v="2"/>
    <s v="White Collar"/>
    <x v="221"/>
    <n v="1576.57"/>
  </r>
  <r>
    <n v="100002493"/>
    <s v="Carol"/>
    <s v="Hart"/>
    <x v="1"/>
    <x v="32"/>
    <x v="0"/>
    <s v="Blue Collar"/>
    <x v="222"/>
    <n v="20996.83"/>
  </r>
  <r>
    <n v="100002494"/>
    <s v="Samantha"/>
    <s v="Nolan"/>
    <x v="1"/>
    <x v="4"/>
    <x v="0"/>
    <s v="White Collar"/>
    <x v="222"/>
    <n v="33589.65"/>
  </r>
  <r>
    <n v="100002495"/>
    <s v="Oliver"/>
    <s v="Rees"/>
    <x v="0"/>
    <x v="5"/>
    <x v="0"/>
    <s v="White Collar"/>
    <x v="222"/>
    <n v="54432.83"/>
  </r>
  <r>
    <n v="100002496"/>
    <s v="Jacob"/>
    <s v="Edmunds"/>
    <x v="0"/>
    <x v="14"/>
    <x v="0"/>
    <s v="White Collar"/>
    <x v="222"/>
    <n v="24607.65"/>
  </r>
  <r>
    <n v="100002497"/>
    <s v="Yvonne"/>
    <s v="Parsons"/>
    <x v="1"/>
    <x v="12"/>
    <x v="0"/>
    <s v="White Collar"/>
    <x v="222"/>
    <n v="111371.69"/>
  </r>
  <r>
    <n v="100002498"/>
    <s v="Carl"/>
    <s v="Langdon"/>
    <x v="0"/>
    <x v="5"/>
    <x v="0"/>
    <s v="White Collar"/>
    <x v="222"/>
    <n v="40488.29"/>
  </r>
  <r>
    <n v="200002499"/>
    <s v="Alexander"/>
    <s v="May"/>
    <x v="0"/>
    <x v="3"/>
    <x v="3"/>
    <s v="Blue Collar"/>
    <x v="222"/>
    <n v="701.13"/>
  </r>
  <r>
    <n v="200002500"/>
    <s v="Joshua"/>
    <s v="Nash"/>
    <x v="0"/>
    <x v="39"/>
    <x v="3"/>
    <s v="Blue Collar"/>
    <x v="222"/>
    <n v="21196.37"/>
  </r>
  <r>
    <n v="200002501"/>
    <s v="Warren"/>
    <s v="Ferguson"/>
    <x v="0"/>
    <x v="23"/>
    <x v="3"/>
    <s v="Blue Collar"/>
    <x v="222"/>
    <n v="690.99"/>
  </r>
  <r>
    <n v="300002502"/>
    <s v="Jane"/>
    <s v="MacLeod"/>
    <x v="1"/>
    <x v="21"/>
    <x v="2"/>
    <s v="White Collar"/>
    <x v="222"/>
    <n v="37590.69"/>
  </r>
  <r>
    <n v="100002503"/>
    <s v="Alexander"/>
    <s v="Welch"/>
    <x v="0"/>
    <x v="38"/>
    <x v="0"/>
    <s v="Blue Collar"/>
    <x v="223"/>
    <n v="102952.98"/>
  </r>
  <r>
    <n v="100002504"/>
    <s v="Amelia"/>
    <s v="Powell"/>
    <x v="1"/>
    <x v="22"/>
    <x v="0"/>
    <s v="Other"/>
    <x v="223"/>
    <n v="42162.2"/>
  </r>
  <r>
    <n v="100002505"/>
    <s v="John"/>
    <s v="Springer"/>
    <x v="0"/>
    <x v="2"/>
    <x v="0"/>
    <s v="Blue Collar"/>
    <x v="223"/>
    <n v="22318.080000000002"/>
  </r>
  <r>
    <n v="100002506"/>
    <s v="Austin"/>
    <s v="Hemmings"/>
    <x v="0"/>
    <x v="16"/>
    <x v="0"/>
    <s v="White Collar"/>
    <x v="223"/>
    <n v="28479.51"/>
  </r>
  <r>
    <n v="100002507"/>
    <s v="Natalie"/>
    <s v="Howard"/>
    <x v="1"/>
    <x v="8"/>
    <x v="0"/>
    <s v="White Collar"/>
    <x v="223"/>
    <n v="55193.59"/>
  </r>
  <r>
    <n v="100002508"/>
    <s v="Gavin"/>
    <s v="Sutherland"/>
    <x v="0"/>
    <x v="8"/>
    <x v="0"/>
    <s v="White Collar"/>
    <x v="223"/>
    <n v="33299.64"/>
  </r>
  <r>
    <n v="100002509"/>
    <s v="Nicholas"/>
    <s v="Butler"/>
    <x v="0"/>
    <x v="5"/>
    <x v="0"/>
    <s v="Blue Collar"/>
    <x v="223"/>
    <n v="2603.66"/>
  </r>
  <r>
    <n v="100002510"/>
    <s v="Sam"/>
    <s v="Parr"/>
    <x v="0"/>
    <x v="14"/>
    <x v="0"/>
    <s v="Blue Collar"/>
    <x v="223"/>
    <n v="28386.21"/>
  </r>
  <r>
    <n v="100002511"/>
    <s v="Dylan"/>
    <s v="Hughes"/>
    <x v="0"/>
    <x v="14"/>
    <x v="0"/>
    <s v="Other"/>
    <x v="223"/>
    <n v="8819.9"/>
  </r>
  <r>
    <n v="100002512"/>
    <s v="Vanessa"/>
    <s v="Alsop"/>
    <x v="1"/>
    <x v="16"/>
    <x v="0"/>
    <s v="White Collar"/>
    <x v="223"/>
    <n v="36174.14"/>
  </r>
  <r>
    <n v="100002513"/>
    <s v="Lillian"/>
    <s v="Hunter"/>
    <x v="1"/>
    <x v="13"/>
    <x v="0"/>
    <s v="White Collar"/>
    <x v="223"/>
    <n v="10512.25"/>
  </r>
  <r>
    <n v="200002514"/>
    <s v="Warren"/>
    <s v="Rutherford"/>
    <x v="0"/>
    <x v="45"/>
    <x v="3"/>
    <s v="Blue Collar"/>
    <x v="223"/>
    <n v="83595.789999999994"/>
  </r>
  <r>
    <n v="200002515"/>
    <s v="Christian"/>
    <s v="Miller"/>
    <x v="0"/>
    <x v="2"/>
    <x v="3"/>
    <s v="Other"/>
    <x v="223"/>
    <n v="76601.08"/>
  </r>
  <r>
    <n v="200002516"/>
    <s v="Dominic"/>
    <s v="Sanderson"/>
    <x v="0"/>
    <x v="41"/>
    <x v="3"/>
    <s v="Blue Collar"/>
    <x v="223"/>
    <n v="96359.91"/>
  </r>
  <r>
    <n v="200002517"/>
    <s v="Michelle"/>
    <s v="Clark"/>
    <x v="1"/>
    <x v="46"/>
    <x v="3"/>
    <s v="Other"/>
    <x v="223"/>
    <n v="47942.04"/>
  </r>
  <r>
    <n v="200002518"/>
    <s v="Jack"/>
    <s v="Rees"/>
    <x v="0"/>
    <x v="31"/>
    <x v="3"/>
    <s v="Blue Collar"/>
    <x v="223"/>
    <n v="6697.68"/>
  </r>
  <r>
    <n v="200002519"/>
    <s v="Colin"/>
    <s v="Randall"/>
    <x v="0"/>
    <x v="17"/>
    <x v="3"/>
    <s v="Blue Collar"/>
    <x v="223"/>
    <n v="675.08"/>
  </r>
  <r>
    <n v="300002520"/>
    <s v="Amanda"/>
    <s v="Bell"/>
    <x v="1"/>
    <x v="31"/>
    <x v="2"/>
    <s v="White Collar"/>
    <x v="223"/>
    <n v="94722.42"/>
  </r>
  <r>
    <n v="400002521"/>
    <s v="Penelope"/>
    <s v="Parsons"/>
    <x v="1"/>
    <x v="37"/>
    <x v="1"/>
    <s v="Other"/>
    <x v="223"/>
    <n v="9707.9500000000007"/>
  </r>
  <r>
    <n v="400002522"/>
    <s v="Abigail"/>
    <s v="Reid"/>
    <x v="1"/>
    <x v="9"/>
    <x v="1"/>
    <s v="Blue Collar"/>
    <x v="223"/>
    <n v="58691.17"/>
  </r>
  <r>
    <n v="100002523"/>
    <s v="Jake"/>
    <s v="May"/>
    <x v="0"/>
    <x v="9"/>
    <x v="0"/>
    <s v="Blue Collar"/>
    <x v="224"/>
    <n v="41371.519999999997"/>
  </r>
  <r>
    <n v="100002524"/>
    <s v="Megan"/>
    <s v="Mathis"/>
    <x v="1"/>
    <x v="13"/>
    <x v="0"/>
    <s v="White Collar"/>
    <x v="224"/>
    <n v="20953.3"/>
  </r>
  <r>
    <n v="100002525"/>
    <s v="Nicholas"/>
    <s v="Hunter"/>
    <x v="0"/>
    <x v="7"/>
    <x v="0"/>
    <s v="Blue Collar"/>
    <x v="224"/>
    <n v="12798.63"/>
  </r>
  <r>
    <n v="100002526"/>
    <s v="Diana"/>
    <s v="McGrath"/>
    <x v="1"/>
    <x v="1"/>
    <x v="0"/>
    <s v="White Collar"/>
    <x v="224"/>
    <n v="30002.9"/>
  </r>
  <r>
    <n v="100002527"/>
    <s v="Owen"/>
    <s v="Scott"/>
    <x v="0"/>
    <x v="24"/>
    <x v="0"/>
    <s v="White Collar"/>
    <x v="224"/>
    <n v="8121.14"/>
  </r>
  <r>
    <n v="100002528"/>
    <s v="Steven"/>
    <s v="Cameron"/>
    <x v="0"/>
    <x v="1"/>
    <x v="0"/>
    <s v="White Collar"/>
    <x v="224"/>
    <n v="3014.85"/>
  </r>
  <r>
    <n v="100002529"/>
    <s v="Sally"/>
    <s v="Wilkins"/>
    <x v="1"/>
    <x v="12"/>
    <x v="0"/>
    <s v="White Collar"/>
    <x v="224"/>
    <n v="24177.3"/>
  </r>
  <r>
    <n v="100002530"/>
    <s v="Megan"/>
    <s v="Abraham"/>
    <x v="1"/>
    <x v="10"/>
    <x v="0"/>
    <s v="White Collar"/>
    <x v="224"/>
    <n v="33703.11"/>
  </r>
  <r>
    <n v="100002531"/>
    <s v="Bella"/>
    <s v="Dowd"/>
    <x v="1"/>
    <x v="4"/>
    <x v="0"/>
    <s v="White Collar"/>
    <x v="224"/>
    <n v="35992.01"/>
  </r>
  <r>
    <n v="100002532"/>
    <s v="Colin"/>
    <s v="Campbell"/>
    <x v="0"/>
    <x v="5"/>
    <x v="0"/>
    <s v="White Collar"/>
    <x v="224"/>
    <n v="20362.27"/>
  </r>
  <r>
    <n v="200002533"/>
    <s v="Evan"/>
    <s v="Reid"/>
    <x v="0"/>
    <x v="28"/>
    <x v="3"/>
    <s v="Blue Collar"/>
    <x v="224"/>
    <n v="17274.32"/>
  </r>
  <r>
    <n v="200002534"/>
    <s v="Fiona"/>
    <s v="Scott"/>
    <x v="1"/>
    <x v="17"/>
    <x v="3"/>
    <s v="Blue Collar"/>
    <x v="224"/>
    <n v="34890.300000000003"/>
  </r>
  <r>
    <n v="200002535"/>
    <s v="Evan"/>
    <s v="Paige"/>
    <x v="0"/>
    <x v="46"/>
    <x v="3"/>
    <s v="Blue Collar"/>
    <x v="224"/>
    <n v="11663.35"/>
  </r>
  <r>
    <n v="200002536"/>
    <s v="Victor"/>
    <s v="Black"/>
    <x v="0"/>
    <x v="41"/>
    <x v="3"/>
    <s v="Blue Collar"/>
    <x v="224"/>
    <n v="96381.84"/>
  </r>
  <r>
    <n v="300002537"/>
    <s v="Sean"/>
    <s v="Powell"/>
    <x v="0"/>
    <x v="10"/>
    <x v="2"/>
    <s v="Other"/>
    <x v="224"/>
    <n v="3575.21"/>
  </r>
  <r>
    <n v="300002538"/>
    <s v="Vanessa"/>
    <s v="Blake"/>
    <x v="1"/>
    <x v="4"/>
    <x v="2"/>
    <s v="White Collar"/>
    <x v="224"/>
    <n v="30345.62"/>
  </r>
  <r>
    <n v="300002539"/>
    <s v="Julian"/>
    <s v="Mackay"/>
    <x v="0"/>
    <x v="22"/>
    <x v="2"/>
    <s v="Other"/>
    <x v="224"/>
    <n v="136365.51999999999"/>
  </r>
  <r>
    <n v="400002540"/>
    <s v="Deirdre"/>
    <s v="Lyman"/>
    <x v="1"/>
    <x v="5"/>
    <x v="1"/>
    <s v="Other"/>
    <x v="224"/>
    <n v="60385.3"/>
  </r>
  <r>
    <n v="400002541"/>
    <s v="Alexandra"/>
    <s v="Clarkson"/>
    <x v="1"/>
    <x v="13"/>
    <x v="1"/>
    <s v="White Collar"/>
    <x v="224"/>
    <n v="48247.85"/>
  </r>
  <r>
    <n v="100002542"/>
    <s v="William"/>
    <s v="Arnold"/>
    <x v="0"/>
    <x v="14"/>
    <x v="0"/>
    <s v="White Collar"/>
    <x v="225"/>
    <n v="118379.33"/>
  </r>
  <r>
    <n v="100002543"/>
    <s v="Sally"/>
    <s v="Poole"/>
    <x v="1"/>
    <x v="29"/>
    <x v="0"/>
    <s v="White Collar"/>
    <x v="225"/>
    <n v="37946.239999999998"/>
  </r>
  <r>
    <n v="100002544"/>
    <s v="Kevin"/>
    <s v="Arnold"/>
    <x v="0"/>
    <x v="7"/>
    <x v="0"/>
    <s v="Blue Collar"/>
    <x v="225"/>
    <n v="4706.6899999999996"/>
  </r>
  <r>
    <n v="100002545"/>
    <s v="Tim"/>
    <s v="Brown"/>
    <x v="0"/>
    <x v="12"/>
    <x v="0"/>
    <s v="White Collar"/>
    <x v="225"/>
    <n v="41643.519999999997"/>
  </r>
  <r>
    <n v="100002546"/>
    <s v="Dan"/>
    <s v="Thomson"/>
    <x v="0"/>
    <x v="6"/>
    <x v="0"/>
    <s v="Other"/>
    <x v="225"/>
    <n v="39445.699999999997"/>
  </r>
  <r>
    <n v="100002547"/>
    <s v="Amanda"/>
    <s v="Hart"/>
    <x v="1"/>
    <x v="20"/>
    <x v="0"/>
    <s v="White Collar"/>
    <x v="225"/>
    <n v="41415.129999999997"/>
  </r>
  <r>
    <n v="200002548"/>
    <s v="Steven"/>
    <s v="Arnold"/>
    <x v="0"/>
    <x v="17"/>
    <x v="3"/>
    <s v="Blue Collar"/>
    <x v="225"/>
    <n v="34118.28"/>
  </r>
  <r>
    <n v="300002549"/>
    <s v="Leonard"/>
    <s v="Black"/>
    <x v="0"/>
    <x v="10"/>
    <x v="2"/>
    <s v="White Collar"/>
    <x v="225"/>
    <n v="28142.18"/>
  </r>
  <r>
    <n v="400002550"/>
    <s v="Lily"/>
    <s v="Baker"/>
    <x v="1"/>
    <x v="36"/>
    <x v="1"/>
    <s v="Other"/>
    <x v="225"/>
    <n v="55821.07"/>
  </r>
  <r>
    <n v="400002551"/>
    <s v="Olivia"/>
    <s v="Chapman"/>
    <x v="1"/>
    <x v="32"/>
    <x v="1"/>
    <s v="Other"/>
    <x v="225"/>
    <n v="29990.71"/>
  </r>
  <r>
    <n v="100002552"/>
    <s v="Megan"/>
    <s v="Churchill"/>
    <x v="1"/>
    <x v="11"/>
    <x v="0"/>
    <s v="White Collar"/>
    <x v="226"/>
    <n v="27806.65"/>
  </r>
  <r>
    <n v="100002553"/>
    <s v="Stephanie"/>
    <s v="Peters"/>
    <x v="1"/>
    <x v="13"/>
    <x v="0"/>
    <s v="White Collar"/>
    <x v="226"/>
    <n v="5062.51"/>
  </r>
  <r>
    <n v="100002554"/>
    <s v="Dominic"/>
    <s v="Bailey"/>
    <x v="0"/>
    <x v="11"/>
    <x v="0"/>
    <s v="Blue Collar"/>
    <x v="226"/>
    <n v="5396.97"/>
  </r>
  <r>
    <n v="100002555"/>
    <s v="Dorothy"/>
    <s v="Payne"/>
    <x v="1"/>
    <x v="13"/>
    <x v="0"/>
    <s v="White Collar"/>
    <x v="226"/>
    <n v="87684.33"/>
  </r>
  <r>
    <n v="100002556"/>
    <s v="Ella"/>
    <s v="Langdon"/>
    <x v="1"/>
    <x v="30"/>
    <x v="0"/>
    <s v="White Collar"/>
    <x v="226"/>
    <n v="9622.64"/>
  </r>
  <r>
    <n v="100002557"/>
    <s v="Jessica"/>
    <s v="Lawrence"/>
    <x v="1"/>
    <x v="20"/>
    <x v="0"/>
    <s v="White Collar"/>
    <x v="226"/>
    <n v="20412.43"/>
  </r>
  <r>
    <n v="100002558"/>
    <s v="Matt"/>
    <s v="Miller"/>
    <x v="0"/>
    <x v="5"/>
    <x v="0"/>
    <s v="White Collar"/>
    <x v="226"/>
    <n v="23025.61"/>
  </r>
  <r>
    <n v="100002559"/>
    <s v="Theresa"/>
    <s v="Nolan"/>
    <x v="1"/>
    <x v="3"/>
    <x v="0"/>
    <s v="White Collar"/>
    <x v="226"/>
    <n v="31476.35"/>
  </r>
  <r>
    <n v="100002560"/>
    <s v="Leonard"/>
    <s v="James"/>
    <x v="0"/>
    <x v="30"/>
    <x v="0"/>
    <s v="White Collar"/>
    <x v="226"/>
    <n v="11246.02"/>
  </r>
  <r>
    <n v="100002561"/>
    <s v="Ruth"/>
    <s v="Peters"/>
    <x v="1"/>
    <x v="0"/>
    <x v="0"/>
    <s v="White Collar"/>
    <x v="226"/>
    <n v="14599.55"/>
  </r>
  <r>
    <n v="100002562"/>
    <s v="Nicholas"/>
    <s v="Powell"/>
    <x v="0"/>
    <x v="6"/>
    <x v="0"/>
    <s v="White Collar"/>
    <x v="226"/>
    <n v="3961.9"/>
  </r>
  <r>
    <n v="200002563"/>
    <s v="Sophie"/>
    <s v="Davies"/>
    <x v="1"/>
    <x v="23"/>
    <x v="3"/>
    <s v="White Collar"/>
    <x v="226"/>
    <n v="28221.97"/>
  </r>
  <r>
    <n v="200002564"/>
    <s v="Leah"/>
    <s v="North"/>
    <x v="1"/>
    <x v="41"/>
    <x v="3"/>
    <s v="Other"/>
    <x v="226"/>
    <n v="40691.519999999997"/>
  </r>
  <r>
    <n v="200002565"/>
    <s v="Dylan"/>
    <s v="Hemmings"/>
    <x v="0"/>
    <x v="19"/>
    <x v="3"/>
    <s v="Blue Collar"/>
    <x v="226"/>
    <n v="34772.99"/>
  </r>
  <r>
    <n v="300002566"/>
    <s v="William"/>
    <s v="Piper"/>
    <x v="0"/>
    <x v="5"/>
    <x v="2"/>
    <s v="Blue Collar"/>
    <x v="226"/>
    <n v="42008.82"/>
  </r>
  <r>
    <n v="300002567"/>
    <s v="Amanda"/>
    <s v="Dowd"/>
    <x v="1"/>
    <x v="2"/>
    <x v="2"/>
    <s v="White Collar"/>
    <x v="226"/>
    <n v="54711.28"/>
  </r>
  <r>
    <n v="300002568"/>
    <s v="Boris"/>
    <s v="Chapman"/>
    <x v="0"/>
    <x v="24"/>
    <x v="2"/>
    <s v="White Collar"/>
    <x v="226"/>
    <n v="99502.56"/>
  </r>
  <r>
    <n v="400002569"/>
    <s v="Adrian"/>
    <s v="Mills"/>
    <x v="0"/>
    <x v="38"/>
    <x v="1"/>
    <s v="Blue Collar"/>
    <x v="226"/>
    <n v="33551.51"/>
  </r>
  <r>
    <n v="100002570"/>
    <s v="Dan"/>
    <s v="Rampling"/>
    <x v="0"/>
    <x v="10"/>
    <x v="0"/>
    <s v="White Collar"/>
    <x v="227"/>
    <n v="53388.21"/>
  </r>
  <r>
    <n v="100002571"/>
    <s v="Tim"/>
    <s v="Greene"/>
    <x v="0"/>
    <x v="16"/>
    <x v="0"/>
    <s v="White Collar"/>
    <x v="227"/>
    <n v="14800.36"/>
  </r>
  <r>
    <n v="100002572"/>
    <s v="Dorothy"/>
    <s v="Coleman"/>
    <x v="1"/>
    <x v="3"/>
    <x v="0"/>
    <s v="White Collar"/>
    <x v="227"/>
    <n v="89329.33"/>
  </r>
  <r>
    <n v="100002573"/>
    <s v="Ian"/>
    <s v="Gibson"/>
    <x v="0"/>
    <x v="3"/>
    <x v="0"/>
    <s v="White Collar"/>
    <x v="227"/>
    <n v="44978.01"/>
  </r>
  <r>
    <n v="100002574"/>
    <s v="Maria"/>
    <s v="Gibson"/>
    <x v="1"/>
    <x v="1"/>
    <x v="0"/>
    <s v="White Collar"/>
    <x v="227"/>
    <n v="51621.8"/>
  </r>
  <r>
    <n v="100002575"/>
    <s v="Andrew"/>
    <s v="MacDonald"/>
    <x v="0"/>
    <x v="13"/>
    <x v="0"/>
    <s v="White Collar"/>
    <x v="227"/>
    <n v="26913.26"/>
  </r>
  <r>
    <n v="100002576"/>
    <s v="Ava"/>
    <s v="Henderson"/>
    <x v="1"/>
    <x v="10"/>
    <x v="0"/>
    <s v="Blue Collar"/>
    <x v="227"/>
    <n v="21924.560000000001"/>
  </r>
  <r>
    <n v="100002577"/>
    <s v="Chloe"/>
    <s v="Vance"/>
    <x v="1"/>
    <x v="14"/>
    <x v="0"/>
    <s v="White Collar"/>
    <x v="227"/>
    <n v="47843.83"/>
  </r>
  <r>
    <n v="100002578"/>
    <s v="Maria"/>
    <s v="Taylor"/>
    <x v="1"/>
    <x v="9"/>
    <x v="0"/>
    <s v="White Collar"/>
    <x v="227"/>
    <n v="1949.08"/>
  </r>
  <r>
    <n v="200002579"/>
    <s v="Isaac"/>
    <s v="Wright"/>
    <x v="0"/>
    <x v="2"/>
    <x v="3"/>
    <s v="Blue Collar"/>
    <x v="227"/>
    <n v="94688.11"/>
  </r>
  <r>
    <n v="200002580"/>
    <s v="Harry"/>
    <s v="Greene"/>
    <x v="0"/>
    <x v="33"/>
    <x v="3"/>
    <s v="Other"/>
    <x v="227"/>
    <n v="42472.71"/>
  </r>
  <r>
    <n v="200002581"/>
    <s v="Keith"/>
    <s v="May"/>
    <x v="0"/>
    <x v="31"/>
    <x v="3"/>
    <s v="Blue Collar"/>
    <x v="227"/>
    <n v="23676.9"/>
  </r>
  <r>
    <n v="300002582"/>
    <s v="Sonia"/>
    <s v="Piper"/>
    <x v="1"/>
    <x v="36"/>
    <x v="2"/>
    <s v="White Collar"/>
    <x v="227"/>
    <n v="65640.070000000007"/>
  </r>
  <r>
    <n v="300002583"/>
    <s v="Caroline"/>
    <s v="Sanderson"/>
    <x v="1"/>
    <x v="12"/>
    <x v="2"/>
    <s v="White Collar"/>
    <x v="227"/>
    <n v="35852.79"/>
  </r>
  <r>
    <n v="300002584"/>
    <s v="Yvonne"/>
    <s v="Slater"/>
    <x v="1"/>
    <x v="3"/>
    <x v="2"/>
    <s v="White Collar"/>
    <x v="227"/>
    <n v="51208.53"/>
  </r>
  <r>
    <n v="400002585"/>
    <s v="Zoe"/>
    <s v="Welch"/>
    <x v="1"/>
    <x v="30"/>
    <x v="1"/>
    <s v="Blue Collar"/>
    <x v="227"/>
    <n v="13733.52"/>
  </r>
  <r>
    <n v="100002586"/>
    <s v="Alexandra"/>
    <s v="Forsyth"/>
    <x v="1"/>
    <x v="32"/>
    <x v="0"/>
    <s v="White Collar"/>
    <x v="228"/>
    <n v="14523.72"/>
  </r>
  <r>
    <n v="100002587"/>
    <s v="Adrian"/>
    <s v="Terry"/>
    <x v="0"/>
    <x v="7"/>
    <x v="0"/>
    <s v="White Collar"/>
    <x v="228"/>
    <n v="9987.42"/>
  </r>
  <r>
    <n v="100002588"/>
    <s v="Emma"/>
    <s v="Jones"/>
    <x v="1"/>
    <x v="10"/>
    <x v="0"/>
    <s v="White Collar"/>
    <x v="228"/>
    <n v="62902.54"/>
  </r>
  <r>
    <n v="100002589"/>
    <s v="Mary"/>
    <s v="Oliver"/>
    <x v="1"/>
    <x v="16"/>
    <x v="0"/>
    <s v="Blue Collar"/>
    <x v="228"/>
    <n v="45505.77"/>
  </r>
  <r>
    <n v="100002590"/>
    <s v="Ian"/>
    <s v="Quinn"/>
    <x v="0"/>
    <x v="22"/>
    <x v="0"/>
    <s v="White Collar"/>
    <x v="228"/>
    <n v="76480.41"/>
  </r>
  <r>
    <n v="100002591"/>
    <s v="Lauren"/>
    <s v="Tucker"/>
    <x v="1"/>
    <x v="5"/>
    <x v="0"/>
    <s v="Blue Collar"/>
    <x v="228"/>
    <n v="27944.23"/>
  </r>
  <r>
    <n v="100002592"/>
    <s v="Jessica"/>
    <s v="Vance"/>
    <x v="1"/>
    <x v="1"/>
    <x v="0"/>
    <s v="White Collar"/>
    <x v="228"/>
    <n v="17928.419999999998"/>
  </r>
  <r>
    <n v="100002593"/>
    <s v="Emily"/>
    <s v="Allan"/>
    <x v="1"/>
    <x v="22"/>
    <x v="0"/>
    <s v="White Collar"/>
    <x v="228"/>
    <n v="2120.44"/>
  </r>
  <r>
    <n v="100002594"/>
    <s v="Gavin"/>
    <s v="Metcalfe"/>
    <x v="0"/>
    <x v="1"/>
    <x v="0"/>
    <s v="White Collar"/>
    <x v="228"/>
    <n v="17007.150000000001"/>
  </r>
  <r>
    <n v="100002595"/>
    <s v="Wendy"/>
    <s v="Lee"/>
    <x v="1"/>
    <x v="11"/>
    <x v="0"/>
    <s v="White Collar"/>
    <x v="228"/>
    <n v="2590.6"/>
  </r>
  <r>
    <n v="100002596"/>
    <s v="Karen"/>
    <s v="Reid"/>
    <x v="1"/>
    <x v="3"/>
    <x v="0"/>
    <s v="White Collar"/>
    <x v="228"/>
    <n v="27985.759999999998"/>
  </r>
  <r>
    <n v="200002597"/>
    <s v="Alan"/>
    <s v="Walker"/>
    <x v="0"/>
    <x v="32"/>
    <x v="3"/>
    <s v="Other"/>
    <x v="228"/>
    <n v="9546.56"/>
  </r>
  <r>
    <n v="200002598"/>
    <s v="Sean"/>
    <s v="Cornish"/>
    <x v="0"/>
    <x v="17"/>
    <x v="3"/>
    <s v="Other"/>
    <x v="228"/>
    <n v="45992.160000000003"/>
  </r>
  <r>
    <n v="200002599"/>
    <s v="Sebastian"/>
    <s v="Simpson"/>
    <x v="0"/>
    <x v="35"/>
    <x v="3"/>
    <s v="White Collar"/>
    <x v="228"/>
    <n v="24745.8"/>
  </r>
  <r>
    <n v="200002600"/>
    <s v="Ian"/>
    <s v="Hodges"/>
    <x v="0"/>
    <x v="18"/>
    <x v="3"/>
    <s v="Other"/>
    <x v="228"/>
    <n v="74534.05"/>
  </r>
  <r>
    <n v="200002601"/>
    <s v="Jake"/>
    <s v="McGrath"/>
    <x v="0"/>
    <x v="15"/>
    <x v="3"/>
    <s v="Blue Collar"/>
    <x v="228"/>
    <n v="128259.93"/>
  </r>
  <r>
    <n v="200002602"/>
    <s v="Julian"/>
    <s v="Martin"/>
    <x v="0"/>
    <x v="31"/>
    <x v="3"/>
    <s v="Blue Collar"/>
    <x v="228"/>
    <n v="65479.32"/>
  </r>
  <r>
    <n v="300002603"/>
    <s v="Theresa"/>
    <s v="Graham"/>
    <x v="1"/>
    <x v="7"/>
    <x v="2"/>
    <s v="White Collar"/>
    <x v="228"/>
    <n v="53133.68"/>
  </r>
  <r>
    <n v="300002604"/>
    <s v="Jasmine"/>
    <s v="Newman"/>
    <x v="1"/>
    <x v="13"/>
    <x v="2"/>
    <s v="Other"/>
    <x v="228"/>
    <n v="14961.53"/>
  </r>
  <r>
    <n v="400002605"/>
    <s v="Jan"/>
    <s v="Murray"/>
    <x v="1"/>
    <x v="26"/>
    <x v="1"/>
    <s v="Other"/>
    <x v="228"/>
    <n v="18299.03"/>
  </r>
  <r>
    <n v="100002606"/>
    <s v="Michael"/>
    <s v="Johnston"/>
    <x v="0"/>
    <x v="30"/>
    <x v="0"/>
    <s v="White Collar"/>
    <x v="229"/>
    <n v="36582.31"/>
  </r>
  <r>
    <n v="100002607"/>
    <s v="Ruth"/>
    <s v="Brown"/>
    <x v="1"/>
    <x v="20"/>
    <x v="0"/>
    <s v="White Collar"/>
    <x v="229"/>
    <n v="23571.9"/>
  </r>
  <r>
    <n v="100002608"/>
    <s v="Steven"/>
    <s v="Underwood"/>
    <x v="0"/>
    <x v="4"/>
    <x v="0"/>
    <s v="White Collar"/>
    <x v="229"/>
    <n v="90250.17"/>
  </r>
  <r>
    <n v="100002609"/>
    <s v="Audrey"/>
    <s v="Hunter"/>
    <x v="1"/>
    <x v="9"/>
    <x v="0"/>
    <s v="Other"/>
    <x v="229"/>
    <n v="1795.2"/>
  </r>
  <r>
    <n v="100002610"/>
    <s v="Adrian"/>
    <s v="Randall"/>
    <x v="0"/>
    <x v="9"/>
    <x v="0"/>
    <s v="White Collar"/>
    <x v="229"/>
    <n v="38282.11"/>
  </r>
  <r>
    <n v="100002611"/>
    <s v="Jason"/>
    <s v="Ferguson"/>
    <x v="0"/>
    <x v="4"/>
    <x v="0"/>
    <s v="Blue Collar"/>
    <x v="229"/>
    <n v="83131.72"/>
  </r>
  <r>
    <n v="100002612"/>
    <s v="Warren"/>
    <s v="Avery"/>
    <x v="0"/>
    <x v="38"/>
    <x v="0"/>
    <s v="White Collar"/>
    <x v="229"/>
    <n v="12028.2"/>
  </r>
  <r>
    <n v="200002613"/>
    <s v="Blake"/>
    <s v="Cornish"/>
    <x v="0"/>
    <x v="46"/>
    <x v="3"/>
    <s v="Blue Collar"/>
    <x v="229"/>
    <n v="23011.89"/>
  </r>
  <r>
    <n v="200002614"/>
    <s v="Adrian"/>
    <s v="Powell"/>
    <x v="0"/>
    <x v="31"/>
    <x v="3"/>
    <s v="Blue Collar"/>
    <x v="229"/>
    <n v="18393.7"/>
  </r>
  <r>
    <n v="300002615"/>
    <s v="Jacob"/>
    <s v="Cameron"/>
    <x v="0"/>
    <x v="13"/>
    <x v="2"/>
    <s v="Blue Collar"/>
    <x v="229"/>
    <n v="56035.34"/>
  </r>
  <r>
    <n v="300002616"/>
    <s v="Gordon"/>
    <s v="Anderson"/>
    <x v="0"/>
    <x v="12"/>
    <x v="2"/>
    <s v="Blue Collar"/>
    <x v="229"/>
    <n v="56449.04"/>
  </r>
  <r>
    <n v="300002617"/>
    <s v="Paul"/>
    <s v="Langdon"/>
    <x v="0"/>
    <x v="22"/>
    <x v="2"/>
    <s v="White Collar"/>
    <x v="229"/>
    <n v="12813.83"/>
  </r>
  <r>
    <n v="400002618"/>
    <s v="Alison"/>
    <s v="McGrath"/>
    <x v="1"/>
    <x v="38"/>
    <x v="1"/>
    <s v="Other"/>
    <x v="229"/>
    <n v="133050.09"/>
  </r>
  <r>
    <n v="100002619"/>
    <s v="Kimberly"/>
    <s v="Parr"/>
    <x v="1"/>
    <x v="22"/>
    <x v="0"/>
    <s v="Other"/>
    <x v="230"/>
    <n v="104867.33"/>
  </r>
  <r>
    <n v="100002620"/>
    <s v="Rachel"/>
    <s v="Blake"/>
    <x v="1"/>
    <x v="13"/>
    <x v="0"/>
    <s v="Other"/>
    <x v="230"/>
    <n v="81245.5"/>
  </r>
  <r>
    <n v="100002621"/>
    <s v="Evan"/>
    <s v="North"/>
    <x v="0"/>
    <x v="32"/>
    <x v="0"/>
    <s v="Blue Collar"/>
    <x v="230"/>
    <n v="2965.82"/>
  </r>
  <r>
    <n v="100002622"/>
    <s v="Alison"/>
    <s v="Jones"/>
    <x v="1"/>
    <x v="30"/>
    <x v="0"/>
    <s v="Other"/>
    <x v="230"/>
    <n v="68344.02"/>
  </r>
  <r>
    <n v="100002623"/>
    <s v="Anne"/>
    <s v="Arnold"/>
    <x v="1"/>
    <x v="34"/>
    <x v="0"/>
    <s v="White Collar"/>
    <x v="230"/>
    <n v="81370.16"/>
  </r>
  <r>
    <n v="100002624"/>
    <s v="Stephen"/>
    <s v="Murray"/>
    <x v="0"/>
    <x v="4"/>
    <x v="0"/>
    <s v="Blue Collar"/>
    <x v="230"/>
    <n v="6958.19"/>
  </r>
  <r>
    <n v="100002625"/>
    <s v="Leonard"/>
    <s v="Sutherland"/>
    <x v="0"/>
    <x v="7"/>
    <x v="0"/>
    <s v="White Collar"/>
    <x v="230"/>
    <n v="32247.97"/>
  </r>
  <r>
    <n v="100002626"/>
    <s v="Heather"/>
    <s v="Fisher"/>
    <x v="1"/>
    <x v="22"/>
    <x v="0"/>
    <s v="White Collar"/>
    <x v="230"/>
    <n v="10708.34"/>
  </r>
  <r>
    <n v="100002627"/>
    <s v="John"/>
    <s v="Wright"/>
    <x v="0"/>
    <x v="28"/>
    <x v="0"/>
    <s v="White Collar"/>
    <x v="230"/>
    <n v="39124.620000000003"/>
  </r>
  <r>
    <n v="100002628"/>
    <s v="Grace"/>
    <s v="Henderson"/>
    <x v="1"/>
    <x v="2"/>
    <x v="0"/>
    <s v="White Collar"/>
    <x v="230"/>
    <n v="45737.65"/>
  </r>
  <r>
    <n v="100002629"/>
    <s v="Matt"/>
    <s v="Poole"/>
    <x v="0"/>
    <x v="11"/>
    <x v="0"/>
    <s v="White Collar"/>
    <x v="230"/>
    <n v="56070.28"/>
  </r>
  <r>
    <n v="200002630"/>
    <s v="Victoria"/>
    <s v="Young"/>
    <x v="1"/>
    <x v="41"/>
    <x v="3"/>
    <s v="White Collar"/>
    <x v="230"/>
    <n v="16332.53"/>
  </r>
  <r>
    <n v="200002631"/>
    <s v="Nicholas"/>
    <s v="Knox"/>
    <x v="0"/>
    <x v="2"/>
    <x v="3"/>
    <s v="Blue Collar"/>
    <x v="230"/>
    <n v="50945.1"/>
  </r>
  <r>
    <n v="200002632"/>
    <s v="Joseph"/>
    <s v="Johnston"/>
    <x v="0"/>
    <x v="16"/>
    <x v="3"/>
    <s v="Blue Collar"/>
    <x v="230"/>
    <n v="25407.37"/>
  </r>
  <r>
    <n v="200002633"/>
    <s v="Faith"/>
    <s v="Dowd"/>
    <x v="1"/>
    <x v="35"/>
    <x v="3"/>
    <s v="Blue Collar"/>
    <x v="230"/>
    <n v="24237.4"/>
  </r>
  <r>
    <n v="200002634"/>
    <s v="Paul"/>
    <s v="Sanderson"/>
    <x v="0"/>
    <x v="40"/>
    <x v="3"/>
    <s v="Other"/>
    <x v="230"/>
    <n v="139509.54"/>
  </r>
  <r>
    <n v="300002635"/>
    <s v="Tim"/>
    <s v="Coleman"/>
    <x v="0"/>
    <x v="16"/>
    <x v="2"/>
    <s v="Other"/>
    <x v="230"/>
    <n v="60076.55"/>
  </r>
  <r>
    <n v="300002636"/>
    <s v="Jasmine"/>
    <s v="Dyer"/>
    <x v="1"/>
    <x v="4"/>
    <x v="2"/>
    <s v="White Collar"/>
    <x v="230"/>
    <n v="27284.71"/>
  </r>
  <r>
    <n v="300002637"/>
    <s v="Jacob"/>
    <s v="Parsons"/>
    <x v="0"/>
    <x v="10"/>
    <x v="2"/>
    <s v="Blue Collar"/>
    <x v="230"/>
    <n v="5201.79"/>
  </r>
  <r>
    <n v="400002638"/>
    <s v="Jennifer"/>
    <s v="Sanderson"/>
    <x v="1"/>
    <x v="48"/>
    <x v="1"/>
    <s v="White Collar"/>
    <x v="230"/>
    <n v="12548.21"/>
  </r>
  <r>
    <n v="100002639"/>
    <s v="Lauren"/>
    <s v="Paige"/>
    <x v="1"/>
    <x v="26"/>
    <x v="0"/>
    <s v="White Collar"/>
    <x v="231"/>
    <n v="73415.97"/>
  </r>
  <r>
    <n v="100002640"/>
    <s v="Rebecca"/>
    <s v="Russell"/>
    <x v="1"/>
    <x v="8"/>
    <x v="0"/>
    <s v="Blue Collar"/>
    <x v="231"/>
    <n v="46452.14"/>
  </r>
  <r>
    <n v="100002641"/>
    <s v="Carolyn"/>
    <s v="Paige"/>
    <x v="1"/>
    <x v="9"/>
    <x v="0"/>
    <s v="White Collar"/>
    <x v="231"/>
    <n v="52735.66"/>
  </r>
  <r>
    <n v="100002642"/>
    <s v="Adrian"/>
    <s v="Brown"/>
    <x v="0"/>
    <x v="4"/>
    <x v="0"/>
    <s v="Other"/>
    <x v="231"/>
    <n v="40414.879999999997"/>
  </r>
  <r>
    <n v="100002643"/>
    <s v="Nicholas"/>
    <s v="Stewart"/>
    <x v="0"/>
    <x v="38"/>
    <x v="0"/>
    <s v="White Collar"/>
    <x v="231"/>
    <n v="47740.27"/>
  </r>
  <r>
    <n v="100002644"/>
    <s v="Carolyn"/>
    <s v="Wright"/>
    <x v="1"/>
    <x v="12"/>
    <x v="0"/>
    <s v="White Collar"/>
    <x v="231"/>
    <n v="52050.39"/>
  </r>
  <r>
    <n v="100002645"/>
    <s v="Anne"/>
    <s v="Bell"/>
    <x v="1"/>
    <x v="10"/>
    <x v="0"/>
    <s v="White Collar"/>
    <x v="231"/>
    <n v="73238.039999999994"/>
  </r>
  <r>
    <n v="100002646"/>
    <s v="Warren"/>
    <s v="Gill"/>
    <x v="0"/>
    <x v="14"/>
    <x v="0"/>
    <s v="White Collar"/>
    <x v="231"/>
    <n v="10911.82"/>
  </r>
  <r>
    <n v="100002647"/>
    <s v="Joshua"/>
    <s v="Hemmings"/>
    <x v="0"/>
    <x v="10"/>
    <x v="0"/>
    <s v="White Collar"/>
    <x v="231"/>
    <n v="30238.1"/>
  </r>
  <r>
    <n v="200002648"/>
    <s v="Nicholas"/>
    <s v="Allan"/>
    <x v="0"/>
    <x v="35"/>
    <x v="3"/>
    <s v="Blue Collar"/>
    <x v="231"/>
    <n v="14693.74"/>
  </r>
  <r>
    <n v="200002649"/>
    <s v="Kevin"/>
    <s v="Sutherland"/>
    <x v="0"/>
    <x v="31"/>
    <x v="3"/>
    <s v="Blue Collar"/>
    <x v="231"/>
    <n v="38646.92"/>
  </r>
  <r>
    <n v="200002650"/>
    <s v="Liam"/>
    <s v="Arnold"/>
    <x v="0"/>
    <x v="19"/>
    <x v="3"/>
    <s v="Blue Collar"/>
    <x v="231"/>
    <n v="6844.11"/>
  </r>
  <r>
    <n v="200002651"/>
    <s v="Gabrielle"/>
    <s v="Poole"/>
    <x v="1"/>
    <x v="28"/>
    <x v="3"/>
    <s v="Other"/>
    <x v="231"/>
    <n v="20587.439999999999"/>
  </r>
  <r>
    <n v="200002652"/>
    <s v="Kylie"/>
    <s v="McLean"/>
    <x v="1"/>
    <x v="19"/>
    <x v="3"/>
    <s v="Other"/>
    <x v="231"/>
    <n v="26851.86"/>
  </r>
  <r>
    <n v="200002653"/>
    <s v="Chloe"/>
    <s v="Short"/>
    <x v="1"/>
    <x v="17"/>
    <x v="3"/>
    <s v="Other"/>
    <x v="231"/>
    <n v="53599.25"/>
  </r>
  <r>
    <n v="300002654"/>
    <s v="Victoria"/>
    <s v="Poole"/>
    <x v="1"/>
    <x v="22"/>
    <x v="2"/>
    <s v="White Collar"/>
    <x v="231"/>
    <n v="78006.490000000005"/>
  </r>
  <r>
    <n v="300002655"/>
    <s v="Bernadette"/>
    <s v="Chapman"/>
    <x v="1"/>
    <x v="14"/>
    <x v="2"/>
    <s v="White Collar"/>
    <x v="231"/>
    <n v="66400.88"/>
  </r>
  <r>
    <n v="100002656"/>
    <s v="Dorothy"/>
    <s v="Lawrence"/>
    <x v="1"/>
    <x v="32"/>
    <x v="0"/>
    <s v="Blue Collar"/>
    <x v="232"/>
    <n v="50078.57"/>
  </r>
  <r>
    <n v="100002657"/>
    <s v="Jacob"/>
    <s v="Wilkins"/>
    <x v="0"/>
    <x v="13"/>
    <x v="0"/>
    <s v="White Collar"/>
    <x v="232"/>
    <n v="24779.98"/>
  </r>
  <r>
    <n v="100002658"/>
    <s v="Ruth"/>
    <s v="Cornish"/>
    <x v="1"/>
    <x v="14"/>
    <x v="0"/>
    <s v="White Collar"/>
    <x v="232"/>
    <n v="31117.71"/>
  </r>
  <r>
    <n v="100002659"/>
    <s v="Grace"/>
    <s v="Wallace"/>
    <x v="1"/>
    <x v="34"/>
    <x v="0"/>
    <s v="White Collar"/>
    <x v="232"/>
    <n v="101994.01"/>
  </r>
  <r>
    <n v="100002660"/>
    <s v="Ruth"/>
    <s v="Skinner"/>
    <x v="1"/>
    <x v="8"/>
    <x v="0"/>
    <s v="Other"/>
    <x v="232"/>
    <n v="4959.12"/>
  </r>
  <r>
    <n v="100002661"/>
    <s v="Amanda"/>
    <s v="Paige"/>
    <x v="1"/>
    <x v="5"/>
    <x v="0"/>
    <s v="White Collar"/>
    <x v="232"/>
    <n v="25489.52"/>
  </r>
  <r>
    <n v="100002662"/>
    <s v="Harry"/>
    <s v="Hart"/>
    <x v="0"/>
    <x v="20"/>
    <x v="0"/>
    <s v="Other"/>
    <x v="232"/>
    <n v="73869.259999999995"/>
  </r>
  <r>
    <n v="100002663"/>
    <s v="Charles"/>
    <s v="Watson"/>
    <x v="0"/>
    <x v="2"/>
    <x v="0"/>
    <s v="White Collar"/>
    <x v="232"/>
    <n v="94033.87"/>
  </r>
  <r>
    <n v="200002664"/>
    <s v="Donna"/>
    <s v="Slater"/>
    <x v="1"/>
    <x v="8"/>
    <x v="3"/>
    <s v="Other"/>
    <x v="232"/>
    <n v="59189.09"/>
  </r>
  <r>
    <n v="200002665"/>
    <s v="Oliver"/>
    <s v="Davidson"/>
    <x v="0"/>
    <x v="17"/>
    <x v="3"/>
    <s v="Other"/>
    <x v="232"/>
    <n v="13536.36"/>
  </r>
  <r>
    <n v="200002666"/>
    <s v="Joshua"/>
    <s v="Simpson"/>
    <x v="0"/>
    <x v="2"/>
    <x v="3"/>
    <s v="Blue Collar"/>
    <x v="232"/>
    <n v="86983.679999999993"/>
  </r>
  <r>
    <n v="200002667"/>
    <s v="Boris"/>
    <s v="Gray"/>
    <x v="0"/>
    <x v="23"/>
    <x v="3"/>
    <s v="Blue Collar"/>
    <x v="232"/>
    <n v="9905.5300000000007"/>
  </r>
  <r>
    <n v="200002668"/>
    <s v="Heather"/>
    <s v="Watson"/>
    <x v="1"/>
    <x v="28"/>
    <x v="3"/>
    <s v="Other"/>
    <x v="232"/>
    <n v="9169.82"/>
  </r>
  <r>
    <n v="300002669"/>
    <s v="Julian"/>
    <s v="Cornish"/>
    <x v="0"/>
    <x v="43"/>
    <x v="2"/>
    <s v="White Collar"/>
    <x v="232"/>
    <n v="49678.06"/>
  </r>
  <r>
    <n v="300002670"/>
    <s v="Dylan"/>
    <s v="Murray"/>
    <x v="0"/>
    <x v="8"/>
    <x v="2"/>
    <s v="White Collar"/>
    <x v="232"/>
    <n v="1153.98"/>
  </r>
  <r>
    <n v="100002671"/>
    <s v="Diana"/>
    <s v="Graham"/>
    <x v="1"/>
    <x v="4"/>
    <x v="0"/>
    <s v="Blue Collar"/>
    <x v="233"/>
    <n v="31728.14"/>
  </r>
  <r>
    <n v="100002672"/>
    <s v="Simon"/>
    <s v="Buckland"/>
    <x v="0"/>
    <x v="22"/>
    <x v="0"/>
    <s v="White Collar"/>
    <x v="233"/>
    <n v="8257.6200000000008"/>
  </r>
  <r>
    <n v="100002673"/>
    <s v="Gordon"/>
    <s v="Powell"/>
    <x v="0"/>
    <x v="19"/>
    <x v="0"/>
    <s v="White Collar"/>
    <x v="233"/>
    <n v="56402.62"/>
  </r>
  <r>
    <n v="100002674"/>
    <s v="Christopher"/>
    <s v="MacDonald"/>
    <x v="0"/>
    <x v="9"/>
    <x v="0"/>
    <s v="White Collar"/>
    <x v="233"/>
    <n v="2559.52"/>
  </r>
  <r>
    <n v="100002675"/>
    <s v="Paul"/>
    <s v="Peake"/>
    <x v="0"/>
    <x v="28"/>
    <x v="0"/>
    <s v="Other"/>
    <x v="233"/>
    <n v="19916.05"/>
  </r>
  <r>
    <n v="100002676"/>
    <s v="Sebastian"/>
    <s v="MacDonald"/>
    <x v="0"/>
    <x v="30"/>
    <x v="0"/>
    <s v="White Collar"/>
    <x v="233"/>
    <n v="21908.77"/>
  </r>
  <r>
    <n v="100002677"/>
    <s v="Jan"/>
    <s v="McLean"/>
    <x v="1"/>
    <x v="4"/>
    <x v="0"/>
    <s v="White Collar"/>
    <x v="233"/>
    <n v="39171.72"/>
  </r>
  <r>
    <n v="100002678"/>
    <s v="Irene"/>
    <s v="Rees"/>
    <x v="1"/>
    <x v="22"/>
    <x v="0"/>
    <s v="White Collar"/>
    <x v="233"/>
    <n v="11634.97"/>
  </r>
  <r>
    <n v="100002679"/>
    <s v="Grace"/>
    <s v="MacDonald"/>
    <x v="1"/>
    <x v="2"/>
    <x v="0"/>
    <s v="Blue Collar"/>
    <x v="233"/>
    <n v="9564.07"/>
  </r>
  <r>
    <n v="100002680"/>
    <s v="Ruth"/>
    <s v="Gibson"/>
    <x v="1"/>
    <x v="24"/>
    <x v="0"/>
    <s v="White Collar"/>
    <x v="233"/>
    <n v="23183.41"/>
  </r>
  <r>
    <n v="100002681"/>
    <s v="Neil"/>
    <s v="McDonald"/>
    <x v="0"/>
    <x v="1"/>
    <x v="0"/>
    <s v="White Collar"/>
    <x v="233"/>
    <n v="24433.040000000001"/>
  </r>
  <r>
    <n v="100002682"/>
    <s v="Fiona"/>
    <s v="Clarkson"/>
    <x v="1"/>
    <x v="20"/>
    <x v="0"/>
    <s v="White Collar"/>
    <x v="233"/>
    <n v="13710.31"/>
  </r>
  <r>
    <n v="100002683"/>
    <s v="Nicholas"/>
    <s v="Miller"/>
    <x v="0"/>
    <x v="12"/>
    <x v="0"/>
    <s v="White Collar"/>
    <x v="233"/>
    <n v="61333.01"/>
  </r>
  <r>
    <n v="100002684"/>
    <s v="Diana"/>
    <s v="Sanderson"/>
    <x v="1"/>
    <x v="2"/>
    <x v="0"/>
    <s v="Other"/>
    <x v="233"/>
    <n v="49374.99"/>
  </r>
  <r>
    <n v="200002685"/>
    <s v="Chloe"/>
    <s v="Avery"/>
    <x v="1"/>
    <x v="25"/>
    <x v="3"/>
    <s v="Other"/>
    <x v="233"/>
    <n v="29854.639999999999"/>
  </r>
  <r>
    <n v="200002686"/>
    <s v="Victor"/>
    <s v="Ogden"/>
    <x v="0"/>
    <x v="40"/>
    <x v="3"/>
    <s v="Blue Collar"/>
    <x v="233"/>
    <n v="42706.66"/>
  </r>
  <r>
    <n v="200002687"/>
    <s v="Lucas"/>
    <s v="Lyman"/>
    <x v="0"/>
    <x v="19"/>
    <x v="3"/>
    <s v="Blue Collar"/>
    <x v="233"/>
    <n v="82077.52"/>
  </r>
  <r>
    <n v="200002688"/>
    <s v="Tracey"/>
    <s v="McDonald"/>
    <x v="1"/>
    <x v="19"/>
    <x v="3"/>
    <s v="Other"/>
    <x v="233"/>
    <n v="15104.72"/>
  </r>
  <r>
    <n v="300002689"/>
    <s v="Nathan"/>
    <s v="Smith"/>
    <x v="0"/>
    <x v="13"/>
    <x v="2"/>
    <s v="Blue Collar"/>
    <x v="233"/>
    <n v="42471.07"/>
  </r>
  <r>
    <n v="300002690"/>
    <s v="David"/>
    <s v="Mitchell"/>
    <x v="0"/>
    <x v="31"/>
    <x v="2"/>
    <s v="Other"/>
    <x v="233"/>
    <n v="16627.150000000001"/>
  </r>
  <r>
    <n v="400002691"/>
    <s v="Amy"/>
    <s v="Abraham"/>
    <x v="1"/>
    <x v="8"/>
    <x v="1"/>
    <s v="Other"/>
    <x v="233"/>
    <n v="46393.55"/>
  </r>
  <r>
    <n v="100002692"/>
    <s v="Jan"/>
    <s v="Clark"/>
    <x v="1"/>
    <x v="10"/>
    <x v="0"/>
    <s v="Other"/>
    <x v="234"/>
    <n v="34441.919999999998"/>
  </r>
  <r>
    <n v="100002693"/>
    <s v="Harry"/>
    <s v="Avery"/>
    <x v="0"/>
    <x v="22"/>
    <x v="0"/>
    <s v="White Collar"/>
    <x v="234"/>
    <n v="49048.13"/>
  </r>
  <r>
    <n v="100002694"/>
    <s v="Brian"/>
    <s v="Lee"/>
    <x v="0"/>
    <x v="1"/>
    <x v="0"/>
    <s v="White Collar"/>
    <x v="234"/>
    <n v="16194.49"/>
  </r>
  <r>
    <n v="200002695"/>
    <s v="Tim"/>
    <s v="Piper"/>
    <x v="0"/>
    <x v="40"/>
    <x v="3"/>
    <s v="Blue Collar"/>
    <x v="234"/>
    <n v="106232.34"/>
  </r>
  <r>
    <n v="200002696"/>
    <s v="Blake"/>
    <s v="Langdon"/>
    <x v="0"/>
    <x v="32"/>
    <x v="3"/>
    <s v="Blue Collar"/>
    <x v="234"/>
    <n v="61360.639999999999"/>
  </r>
  <r>
    <n v="200002697"/>
    <s v="Dylan"/>
    <s v="McLean"/>
    <x v="0"/>
    <x v="28"/>
    <x v="3"/>
    <s v="Other"/>
    <x v="234"/>
    <n v="60277.8"/>
  </r>
  <r>
    <n v="400002698"/>
    <s v="Ryan"/>
    <s v="May"/>
    <x v="0"/>
    <x v="20"/>
    <x v="1"/>
    <s v="White Collar"/>
    <x v="234"/>
    <n v="22186.17"/>
  </r>
  <r>
    <n v="400002699"/>
    <s v="Ruth"/>
    <s v="Graham"/>
    <x v="1"/>
    <x v="33"/>
    <x v="1"/>
    <s v="White Collar"/>
    <x v="234"/>
    <n v="4387.05"/>
  </r>
  <r>
    <n v="100002700"/>
    <s v="Joanne"/>
    <s v="Walker"/>
    <x v="1"/>
    <x v="22"/>
    <x v="0"/>
    <s v="White Collar"/>
    <x v="235"/>
    <n v="10247.99"/>
  </r>
  <r>
    <n v="100002701"/>
    <s v="Heather"/>
    <s v="McLean"/>
    <x v="1"/>
    <x v="36"/>
    <x v="0"/>
    <s v="Other"/>
    <x v="235"/>
    <n v="20148.509999999998"/>
  </r>
  <r>
    <n v="100002702"/>
    <s v="Owen"/>
    <s v="Terry"/>
    <x v="0"/>
    <x v="1"/>
    <x v="0"/>
    <s v="White Collar"/>
    <x v="235"/>
    <n v="20922.689999999999"/>
  </r>
  <r>
    <n v="100002703"/>
    <s v="Elizabeth"/>
    <s v="Churchill"/>
    <x v="1"/>
    <x v="4"/>
    <x v="0"/>
    <s v="White Collar"/>
    <x v="235"/>
    <n v="22690.73"/>
  </r>
  <r>
    <n v="100002704"/>
    <s v="Phil"/>
    <s v="Rampling"/>
    <x v="0"/>
    <x v="34"/>
    <x v="0"/>
    <s v="Blue Collar"/>
    <x v="235"/>
    <n v="48234.65"/>
  </r>
  <r>
    <n v="100002705"/>
    <s v="Natalie"/>
    <s v="Reid"/>
    <x v="1"/>
    <x v="1"/>
    <x v="0"/>
    <s v="Blue Collar"/>
    <x v="235"/>
    <n v="75592.09"/>
  </r>
  <r>
    <n v="100002706"/>
    <s v="Amanda"/>
    <s v="Nash"/>
    <x v="1"/>
    <x v="11"/>
    <x v="0"/>
    <s v="Other"/>
    <x v="235"/>
    <n v="92201.51"/>
  </r>
  <r>
    <n v="100002707"/>
    <s v="Karen"/>
    <s v="Ferguson"/>
    <x v="1"/>
    <x v="25"/>
    <x v="0"/>
    <s v="Other"/>
    <x v="235"/>
    <n v="41652.839999999997"/>
  </r>
  <r>
    <n v="100002708"/>
    <s v="Carol"/>
    <s v="Hill"/>
    <x v="1"/>
    <x v="3"/>
    <x v="0"/>
    <s v="White Collar"/>
    <x v="235"/>
    <n v="6968.37"/>
  </r>
  <r>
    <n v="200002709"/>
    <s v="Trevor"/>
    <s v="Ball"/>
    <x v="0"/>
    <x v="27"/>
    <x v="3"/>
    <s v="Other"/>
    <x v="235"/>
    <n v="49863.23"/>
  </r>
  <r>
    <n v="200002710"/>
    <s v="Sebastian"/>
    <s v="Cameron"/>
    <x v="0"/>
    <x v="34"/>
    <x v="3"/>
    <s v="Blue Collar"/>
    <x v="235"/>
    <n v="17520.080000000002"/>
  </r>
  <r>
    <n v="200002711"/>
    <s v="William"/>
    <s v="Peake"/>
    <x v="0"/>
    <x v="28"/>
    <x v="3"/>
    <s v="Other"/>
    <x v="235"/>
    <n v="27955.18"/>
  </r>
  <r>
    <n v="200002712"/>
    <s v="Sean"/>
    <s v="Rutherford"/>
    <x v="0"/>
    <x v="18"/>
    <x v="3"/>
    <s v="Blue Collar"/>
    <x v="235"/>
    <n v="6727.7"/>
  </r>
  <r>
    <n v="300002713"/>
    <s v="Donna"/>
    <s v="Skinner"/>
    <x v="1"/>
    <x v="22"/>
    <x v="2"/>
    <s v="Other"/>
    <x v="235"/>
    <n v="23072.45"/>
  </r>
  <r>
    <n v="300002714"/>
    <s v="Piers"/>
    <s v="Rutherford"/>
    <x v="0"/>
    <x v="22"/>
    <x v="2"/>
    <s v="Blue Collar"/>
    <x v="235"/>
    <n v="1819.36"/>
  </r>
  <r>
    <n v="300002715"/>
    <s v="Victor"/>
    <s v="Black"/>
    <x v="0"/>
    <x v="7"/>
    <x v="2"/>
    <s v="White Collar"/>
    <x v="235"/>
    <n v="27843.26"/>
  </r>
  <r>
    <n v="400002716"/>
    <s v="Natalie"/>
    <s v="Young"/>
    <x v="1"/>
    <x v="13"/>
    <x v="1"/>
    <s v="White Collar"/>
    <x v="235"/>
    <n v="60850.03"/>
  </r>
  <r>
    <n v="400002717"/>
    <s v="Wanda"/>
    <s v="Dyer"/>
    <x v="1"/>
    <x v="13"/>
    <x v="1"/>
    <s v="Blue Collar"/>
    <x v="235"/>
    <n v="39120.910000000003"/>
  </r>
  <r>
    <n v="100002718"/>
    <s v="John"/>
    <s v="Nolan"/>
    <x v="0"/>
    <x v="38"/>
    <x v="0"/>
    <s v="White Collar"/>
    <x v="236"/>
    <n v="62077.51"/>
  </r>
  <r>
    <n v="100002719"/>
    <s v="Justin"/>
    <s v="Kerr"/>
    <x v="0"/>
    <x v="34"/>
    <x v="0"/>
    <s v="Other"/>
    <x v="236"/>
    <n v="41348.080000000002"/>
  </r>
  <r>
    <n v="100002720"/>
    <s v="Peter"/>
    <s v="Peters"/>
    <x v="0"/>
    <x v="4"/>
    <x v="0"/>
    <s v="Blue Collar"/>
    <x v="236"/>
    <n v="12881.77"/>
  </r>
  <r>
    <n v="100002721"/>
    <s v="Yvonne"/>
    <s v="Glover"/>
    <x v="1"/>
    <x v="7"/>
    <x v="0"/>
    <s v="White Collar"/>
    <x v="236"/>
    <n v="76455.17"/>
  </r>
  <r>
    <n v="100002722"/>
    <s v="Samantha"/>
    <s v="Paterson"/>
    <x v="1"/>
    <x v="2"/>
    <x v="0"/>
    <s v="Other"/>
    <x v="236"/>
    <n v="50959.4"/>
  </r>
  <r>
    <n v="100002723"/>
    <s v="Jacob"/>
    <s v="Sharp"/>
    <x v="0"/>
    <x v="7"/>
    <x v="0"/>
    <s v="Other"/>
    <x v="236"/>
    <n v="68310.37"/>
  </r>
  <r>
    <n v="100002724"/>
    <s v="Chloe"/>
    <s v="McGrath"/>
    <x v="1"/>
    <x v="7"/>
    <x v="0"/>
    <s v="White Collar"/>
    <x v="236"/>
    <n v="37520.39"/>
  </r>
  <r>
    <n v="200002725"/>
    <s v="Ian"/>
    <s v="Skinner"/>
    <x v="0"/>
    <x v="18"/>
    <x v="3"/>
    <s v="Blue Collar"/>
    <x v="236"/>
    <n v="48227.16"/>
  </r>
  <r>
    <n v="300002726"/>
    <s v="Hannah"/>
    <s v="Wallace"/>
    <x v="1"/>
    <x v="16"/>
    <x v="2"/>
    <s v="White Collar"/>
    <x v="236"/>
    <n v="57699.86"/>
  </r>
  <r>
    <n v="300002727"/>
    <s v="Evan"/>
    <s v="Davies"/>
    <x v="0"/>
    <x v="1"/>
    <x v="2"/>
    <s v="Blue Collar"/>
    <x v="236"/>
    <n v="37254.18"/>
  </r>
  <r>
    <n v="300002728"/>
    <s v="Warren"/>
    <s v="Hill"/>
    <x v="0"/>
    <x v="28"/>
    <x v="2"/>
    <s v="Blue Collar"/>
    <x v="236"/>
    <n v="128488.01"/>
  </r>
  <r>
    <n v="300002729"/>
    <s v="Harry"/>
    <s v="Burgess"/>
    <x v="0"/>
    <x v="7"/>
    <x v="2"/>
    <s v="White Collar"/>
    <x v="236"/>
    <n v="11224.82"/>
  </r>
  <r>
    <n v="300002730"/>
    <s v="Sophie"/>
    <s v="Ball"/>
    <x v="1"/>
    <x v="12"/>
    <x v="2"/>
    <s v="White Collar"/>
    <x v="236"/>
    <n v="19045.64"/>
  </r>
  <r>
    <n v="100002731"/>
    <s v="Heather"/>
    <s v="Cornish"/>
    <x v="1"/>
    <x v="12"/>
    <x v="0"/>
    <s v="Other"/>
    <x v="237"/>
    <n v="39639.300000000003"/>
  </r>
  <r>
    <n v="100002732"/>
    <s v="James"/>
    <s v="Walsh"/>
    <x v="0"/>
    <x v="3"/>
    <x v="0"/>
    <s v="White Collar"/>
    <x v="237"/>
    <n v="49778.16"/>
  </r>
  <r>
    <n v="100002733"/>
    <s v="Jessica"/>
    <s v="Ross"/>
    <x v="1"/>
    <x v="41"/>
    <x v="0"/>
    <s v="White Collar"/>
    <x v="237"/>
    <n v="24265.54"/>
  </r>
  <r>
    <n v="100002734"/>
    <s v="Olivia"/>
    <s v="May"/>
    <x v="1"/>
    <x v="9"/>
    <x v="0"/>
    <s v="White Collar"/>
    <x v="237"/>
    <n v="7551.16"/>
  </r>
  <r>
    <n v="100002735"/>
    <s v="Chloe"/>
    <s v="Gill"/>
    <x v="1"/>
    <x v="24"/>
    <x v="0"/>
    <s v="Blue Collar"/>
    <x v="237"/>
    <n v="134.94"/>
  </r>
  <r>
    <n v="100002736"/>
    <s v="Kevin"/>
    <s v="Hemmings"/>
    <x v="0"/>
    <x v="1"/>
    <x v="0"/>
    <s v="White Collar"/>
    <x v="237"/>
    <n v="70803.13"/>
  </r>
  <r>
    <n v="100002737"/>
    <s v="Ian"/>
    <s v="Hill"/>
    <x v="0"/>
    <x v="22"/>
    <x v="0"/>
    <s v="White Collar"/>
    <x v="237"/>
    <n v="26058.080000000002"/>
  </r>
  <r>
    <n v="100002738"/>
    <s v="Christian"/>
    <s v="Hart"/>
    <x v="0"/>
    <x v="3"/>
    <x v="0"/>
    <s v="White Collar"/>
    <x v="237"/>
    <n v="5519.53"/>
  </r>
  <r>
    <n v="100002739"/>
    <s v="Nathan"/>
    <s v="Springer"/>
    <x v="0"/>
    <x v="9"/>
    <x v="0"/>
    <s v="White Collar"/>
    <x v="237"/>
    <n v="34694.959999999999"/>
  </r>
  <r>
    <n v="100002740"/>
    <s v="Liam"/>
    <s v="Edmunds"/>
    <x v="0"/>
    <x v="5"/>
    <x v="0"/>
    <s v="White Collar"/>
    <x v="237"/>
    <n v="30189.87"/>
  </r>
  <r>
    <n v="100002741"/>
    <s v="Hannah"/>
    <s v="James"/>
    <x v="1"/>
    <x v="4"/>
    <x v="0"/>
    <s v="Other"/>
    <x v="237"/>
    <n v="77856.759999999995"/>
  </r>
  <r>
    <n v="100002742"/>
    <s v="Alison"/>
    <s v="Manning"/>
    <x v="1"/>
    <x v="5"/>
    <x v="0"/>
    <s v="White Collar"/>
    <x v="237"/>
    <n v="143808.39000000001"/>
  </r>
  <r>
    <n v="100002743"/>
    <s v="Edward"/>
    <s v="Alsop"/>
    <x v="0"/>
    <x v="4"/>
    <x v="0"/>
    <s v="White Collar"/>
    <x v="237"/>
    <n v="59605.02"/>
  </r>
  <r>
    <n v="200002744"/>
    <s v="Cameron"/>
    <s v="Rampling"/>
    <x v="0"/>
    <x v="32"/>
    <x v="3"/>
    <s v="Other"/>
    <x v="237"/>
    <n v="22810.16"/>
  </r>
  <r>
    <n v="200002745"/>
    <s v="Isaac"/>
    <s v="Quinn"/>
    <x v="0"/>
    <x v="17"/>
    <x v="3"/>
    <s v="Blue Collar"/>
    <x v="237"/>
    <n v="45833.87"/>
  </r>
  <r>
    <n v="300002746"/>
    <s v="Jane"/>
    <s v="Scott"/>
    <x v="1"/>
    <x v="9"/>
    <x v="2"/>
    <s v="White Collar"/>
    <x v="237"/>
    <n v="24726.17"/>
  </r>
  <r>
    <n v="300002747"/>
    <s v="Owen"/>
    <s v="Bond"/>
    <x v="0"/>
    <x v="5"/>
    <x v="2"/>
    <s v="White Collar"/>
    <x v="237"/>
    <n v="32060.6"/>
  </r>
  <r>
    <n v="100002748"/>
    <s v="David"/>
    <s v="Knox"/>
    <x v="0"/>
    <x v="30"/>
    <x v="0"/>
    <s v="White Collar"/>
    <x v="238"/>
    <n v="21577.22"/>
  </r>
  <r>
    <n v="100002749"/>
    <s v="Sean"/>
    <s v="Paterson"/>
    <x v="0"/>
    <x v="38"/>
    <x v="0"/>
    <s v="White Collar"/>
    <x v="238"/>
    <n v="69126.179999999993"/>
  </r>
  <r>
    <n v="100002750"/>
    <s v="Carl"/>
    <s v="Fisher"/>
    <x v="0"/>
    <x v="4"/>
    <x v="0"/>
    <s v="White Collar"/>
    <x v="238"/>
    <n v="267.38"/>
  </r>
  <r>
    <n v="100002751"/>
    <s v="Dorothy"/>
    <s v="Campbell"/>
    <x v="1"/>
    <x v="22"/>
    <x v="0"/>
    <s v="Blue Collar"/>
    <x v="238"/>
    <n v="53586.79"/>
  </r>
  <r>
    <n v="200002752"/>
    <s v="Sophie"/>
    <s v="Howard"/>
    <x v="1"/>
    <x v="40"/>
    <x v="3"/>
    <s v="Other"/>
    <x v="238"/>
    <n v="31148.7"/>
  </r>
  <r>
    <n v="200002753"/>
    <s v="Ian"/>
    <s v="Hunter"/>
    <x v="0"/>
    <x v="47"/>
    <x v="3"/>
    <s v="Blue Collar"/>
    <x v="238"/>
    <n v="92921.99"/>
  </r>
  <r>
    <n v="200002754"/>
    <s v="Oliver"/>
    <s v="Walker"/>
    <x v="0"/>
    <x v="14"/>
    <x v="3"/>
    <s v="Blue Collar"/>
    <x v="238"/>
    <n v="38096.550000000003"/>
  </r>
  <r>
    <n v="200002755"/>
    <s v="Audrey"/>
    <s v="Randall"/>
    <x v="1"/>
    <x v="27"/>
    <x v="3"/>
    <s v="Other"/>
    <x v="238"/>
    <n v="21717.51"/>
  </r>
  <r>
    <n v="300002756"/>
    <s v="Oliver"/>
    <s v="Scott"/>
    <x v="0"/>
    <x v="9"/>
    <x v="2"/>
    <s v="White Collar"/>
    <x v="238"/>
    <n v="23357.27"/>
  </r>
  <r>
    <n v="300002757"/>
    <s v="Simon"/>
    <s v="King"/>
    <x v="0"/>
    <x v="16"/>
    <x v="2"/>
    <s v="Other"/>
    <x v="238"/>
    <n v="9293.0400000000009"/>
  </r>
  <r>
    <n v="300002758"/>
    <s v="Karen"/>
    <s v="Ellison"/>
    <x v="1"/>
    <x v="12"/>
    <x v="2"/>
    <s v="Other"/>
    <x v="238"/>
    <n v="33899.519999999997"/>
  </r>
  <r>
    <n v="300002759"/>
    <s v="Luke"/>
    <s v="Fisher"/>
    <x v="0"/>
    <x v="14"/>
    <x v="2"/>
    <s v="White Collar"/>
    <x v="238"/>
    <n v="17130.259999999998"/>
  </r>
  <r>
    <n v="300002760"/>
    <s v="Lily"/>
    <s v="Campbell"/>
    <x v="1"/>
    <x v="10"/>
    <x v="2"/>
    <s v="Other"/>
    <x v="238"/>
    <n v="69569.289999999994"/>
  </r>
  <r>
    <n v="300002761"/>
    <s v="Samantha"/>
    <s v="Avery"/>
    <x v="1"/>
    <x v="30"/>
    <x v="2"/>
    <s v="White Collar"/>
    <x v="238"/>
    <n v="10423.879999999999"/>
  </r>
  <r>
    <n v="400002762"/>
    <s v="Abigail"/>
    <s v="Underwood"/>
    <x v="1"/>
    <x v="36"/>
    <x v="1"/>
    <s v="White Collar"/>
    <x v="238"/>
    <n v="27314.43"/>
  </r>
  <r>
    <n v="100002763"/>
    <s v="Lisa"/>
    <s v="Martin"/>
    <x v="1"/>
    <x v="7"/>
    <x v="0"/>
    <s v="White Collar"/>
    <x v="239"/>
    <n v="34728.83"/>
  </r>
  <r>
    <n v="100002764"/>
    <s v="Matt"/>
    <s v="MacLeod"/>
    <x v="0"/>
    <x v="31"/>
    <x v="0"/>
    <s v="Blue Collar"/>
    <x v="239"/>
    <n v="60462.33"/>
  </r>
  <r>
    <n v="100002765"/>
    <s v="Rose"/>
    <s v="May"/>
    <x v="1"/>
    <x v="3"/>
    <x v="0"/>
    <s v="Blue Collar"/>
    <x v="239"/>
    <n v="37935.65"/>
  </r>
  <r>
    <n v="100002766"/>
    <s v="Trevor"/>
    <s v="Jackson"/>
    <x v="0"/>
    <x v="38"/>
    <x v="0"/>
    <s v="Other"/>
    <x v="239"/>
    <n v="5247.94"/>
  </r>
  <r>
    <n v="100002767"/>
    <s v="Stephen"/>
    <s v="King"/>
    <x v="0"/>
    <x v="30"/>
    <x v="0"/>
    <s v="White Collar"/>
    <x v="239"/>
    <n v="26045.79"/>
  </r>
  <r>
    <n v="100002768"/>
    <s v="Matt"/>
    <s v="Turner"/>
    <x v="0"/>
    <x v="6"/>
    <x v="0"/>
    <s v="Other"/>
    <x v="239"/>
    <n v="75739.94"/>
  </r>
  <r>
    <n v="100002769"/>
    <s v="Dominic"/>
    <s v="Henderson"/>
    <x v="0"/>
    <x v="4"/>
    <x v="0"/>
    <s v="White Collar"/>
    <x v="239"/>
    <n v="53247.48"/>
  </r>
  <r>
    <n v="100002770"/>
    <s v="Mary"/>
    <s v="Paige"/>
    <x v="1"/>
    <x v="22"/>
    <x v="0"/>
    <s v="White Collar"/>
    <x v="239"/>
    <n v="53799.34"/>
  </r>
  <r>
    <n v="100002771"/>
    <s v="Ryan"/>
    <s v="Clarkson"/>
    <x v="0"/>
    <x v="24"/>
    <x v="0"/>
    <s v="White Collar"/>
    <x v="239"/>
    <n v="34618.1"/>
  </r>
  <r>
    <n v="100002772"/>
    <s v="Austin"/>
    <s v="Nash"/>
    <x v="0"/>
    <x v="4"/>
    <x v="0"/>
    <s v="Other"/>
    <x v="239"/>
    <n v="66085.83"/>
  </r>
  <r>
    <n v="200002773"/>
    <s v="Alan"/>
    <s v="Watson"/>
    <x v="0"/>
    <x v="47"/>
    <x v="3"/>
    <s v="Blue Collar"/>
    <x v="239"/>
    <n v="24994.57"/>
  </r>
  <r>
    <n v="200002774"/>
    <s v="Megan"/>
    <s v="Metcalfe"/>
    <x v="1"/>
    <x v="32"/>
    <x v="3"/>
    <s v="Blue Collar"/>
    <x v="239"/>
    <n v="40769.29"/>
  </r>
  <r>
    <n v="200002775"/>
    <s v="Kevin"/>
    <s v="Miller"/>
    <x v="0"/>
    <x v="19"/>
    <x v="3"/>
    <s v="Blue Collar"/>
    <x v="239"/>
    <n v="45141.01"/>
  </r>
  <r>
    <n v="200002776"/>
    <s v="Jason"/>
    <s v="Langdon"/>
    <x v="0"/>
    <x v="27"/>
    <x v="3"/>
    <s v="Blue Collar"/>
    <x v="239"/>
    <n v="44741.93"/>
  </r>
  <r>
    <n v="200002777"/>
    <s v="Blake"/>
    <s v="Young"/>
    <x v="0"/>
    <x v="23"/>
    <x v="3"/>
    <s v="Blue Collar"/>
    <x v="239"/>
    <n v="13364.78"/>
  </r>
  <r>
    <n v="200002778"/>
    <s v="Sean"/>
    <s v="Short"/>
    <x v="0"/>
    <x v="32"/>
    <x v="3"/>
    <s v="Blue Collar"/>
    <x v="239"/>
    <n v="84220.99"/>
  </r>
  <r>
    <n v="300002779"/>
    <s v="Brandon"/>
    <s v="Cameron"/>
    <x v="0"/>
    <x v="10"/>
    <x v="2"/>
    <s v="Blue Collar"/>
    <x v="239"/>
    <n v="57496.71"/>
  </r>
  <r>
    <n v="300002780"/>
    <s v="Carol"/>
    <s v="Dickens"/>
    <x v="1"/>
    <x v="26"/>
    <x v="2"/>
    <s v="White Collar"/>
    <x v="239"/>
    <n v="63942.65"/>
  </r>
  <r>
    <n v="100002781"/>
    <s v="Audrey"/>
    <s v="Skinner"/>
    <x v="1"/>
    <x v="9"/>
    <x v="0"/>
    <s v="White Collar"/>
    <x v="240"/>
    <n v="71908.740000000005"/>
  </r>
  <r>
    <n v="100002782"/>
    <s v="Nicholas"/>
    <s v="Buckland"/>
    <x v="0"/>
    <x v="37"/>
    <x v="0"/>
    <s v="Other"/>
    <x v="240"/>
    <n v="64855.42"/>
  </r>
  <r>
    <n v="100002783"/>
    <s v="Rebecca"/>
    <s v="Underwood"/>
    <x v="1"/>
    <x v="7"/>
    <x v="0"/>
    <s v="White Collar"/>
    <x v="240"/>
    <n v="85325.26"/>
  </r>
  <r>
    <n v="100002784"/>
    <s v="Matt"/>
    <s v="Parsons"/>
    <x v="0"/>
    <x v="5"/>
    <x v="0"/>
    <s v="White Collar"/>
    <x v="240"/>
    <n v="22295.82"/>
  </r>
  <r>
    <n v="100002785"/>
    <s v="Jason"/>
    <s v="Murray"/>
    <x v="0"/>
    <x v="21"/>
    <x v="0"/>
    <s v="Blue Collar"/>
    <x v="240"/>
    <n v="24900.05"/>
  </r>
  <r>
    <n v="100002786"/>
    <s v="Penelope"/>
    <s v="Jackson"/>
    <x v="1"/>
    <x v="3"/>
    <x v="0"/>
    <s v="White Collar"/>
    <x v="240"/>
    <n v="5369.67"/>
  </r>
  <r>
    <n v="100002787"/>
    <s v="Carol"/>
    <s v="Ince"/>
    <x v="1"/>
    <x v="16"/>
    <x v="0"/>
    <s v="White Collar"/>
    <x v="240"/>
    <n v="8082.88"/>
  </r>
  <r>
    <n v="200002788"/>
    <s v="Trevor"/>
    <s v="Fraser"/>
    <x v="0"/>
    <x v="27"/>
    <x v="3"/>
    <s v="Blue Collar"/>
    <x v="240"/>
    <n v="31175.46"/>
  </r>
  <r>
    <n v="200002789"/>
    <s v="Lucas"/>
    <s v="Gibson"/>
    <x v="0"/>
    <x v="34"/>
    <x v="3"/>
    <s v="Blue Collar"/>
    <x v="240"/>
    <n v="20513.310000000001"/>
  </r>
  <r>
    <n v="200002790"/>
    <s v="Sebastian"/>
    <s v="Avery"/>
    <x v="0"/>
    <x v="15"/>
    <x v="3"/>
    <s v="Other"/>
    <x v="240"/>
    <n v="40378.629999999997"/>
  </r>
  <r>
    <n v="200002791"/>
    <s v="Vanessa"/>
    <s v="Brown"/>
    <x v="1"/>
    <x v="23"/>
    <x v="3"/>
    <s v="Other"/>
    <x v="240"/>
    <n v="19630.11"/>
  </r>
  <r>
    <n v="300002792"/>
    <s v="Ava"/>
    <s v="Underwood"/>
    <x v="1"/>
    <x v="9"/>
    <x v="2"/>
    <s v="White Collar"/>
    <x v="240"/>
    <n v="19443.89"/>
  </r>
  <r>
    <n v="300002793"/>
    <s v="Zoe"/>
    <s v="Payne"/>
    <x v="1"/>
    <x v="21"/>
    <x v="2"/>
    <s v="White Collar"/>
    <x v="240"/>
    <n v="58699.25"/>
  </r>
  <r>
    <n v="100002794"/>
    <s v="Mary"/>
    <s v="Davidson"/>
    <x v="1"/>
    <x v="34"/>
    <x v="0"/>
    <s v="Blue Collar"/>
    <x v="241"/>
    <n v="38404.230000000003"/>
  </r>
  <r>
    <n v="100002795"/>
    <s v="Yvonne"/>
    <s v="Hart"/>
    <x v="1"/>
    <x v="13"/>
    <x v="0"/>
    <s v="White Collar"/>
    <x v="241"/>
    <n v="23497.05"/>
  </r>
  <r>
    <n v="100002796"/>
    <s v="Alan"/>
    <s v="Hill"/>
    <x v="0"/>
    <x v="24"/>
    <x v="0"/>
    <s v="Blue Collar"/>
    <x v="241"/>
    <n v="36689.29"/>
  </r>
  <r>
    <n v="100002797"/>
    <s v="Rachel"/>
    <s v="Hill"/>
    <x v="1"/>
    <x v="30"/>
    <x v="0"/>
    <s v="White Collar"/>
    <x v="241"/>
    <n v="17287.98"/>
  </r>
  <r>
    <n v="100002798"/>
    <s v="Jonathan"/>
    <s v="Welch"/>
    <x v="0"/>
    <x v="30"/>
    <x v="0"/>
    <s v="White Collar"/>
    <x v="241"/>
    <n v="47610.68"/>
  </r>
  <r>
    <n v="100002799"/>
    <s v="Rachel"/>
    <s v="Baker"/>
    <x v="1"/>
    <x v="0"/>
    <x v="0"/>
    <s v="Other"/>
    <x v="241"/>
    <n v="16352.86"/>
  </r>
  <r>
    <n v="100002800"/>
    <s v="Warren"/>
    <s v="Knox"/>
    <x v="0"/>
    <x v="34"/>
    <x v="0"/>
    <s v="White Collar"/>
    <x v="241"/>
    <n v="20407.02"/>
  </r>
  <r>
    <n v="100002801"/>
    <s v="Jennifer"/>
    <s v="Peters"/>
    <x v="1"/>
    <x v="5"/>
    <x v="0"/>
    <s v="White Collar"/>
    <x v="241"/>
    <n v="101676.32"/>
  </r>
  <r>
    <n v="100002802"/>
    <s v="Diane"/>
    <s v="McGrath"/>
    <x v="1"/>
    <x v="36"/>
    <x v="0"/>
    <s v="White Collar"/>
    <x v="241"/>
    <n v="13772.7"/>
  </r>
  <r>
    <n v="100002803"/>
    <s v="Nicholas"/>
    <s v="Mackenzie"/>
    <x v="0"/>
    <x v="5"/>
    <x v="0"/>
    <s v="White Collar"/>
    <x v="241"/>
    <n v="22763.84"/>
  </r>
  <r>
    <n v="100002804"/>
    <s v="Matt"/>
    <s v="Vaughan"/>
    <x v="0"/>
    <x v="31"/>
    <x v="0"/>
    <s v="White Collar"/>
    <x v="241"/>
    <n v="59608.54"/>
  </r>
  <r>
    <n v="100002805"/>
    <s v="Bella"/>
    <s v="Pullman"/>
    <x v="1"/>
    <x v="13"/>
    <x v="0"/>
    <s v="White Collar"/>
    <x v="241"/>
    <n v="34720.54"/>
  </r>
  <r>
    <n v="100002806"/>
    <s v="Caroline"/>
    <s v="Rampling"/>
    <x v="1"/>
    <x v="14"/>
    <x v="0"/>
    <s v="White Collar"/>
    <x v="241"/>
    <n v="97665.32"/>
  </r>
  <r>
    <n v="100002807"/>
    <s v="Charles"/>
    <s v="MacLeod"/>
    <x v="0"/>
    <x v="3"/>
    <x v="0"/>
    <s v="Blue Collar"/>
    <x v="241"/>
    <n v="35293.03"/>
  </r>
  <r>
    <n v="100002808"/>
    <s v="Charles"/>
    <s v="Langdon"/>
    <x v="0"/>
    <x v="14"/>
    <x v="0"/>
    <s v="Other"/>
    <x v="241"/>
    <n v="3287.31"/>
  </r>
  <r>
    <n v="100002809"/>
    <s v="Stephen"/>
    <s v="Welch"/>
    <x v="0"/>
    <x v="1"/>
    <x v="0"/>
    <s v="Blue Collar"/>
    <x v="241"/>
    <n v="125975.42"/>
  </r>
  <r>
    <n v="100002810"/>
    <s v="Julian"/>
    <s v="Welch"/>
    <x v="0"/>
    <x v="14"/>
    <x v="0"/>
    <s v="White Collar"/>
    <x v="241"/>
    <n v="6765.07"/>
  </r>
  <r>
    <n v="100002811"/>
    <s v="Amy"/>
    <s v="Watson"/>
    <x v="1"/>
    <x v="6"/>
    <x v="0"/>
    <s v="White Collar"/>
    <x v="241"/>
    <n v="29774.99"/>
  </r>
  <r>
    <n v="100002812"/>
    <s v="Deirdre"/>
    <s v="Lewis"/>
    <x v="1"/>
    <x v="26"/>
    <x v="0"/>
    <s v="White Collar"/>
    <x v="241"/>
    <n v="16369.66"/>
  </r>
  <r>
    <n v="100002813"/>
    <s v="Bella"/>
    <s v="Hart"/>
    <x v="1"/>
    <x v="10"/>
    <x v="0"/>
    <s v="Blue Collar"/>
    <x v="241"/>
    <n v="106334.38"/>
  </r>
  <r>
    <n v="100002814"/>
    <s v="Luke"/>
    <s v="Welch"/>
    <x v="0"/>
    <x v="30"/>
    <x v="0"/>
    <s v="White Collar"/>
    <x v="241"/>
    <n v="6839.9"/>
  </r>
  <r>
    <n v="100002815"/>
    <s v="Claire"/>
    <s v="Blake"/>
    <x v="1"/>
    <x v="5"/>
    <x v="0"/>
    <s v="White Collar"/>
    <x v="241"/>
    <n v="49965.59"/>
  </r>
  <r>
    <n v="100002816"/>
    <s v="Andrew"/>
    <s v="Fisher"/>
    <x v="0"/>
    <x v="21"/>
    <x v="0"/>
    <s v="White Collar"/>
    <x v="241"/>
    <n v="105093.23"/>
  </r>
  <r>
    <n v="100002817"/>
    <s v="Liam"/>
    <s v="Mackenzie"/>
    <x v="0"/>
    <x v="3"/>
    <x v="0"/>
    <s v="White Collar"/>
    <x v="241"/>
    <n v="28744.79"/>
  </r>
  <r>
    <n v="100002818"/>
    <s v="Chloe"/>
    <s v="Sharp"/>
    <x v="1"/>
    <x v="33"/>
    <x v="0"/>
    <s v="White Collar"/>
    <x v="241"/>
    <n v="25267.279999999999"/>
  </r>
  <r>
    <n v="100002819"/>
    <s v="Adam"/>
    <s v="Hamilton"/>
    <x v="0"/>
    <x v="14"/>
    <x v="0"/>
    <s v="White Collar"/>
    <x v="241"/>
    <n v="43254.96"/>
  </r>
  <r>
    <n v="100002820"/>
    <s v="Bernadette"/>
    <s v="Dowd"/>
    <x v="1"/>
    <x v="38"/>
    <x v="0"/>
    <s v="White Collar"/>
    <x v="241"/>
    <n v="26670.87"/>
  </r>
  <r>
    <n v="100002821"/>
    <s v="Dan"/>
    <s v="Campbell"/>
    <x v="0"/>
    <x v="22"/>
    <x v="0"/>
    <s v="White Collar"/>
    <x v="241"/>
    <n v="5582.48"/>
  </r>
  <r>
    <n v="100002822"/>
    <s v="Amelia"/>
    <s v="Morrison"/>
    <x v="1"/>
    <x v="12"/>
    <x v="0"/>
    <s v="White Collar"/>
    <x v="241"/>
    <n v="143447.15"/>
  </r>
  <r>
    <n v="100002823"/>
    <s v="Rachel"/>
    <s v="Knox"/>
    <x v="1"/>
    <x v="16"/>
    <x v="0"/>
    <s v="Other"/>
    <x v="241"/>
    <n v="41566.379999999997"/>
  </r>
  <r>
    <n v="100002824"/>
    <s v="Evan"/>
    <s v="Grant"/>
    <x v="0"/>
    <x v="4"/>
    <x v="0"/>
    <s v="White Collar"/>
    <x v="241"/>
    <n v="14042.25"/>
  </r>
  <r>
    <n v="100002825"/>
    <s v="Mary"/>
    <s v="Peters"/>
    <x v="1"/>
    <x v="30"/>
    <x v="0"/>
    <s v="Other"/>
    <x v="241"/>
    <n v="11504.49"/>
  </r>
  <r>
    <n v="100002826"/>
    <s v="Ella"/>
    <s v="Baker"/>
    <x v="1"/>
    <x v="30"/>
    <x v="0"/>
    <s v="White Collar"/>
    <x v="241"/>
    <n v="6807.36"/>
  </r>
  <r>
    <n v="100002827"/>
    <s v="Emma"/>
    <s v="Turner"/>
    <x v="1"/>
    <x v="14"/>
    <x v="0"/>
    <s v="White Collar"/>
    <x v="241"/>
    <n v="25191.07"/>
  </r>
  <r>
    <n v="100002828"/>
    <s v="Jason"/>
    <s v="Marshall"/>
    <x v="0"/>
    <x v="24"/>
    <x v="0"/>
    <s v="Blue Collar"/>
    <x v="241"/>
    <n v="33472.49"/>
  </r>
  <r>
    <n v="200002829"/>
    <s v="Liam"/>
    <s v="Buckland"/>
    <x v="0"/>
    <x v="18"/>
    <x v="3"/>
    <s v="Blue Collar"/>
    <x v="241"/>
    <n v="39603.99"/>
  </r>
  <r>
    <n v="200002830"/>
    <s v="Mary"/>
    <s v="Hudson"/>
    <x v="1"/>
    <x v="10"/>
    <x v="3"/>
    <s v="Other"/>
    <x v="241"/>
    <n v="58376.83"/>
  </r>
  <r>
    <n v="200002831"/>
    <s v="Hannah"/>
    <s v="Underwood"/>
    <x v="1"/>
    <x v="1"/>
    <x v="3"/>
    <s v="Other"/>
    <x v="241"/>
    <n v="20725.330000000002"/>
  </r>
  <r>
    <n v="200002832"/>
    <s v="Abigail"/>
    <s v="Hodges"/>
    <x v="1"/>
    <x v="17"/>
    <x v="3"/>
    <s v="Other"/>
    <x v="241"/>
    <n v="8526.86"/>
  </r>
  <r>
    <n v="200002833"/>
    <s v="Justin"/>
    <s v="Wallace"/>
    <x v="0"/>
    <x v="34"/>
    <x v="3"/>
    <s v="Other"/>
    <x v="241"/>
    <n v="58442.239999999998"/>
  </r>
  <r>
    <n v="200002834"/>
    <s v="Sally"/>
    <s v="Simpson"/>
    <x v="1"/>
    <x v="2"/>
    <x v="3"/>
    <s v="Other"/>
    <x v="241"/>
    <n v="36237.589999999997"/>
  </r>
  <r>
    <n v="200002835"/>
    <s v="Madeleine"/>
    <s v="Mills"/>
    <x v="1"/>
    <x v="15"/>
    <x v="3"/>
    <s v="Other"/>
    <x v="241"/>
    <n v="15502.73"/>
  </r>
  <r>
    <n v="200002836"/>
    <s v="Sam"/>
    <s v="Ferguson"/>
    <x v="0"/>
    <x v="46"/>
    <x v="3"/>
    <s v="Blue Collar"/>
    <x v="241"/>
    <n v="102409.29"/>
  </r>
  <r>
    <n v="200002837"/>
    <s v="Anne"/>
    <s v="Russell"/>
    <x v="1"/>
    <x v="17"/>
    <x v="3"/>
    <s v="Other"/>
    <x v="241"/>
    <n v="36607.230000000003"/>
  </r>
  <r>
    <n v="200002838"/>
    <s v="Sean"/>
    <s v="Dowd"/>
    <x v="0"/>
    <x v="8"/>
    <x v="3"/>
    <s v="Blue Collar"/>
    <x v="241"/>
    <n v="20345"/>
  </r>
  <r>
    <n v="200002839"/>
    <s v="Oliver"/>
    <s v="Hughes"/>
    <x v="0"/>
    <x v="19"/>
    <x v="3"/>
    <s v="Blue Collar"/>
    <x v="241"/>
    <n v="65277.36"/>
  </r>
  <r>
    <n v="300002840"/>
    <s v="Blake"/>
    <s v="Wilson"/>
    <x v="0"/>
    <x v="22"/>
    <x v="2"/>
    <s v="Blue Collar"/>
    <x v="241"/>
    <n v="48599.08"/>
  </r>
  <r>
    <n v="300002841"/>
    <s v="Sam"/>
    <s v="Edmunds"/>
    <x v="0"/>
    <x v="12"/>
    <x v="2"/>
    <s v="White Collar"/>
    <x v="241"/>
    <n v="62369.55"/>
  </r>
  <r>
    <n v="300002842"/>
    <s v="Victor"/>
    <s v="Underwood"/>
    <x v="0"/>
    <x v="38"/>
    <x v="2"/>
    <s v="Blue Collar"/>
    <x v="241"/>
    <n v="46835.63"/>
  </r>
  <r>
    <n v="300002843"/>
    <s v="Evan"/>
    <s v="Payne"/>
    <x v="0"/>
    <x v="24"/>
    <x v="2"/>
    <s v="Blue Collar"/>
    <x v="241"/>
    <n v="25525.88"/>
  </r>
  <r>
    <n v="400002844"/>
    <s v="Gabrielle"/>
    <s v="Wallace"/>
    <x v="1"/>
    <x v="1"/>
    <x v="1"/>
    <s v="Blue Collar"/>
    <x v="241"/>
    <n v="17843.97"/>
  </r>
  <r>
    <n v="400002845"/>
    <s v="Tracey"/>
    <s v="Oliver"/>
    <x v="1"/>
    <x v="3"/>
    <x v="1"/>
    <s v="Other"/>
    <x v="241"/>
    <n v="19510.11"/>
  </r>
  <r>
    <n v="400002846"/>
    <s v="Lauren"/>
    <s v="MacLeod"/>
    <x v="1"/>
    <x v="3"/>
    <x v="1"/>
    <s v="White Collar"/>
    <x v="241"/>
    <n v="43325.65"/>
  </r>
  <r>
    <n v="100002847"/>
    <s v="Diana"/>
    <s v="Randall"/>
    <x v="1"/>
    <x v="43"/>
    <x v="0"/>
    <s v="White Collar"/>
    <x v="242"/>
    <n v="18520"/>
  </r>
  <r>
    <n v="100002848"/>
    <s v="Edward"/>
    <s v="Mills"/>
    <x v="0"/>
    <x v="2"/>
    <x v="0"/>
    <s v="White Collar"/>
    <x v="242"/>
    <n v="22280.28"/>
  </r>
  <r>
    <n v="100002849"/>
    <s v="Anna"/>
    <s v="Peters"/>
    <x v="1"/>
    <x v="35"/>
    <x v="0"/>
    <s v="White Collar"/>
    <x v="242"/>
    <n v="79715.05"/>
  </r>
  <r>
    <n v="100002850"/>
    <s v="Gavin"/>
    <s v="Buckland"/>
    <x v="0"/>
    <x v="4"/>
    <x v="0"/>
    <s v="White Collar"/>
    <x v="242"/>
    <n v="6411.33"/>
  </r>
  <r>
    <n v="100002851"/>
    <s v="Ella"/>
    <s v="Watson"/>
    <x v="1"/>
    <x v="7"/>
    <x v="0"/>
    <s v="White Collar"/>
    <x v="242"/>
    <n v="9113.19"/>
  </r>
  <r>
    <n v="100002852"/>
    <s v="Amanda"/>
    <s v="Randall"/>
    <x v="1"/>
    <x v="22"/>
    <x v="0"/>
    <s v="Blue Collar"/>
    <x v="242"/>
    <n v="40095.85"/>
  </r>
  <r>
    <n v="200002853"/>
    <s v="William"/>
    <s v="Duncan"/>
    <x v="0"/>
    <x v="6"/>
    <x v="3"/>
    <s v="Blue Collar"/>
    <x v="242"/>
    <n v="48392"/>
  </r>
  <r>
    <n v="300002854"/>
    <s v="Jonathan"/>
    <s v="Dickens"/>
    <x v="0"/>
    <x v="0"/>
    <x v="2"/>
    <s v="White Collar"/>
    <x v="242"/>
    <n v="17595.189999999999"/>
  </r>
  <r>
    <n v="300002855"/>
    <s v="Rose"/>
    <s v="Berry"/>
    <x v="1"/>
    <x v="3"/>
    <x v="2"/>
    <s v="White Collar"/>
    <x v="242"/>
    <n v="7278.4"/>
  </r>
  <r>
    <n v="300002856"/>
    <s v="Dorothy"/>
    <s v="Hemmings"/>
    <x v="1"/>
    <x v="9"/>
    <x v="2"/>
    <s v="White Collar"/>
    <x v="242"/>
    <n v="78371.64"/>
  </r>
  <r>
    <n v="300002857"/>
    <s v="Angela"/>
    <s v="Wilkins"/>
    <x v="1"/>
    <x v="12"/>
    <x v="2"/>
    <s v="White Collar"/>
    <x v="242"/>
    <n v="3962.3"/>
  </r>
  <r>
    <n v="400002858"/>
    <s v="Vanessa"/>
    <s v="Simpson"/>
    <x v="1"/>
    <x v="43"/>
    <x v="1"/>
    <s v="White Collar"/>
    <x v="242"/>
    <n v="34075.29"/>
  </r>
  <r>
    <n v="100002859"/>
    <s v="Grace"/>
    <s v="Graham"/>
    <x v="1"/>
    <x v="10"/>
    <x v="0"/>
    <s v="Other"/>
    <x v="243"/>
    <n v="63362.89"/>
  </r>
  <r>
    <n v="100002860"/>
    <s v="Evan"/>
    <s v="Hughes"/>
    <x v="0"/>
    <x v="4"/>
    <x v="0"/>
    <s v="Other"/>
    <x v="243"/>
    <n v="21535.24"/>
  </r>
  <r>
    <n v="100002861"/>
    <s v="Jason"/>
    <s v="Anderson"/>
    <x v="0"/>
    <x v="10"/>
    <x v="0"/>
    <s v="White Collar"/>
    <x v="243"/>
    <n v="46065.96"/>
  </r>
  <r>
    <n v="100002862"/>
    <s v="Ian"/>
    <s v="May"/>
    <x v="0"/>
    <x v="22"/>
    <x v="0"/>
    <s v="White Collar"/>
    <x v="243"/>
    <n v="114954.78"/>
  </r>
  <r>
    <n v="100002863"/>
    <s v="Michael"/>
    <s v="Dyer"/>
    <x v="0"/>
    <x v="12"/>
    <x v="0"/>
    <s v="White Collar"/>
    <x v="243"/>
    <n v="30047.75"/>
  </r>
  <r>
    <n v="100002864"/>
    <s v="Faith"/>
    <s v="Murray"/>
    <x v="1"/>
    <x v="5"/>
    <x v="0"/>
    <s v="White Collar"/>
    <x v="243"/>
    <n v="2633.71"/>
  </r>
  <r>
    <n v="100002865"/>
    <s v="Madeleine"/>
    <s v="Hudson"/>
    <x v="1"/>
    <x v="22"/>
    <x v="0"/>
    <s v="Other"/>
    <x v="243"/>
    <n v="49160.19"/>
  </r>
  <r>
    <n v="100002866"/>
    <s v="Luke"/>
    <s v="Hardacre"/>
    <x v="0"/>
    <x v="16"/>
    <x v="0"/>
    <s v="Blue Collar"/>
    <x v="243"/>
    <n v="7976.04"/>
  </r>
  <r>
    <n v="100002867"/>
    <s v="Natalie"/>
    <s v="Glover"/>
    <x v="1"/>
    <x v="5"/>
    <x v="0"/>
    <s v="Other"/>
    <x v="243"/>
    <n v="47404.84"/>
  </r>
  <r>
    <n v="100002868"/>
    <s v="Jack"/>
    <s v="Greene"/>
    <x v="0"/>
    <x v="12"/>
    <x v="0"/>
    <s v="White Collar"/>
    <x v="243"/>
    <n v="35195.629999999997"/>
  </r>
  <r>
    <n v="100002869"/>
    <s v="Michael"/>
    <s v="Roberts"/>
    <x v="0"/>
    <x v="13"/>
    <x v="0"/>
    <s v="White Collar"/>
    <x v="243"/>
    <n v="12383.01"/>
  </r>
  <r>
    <n v="100002870"/>
    <s v="Virginia"/>
    <s v="Clarkson"/>
    <x v="1"/>
    <x v="3"/>
    <x v="0"/>
    <s v="White Collar"/>
    <x v="243"/>
    <n v="68085.45"/>
  </r>
  <r>
    <n v="100002871"/>
    <s v="Sally"/>
    <s v="Terry"/>
    <x v="1"/>
    <x v="22"/>
    <x v="0"/>
    <s v="Blue Collar"/>
    <x v="243"/>
    <n v="90913.77"/>
  </r>
  <r>
    <n v="200002872"/>
    <s v="Penelope"/>
    <s v="Wilson"/>
    <x v="1"/>
    <x v="4"/>
    <x v="3"/>
    <s v="Other"/>
    <x v="243"/>
    <n v="67598.37"/>
  </r>
  <r>
    <n v="200002873"/>
    <s v="Justin"/>
    <s v="Piper"/>
    <x v="0"/>
    <x v="25"/>
    <x v="3"/>
    <s v="Blue Collar"/>
    <x v="243"/>
    <n v="9806.3799999999992"/>
  </r>
  <r>
    <n v="300002874"/>
    <s v="Fiona"/>
    <s v="Piper"/>
    <x v="1"/>
    <x v="20"/>
    <x v="2"/>
    <s v="White Collar"/>
    <x v="243"/>
    <n v="7558.84"/>
  </r>
  <r>
    <n v="100002875"/>
    <s v="Connor"/>
    <s v="Miller"/>
    <x v="0"/>
    <x v="23"/>
    <x v="0"/>
    <s v="Other"/>
    <x v="244"/>
    <n v="37483.440000000002"/>
  </r>
  <r>
    <n v="100002876"/>
    <s v="Gavin"/>
    <s v="Springer"/>
    <x v="0"/>
    <x v="29"/>
    <x v="0"/>
    <s v="Other"/>
    <x v="244"/>
    <n v="19359.04"/>
  </r>
  <r>
    <n v="100002877"/>
    <s v="Peter"/>
    <s v="Slater"/>
    <x v="0"/>
    <x v="12"/>
    <x v="0"/>
    <s v="White Collar"/>
    <x v="244"/>
    <n v="4503.8"/>
  </r>
  <r>
    <n v="100002878"/>
    <s v="Emma"/>
    <s v="Short"/>
    <x v="1"/>
    <x v="12"/>
    <x v="0"/>
    <s v="White Collar"/>
    <x v="244"/>
    <n v="59611.33"/>
  </r>
  <r>
    <n v="100002879"/>
    <s v="Amy"/>
    <s v="Coleman"/>
    <x v="1"/>
    <x v="10"/>
    <x v="0"/>
    <s v="White Collar"/>
    <x v="244"/>
    <n v="22844.3"/>
  </r>
  <r>
    <n v="100002880"/>
    <s v="Stephen"/>
    <s v="Anderson"/>
    <x v="0"/>
    <x v="6"/>
    <x v="0"/>
    <s v="White Collar"/>
    <x v="244"/>
    <n v="33104.339999999997"/>
  </r>
  <r>
    <n v="100002881"/>
    <s v="Sam"/>
    <s v="Gibson"/>
    <x v="0"/>
    <x v="8"/>
    <x v="0"/>
    <s v="White Collar"/>
    <x v="244"/>
    <n v="37456.5"/>
  </r>
  <r>
    <n v="100002882"/>
    <s v="Yvonne"/>
    <s v="Marshall"/>
    <x v="1"/>
    <x v="5"/>
    <x v="0"/>
    <s v="White Collar"/>
    <x v="244"/>
    <n v="41750.17"/>
  </r>
  <r>
    <n v="100002883"/>
    <s v="Dorothy"/>
    <s v="Paterson"/>
    <x v="1"/>
    <x v="22"/>
    <x v="0"/>
    <s v="White Collar"/>
    <x v="244"/>
    <n v="6556.67"/>
  </r>
  <r>
    <n v="100002884"/>
    <s v="Edward"/>
    <s v="McGrath"/>
    <x v="0"/>
    <x v="14"/>
    <x v="0"/>
    <s v="White Collar"/>
    <x v="244"/>
    <n v="44872.72"/>
  </r>
  <r>
    <n v="100002885"/>
    <s v="Lisa"/>
    <s v="Simpson"/>
    <x v="1"/>
    <x v="27"/>
    <x v="0"/>
    <s v="Other"/>
    <x v="244"/>
    <n v="52378.68"/>
  </r>
  <r>
    <n v="100002886"/>
    <s v="Caroline"/>
    <s v="Taylor"/>
    <x v="1"/>
    <x v="5"/>
    <x v="0"/>
    <s v="White Collar"/>
    <x v="244"/>
    <n v="73833.279999999999"/>
  </r>
  <r>
    <n v="100002887"/>
    <s v="Lily"/>
    <s v="Hunter"/>
    <x v="1"/>
    <x v="1"/>
    <x v="0"/>
    <s v="White Collar"/>
    <x v="244"/>
    <n v="44066.67"/>
  </r>
  <r>
    <n v="100002888"/>
    <s v="Carolyn"/>
    <s v="Ferguson"/>
    <x v="1"/>
    <x v="10"/>
    <x v="0"/>
    <s v="White Collar"/>
    <x v="244"/>
    <n v="118110.62"/>
  </r>
  <r>
    <n v="100002889"/>
    <s v="Dan"/>
    <s v="Glover"/>
    <x v="0"/>
    <x v="1"/>
    <x v="0"/>
    <s v="White Collar"/>
    <x v="244"/>
    <n v="62654.71"/>
  </r>
  <r>
    <n v="100002890"/>
    <s v="Phil"/>
    <s v="Kerr"/>
    <x v="0"/>
    <x v="13"/>
    <x v="0"/>
    <s v="White Collar"/>
    <x v="244"/>
    <n v="101731.87"/>
  </r>
  <r>
    <n v="100002891"/>
    <s v="Richard"/>
    <s v="Nash"/>
    <x v="0"/>
    <x v="10"/>
    <x v="0"/>
    <s v="White Collar"/>
    <x v="244"/>
    <n v="14367.29"/>
  </r>
  <r>
    <n v="100002892"/>
    <s v="Anne"/>
    <s v="Reid"/>
    <x v="1"/>
    <x v="14"/>
    <x v="0"/>
    <s v="Other"/>
    <x v="244"/>
    <n v="16358.32"/>
  </r>
  <r>
    <n v="100002893"/>
    <s v="Max"/>
    <s v="Ball"/>
    <x v="0"/>
    <x v="34"/>
    <x v="0"/>
    <s v="Other"/>
    <x v="244"/>
    <n v="85992.59"/>
  </r>
  <r>
    <n v="100002894"/>
    <s v="Paul"/>
    <s v="Smith"/>
    <x v="0"/>
    <x v="12"/>
    <x v="0"/>
    <s v="Other"/>
    <x v="244"/>
    <n v="62882.21"/>
  </r>
  <r>
    <n v="200002895"/>
    <s v="Carl"/>
    <s v="Paterson"/>
    <x v="0"/>
    <x v="14"/>
    <x v="3"/>
    <s v="Blue Collar"/>
    <x v="244"/>
    <n v="16866.919999999998"/>
  </r>
  <r>
    <n v="200002896"/>
    <s v="Joe"/>
    <s v="Coleman"/>
    <x v="0"/>
    <x v="40"/>
    <x v="3"/>
    <s v="Other"/>
    <x v="244"/>
    <n v="47745.75"/>
  </r>
  <r>
    <n v="200002897"/>
    <s v="Lucas"/>
    <s v="Ogden"/>
    <x v="0"/>
    <x v="32"/>
    <x v="3"/>
    <s v="Blue Collar"/>
    <x v="244"/>
    <n v="50448.22"/>
  </r>
  <r>
    <n v="200002898"/>
    <s v="Jane"/>
    <s v="Reid"/>
    <x v="1"/>
    <x v="35"/>
    <x v="3"/>
    <s v="Other"/>
    <x v="244"/>
    <n v="47468.79"/>
  </r>
  <r>
    <n v="200002899"/>
    <s v="Megan"/>
    <s v="Johnston"/>
    <x v="1"/>
    <x v="1"/>
    <x v="3"/>
    <s v="Other"/>
    <x v="244"/>
    <n v="57068.72"/>
  </r>
  <r>
    <n v="200002900"/>
    <s v="Connor"/>
    <s v="Rees"/>
    <x v="0"/>
    <x v="46"/>
    <x v="3"/>
    <s v="Other"/>
    <x v="244"/>
    <n v="115932.44"/>
  </r>
  <r>
    <n v="200002901"/>
    <s v="Paul"/>
    <s v="Bailey"/>
    <x v="0"/>
    <x v="40"/>
    <x v="3"/>
    <s v="Blue Collar"/>
    <x v="244"/>
    <n v="81414.37"/>
  </r>
  <r>
    <n v="200002902"/>
    <s v="Adam"/>
    <s v="Butler"/>
    <x v="0"/>
    <x v="4"/>
    <x v="3"/>
    <s v="Blue Collar"/>
    <x v="244"/>
    <n v="106227.27"/>
  </r>
  <r>
    <n v="200002903"/>
    <s v="Alison"/>
    <s v="Ferguson"/>
    <x v="1"/>
    <x v="27"/>
    <x v="3"/>
    <s v="Other"/>
    <x v="244"/>
    <n v="53820.41"/>
  </r>
  <r>
    <n v="300002904"/>
    <s v="Michelle"/>
    <s v="Walker"/>
    <x v="1"/>
    <x v="24"/>
    <x v="2"/>
    <s v="White Collar"/>
    <x v="244"/>
    <n v="19224.759999999998"/>
  </r>
  <r>
    <n v="300002905"/>
    <s v="Jennifer"/>
    <s v="Chapman"/>
    <x v="1"/>
    <x v="32"/>
    <x v="2"/>
    <s v="White Collar"/>
    <x v="244"/>
    <n v="19488.810000000001"/>
  </r>
  <r>
    <n v="300002906"/>
    <s v="Trevor"/>
    <s v="Brown"/>
    <x v="0"/>
    <x v="13"/>
    <x v="2"/>
    <s v="Blue Collar"/>
    <x v="244"/>
    <n v="30436.38"/>
  </r>
  <r>
    <n v="400002907"/>
    <s v="Ryan"/>
    <s v="Welch"/>
    <x v="0"/>
    <x v="5"/>
    <x v="1"/>
    <s v="Blue Collar"/>
    <x v="244"/>
    <n v="34718.68"/>
  </r>
  <r>
    <n v="400002908"/>
    <s v="Nicola"/>
    <s v="Hodges"/>
    <x v="1"/>
    <x v="3"/>
    <x v="1"/>
    <s v="Other"/>
    <x v="244"/>
    <n v="15858.93"/>
  </r>
  <r>
    <n v="100002909"/>
    <s v="Jake"/>
    <s v="Stewart"/>
    <x v="0"/>
    <x v="22"/>
    <x v="0"/>
    <s v="White Collar"/>
    <x v="245"/>
    <n v="41292.980000000003"/>
  </r>
  <r>
    <n v="100002910"/>
    <s v="Caroline"/>
    <s v="Clark"/>
    <x v="1"/>
    <x v="3"/>
    <x v="0"/>
    <s v="White Collar"/>
    <x v="245"/>
    <n v="17090.169999999998"/>
  </r>
  <r>
    <n v="100002911"/>
    <s v="Adam"/>
    <s v="Hemmings"/>
    <x v="0"/>
    <x v="14"/>
    <x v="0"/>
    <s v="Blue Collar"/>
    <x v="245"/>
    <n v="60097.21"/>
  </r>
  <r>
    <n v="100002912"/>
    <s v="Elizabeth"/>
    <s v="Parsons"/>
    <x v="1"/>
    <x v="13"/>
    <x v="0"/>
    <s v="White Collar"/>
    <x v="245"/>
    <n v="113868.94"/>
  </r>
  <r>
    <n v="100002913"/>
    <s v="Jake"/>
    <s v="Jones"/>
    <x v="0"/>
    <x v="3"/>
    <x v="0"/>
    <s v="White Collar"/>
    <x v="245"/>
    <n v="27593.119999999999"/>
  </r>
  <r>
    <n v="100002914"/>
    <s v="Mary"/>
    <s v="Nolan"/>
    <x v="1"/>
    <x v="7"/>
    <x v="0"/>
    <s v="Other"/>
    <x v="245"/>
    <n v="2471.48"/>
  </r>
  <r>
    <n v="100002915"/>
    <s v="Deirdre"/>
    <s v="Abraham"/>
    <x v="1"/>
    <x v="36"/>
    <x v="0"/>
    <s v="White Collar"/>
    <x v="245"/>
    <n v="5965.14"/>
  </r>
  <r>
    <n v="100002916"/>
    <s v="John"/>
    <s v="Arnold"/>
    <x v="0"/>
    <x v="20"/>
    <x v="0"/>
    <s v="Other"/>
    <x v="245"/>
    <n v="41058.11"/>
  </r>
  <r>
    <n v="100002917"/>
    <s v="Lucas"/>
    <s v="Butler"/>
    <x v="0"/>
    <x v="7"/>
    <x v="0"/>
    <s v="White Collar"/>
    <x v="245"/>
    <n v="31959.46"/>
  </r>
  <r>
    <n v="100002918"/>
    <s v="Joe"/>
    <s v="Russell"/>
    <x v="0"/>
    <x v="13"/>
    <x v="0"/>
    <s v="White Collar"/>
    <x v="245"/>
    <n v="22240.2"/>
  </r>
  <r>
    <n v="100002919"/>
    <s v="Trevor"/>
    <s v="Lyman"/>
    <x v="0"/>
    <x v="7"/>
    <x v="0"/>
    <s v="White Collar"/>
    <x v="245"/>
    <n v="50075.4"/>
  </r>
  <r>
    <n v="200002920"/>
    <s v="Luke"/>
    <s v="Miller"/>
    <x v="0"/>
    <x v="32"/>
    <x v="3"/>
    <s v="Blue Collar"/>
    <x v="245"/>
    <n v="31739.200000000001"/>
  </r>
  <r>
    <n v="200002921"/>
    <s v="Jennifer"/>
    <s v="Abraham"/>
    <x v="1"/>
    <x v="1"/>
    <x v="3"/>
    <s v="Other"/>
    <x v="245"/>
    <n v="61355.54"/>
  </r>
  <r>
    <n v="200002922"/>
    <s v="Rebecca"/>
    <s v="Johnston"/>
    <x v="1"/>
    <x v="23"/>
    <x v="3"/>
    <s v="Other"/>
    <x v="245"/>
    <n v="54003.42"/>
  </r>
  <r>
    <n v="200002923"/>
    <s v="Sonia"/>
    <s v="Bower"/>
    <x v="1"/>
    <x v="34"/>
    <x v="3"/>
    <s v="Other"/>
    <x v="245"/>
    <n v="9654.58"/>
  </r>
  <r>
    <n v="200002924"/>
    <s v="Joshua"/>
    <s v="Hughes"/>
    <x v="0"/>
    <x v="17"/>
    <x v="3"/>
    <s v="Blue Collar"/>
    <x v="245"/>
    <n v="6809.17"/>
  </r>
  <r>
    <n v="200002925"/>
    <s v="Jacob"/>
    <s v="Marshall"/>
    <x v="0"/>
    <x v="28"/>
    <x v="3"/>
    <s v="Blue Collar"/>
    <x v="245"/>
    <n v="33282.11"/>
  </r>
  <r>
    <n v="200002926"/>
    <s v="Trevor"/>
    <s v="Robertson"/>
    <x v="0"/>
    <x v="28"/>
    <x v="3"/>
    <s v="Blue Collar"/>
    <x v="245"/>
    <n v="64172.31"/>
  </r>
  <r>
    <n v="300002927"/>
    <s v="Deirdre"/>
    <s v="Fraser"/>
    <x v="1"/>
    <x v="1"/>
    <x v="2"/>
    <s v="White Collar"/>
    <x v="245"/>
    <n v="43689.43"/>
  </r>
  <r>
    <n v="400002928"/>
    <s v="Jane"/>
    <s v="Lawrence"/>
    <x v="1"/>
    <x v="30"/>
    <x v="1"/>
    <s v="Blue Collar"/>
    <x v="245"/>
    <n v="50213.26"/>
  </r>
  <r>
    <n v="100002929"/>
    <s v="Grace"/>
    <s v="Ogden"/>
    <x v="1"/>
    <x v="3"/>
    <x v="0"/>
    <s v="White Collar"/>
    <x v="246"/>
    <n v="26231.03"/>
  </r>
  <r>
    <n v="100002930"/>
    <s v="Jonathan"/>
    <s v="Martin"/>
    <x v="0"/>
    <x v="4"/>
    <x v="0"/>
    <s v="Other"/>
    <x v="246"/>
    <n v="49041.1"/>
  </r>
  <r>
    <n v="100002931"/>
    <s v="Joan"/>
    <s v="Newman"/>
    <x v="1"/>
    <x v="13"/>
    <x v="0"/>
    <s v="White Collar"/>
    <x v="246"/>
    <n v="40138.75"/>
  </r>
  <r>
    <n v="100002932"/>
    <s v="Lisa"/>
    <s v="Morgan"/>
    <x v="1"/>
    <x v="3"/>
    <x v="0"/>
    <s v="Other"/>
    <x v="246"/>
    <n v="699.42"/>
  </r>
  <r>
    <n v="100002933"/>
    <s v="Diane"/>
    <s v="Oliver"/>
    <x v="1"/>
    <x v="3"/>
    <x v="0"/>
    <s v="White Collar"/>
    <x v="246"/>
    <n v="25464.76"/>
  </r>
  <r>
    <n v="100002934"/>
    <s v="Paul"/>
    <s v="Reid"/>
    <x v="0"/>
    <x v="12"/>
    <x v="0"/>
    <s v="Blue Collar"/>
    <x v="246"/>
    <n v="65949.77"/>
  </r>
  <r>
    <n v="100002935"/>
    <s v="Felicity"/>
    <s v="Lambert"/>
    <x v="1"/>
    <x v="12"/>
    <x v="0"/>
    <s v="White Collar"/>
    <x v="246"/>
    <n v="98682.44"/>
  </r>
  <r>
    <n v="100002936"/>
    <s v="Audrey"/>
    <s v="Short"/>
    <x v="1"/>
    <x v="8"/>
    <x v="0"/>
    <s v="White Collar"/>
    <x v="246"/>
    <n v="15389.73"/>
  </r>
  <r>
    <n v="100002937"/>
    <s v="Dorothy"/>
    <s v="Hughes"/>
    <x v="1"/>
    <x v="38"/>
    <x v="0"/>
    <s v="White Collar"/>
    <x v="246"/>
    <n v="3766.5"/>
  </r>
  <r>
    <n v="100002938"/>
    <s v="Emma"/>
    <s v="Bower"/>
    <x v="1"/>
    <x v="9"/>
    <x v="0"/>
    <s v="Other"/>
    <x v="246"/>
    <n v="55489.08"/>
  </r>
  <r>
    <n v="100002939"/>
    <s v="William"/>
    <s v="Ogden"/>
    <x v="0"/>
    <x v="22"/>
    <x v="0"/>
    <s v="White Collar"/>
    <x v="246"/>
    <n v="56363.31"/>
  </r>
  <r>
    <n v="100002940"/>
    <s v="Rose"/>
    <s v="Parr"/>
    <x v="1"/>
    <x v="7"/>
    <x v="0"/>
    <s v="Other"/>
    <x v="246"/>
    <n v="60395.3"/>
  </r>
  <r>
    <n v="100002941"/>
    <s v="Stewart"/>
    <s v="Rutherford"/>
    <x v="0"/>
    <x v="19"/>
    <x v="0"/>
    <s v="White Collar"/>
    <x v="246"/>
    <n v="20397.32"/>
  </r>
  <r>
    <n v="200002942"/>
    <s v="Luke"/>
    <s v="Gray"/>
    <x v="0"/>
    <x v="17"/>
    <x v="3"/>
    <s v="Other"/>
    <x v="246"/>
    <n v="20132.46"/>
  </r>
  <r>
    <n v="200002943"/>
    <s v="Jake"/>
    <s v="Poole"/>
    <x v="0"/>
    <x v="31"/>
    <x v="3"/>
    <s v="Blue Collar"/>
    <x v="246"/>
    <n v="101645.25"/>
  </r>
  <r>
    <n v="200002944"/>
    <s v="Stewart"/>
    <s v="Hudson"/>
    <x v="0"/>
    <x v="18"/>
    <x v="3"/>
    <s v="Blue Collar"/>
    <x v="246"/>
    <n v="66721.34"/>
  </r>
  <r>
    <n v="200002945"/>
    <s v="Dominic"/>
    <s v="Roberts"/>
    <x v="0"/>
    <x v="18"/>
    <x v="3"/>
    <s v="Other"/>
    <x v="246"/>
    <n v="66668.78"/>
  </r>
  <r>
    <n v="300002946"/>
    <s v="Alexander"/>
    <s v="Mills"/>
    <x v="0"/>
    <x v="34"/>
    <x v="2"/>
    <s v="Blue Collar"/>
    <x v="246"/>
    <n v="21018.89"/>
  </r>
  <r>
    <n v="100002947"/>
    <s v="Faith"/>
    <s v="Poole"/>
    <x v="1"/>
    <x v="25"/>
    <x v="0"/>
    <s v="White Collar"/>
    <x v="247"/>
    <n v="48099.69"/>
  </r>
  <r>
    <n v="100002948"/>
    <s v="Sophie"/>
    <s v="Black"/>
    <x v="1"/>
    <x v="12"/>
    <x v="0"/>
    <s v="White Collar"/>
    <x v="247"/>
    <n v="34618.76"/>
  </r>
  <r>
    <n v="100002949"/>
    <s v="Megan"/>
    <s v="Campbell"/>
    <x v="1"/>
    <x v="4"/>
    <x v="0"/>
    <s v="White Collar"/>
    <x v="247"/>
    <n v="54755.3"/>
  </r>
  <r>
    <n v="100002950"/>
    <s v="Alan"/>
    <s v="Avery"/>
    <x v="0"/>
    <x v="7"/>
    <x v="0"/>
    <s v="White Collar"/>
    <x v="247"/>
    <n v="81827.13"/>
  </r>
  <r>
    <n v="100002951"/>
    <s v="Caroline"/>
    <s v="Hudson"/>
    <x v="1"/>
    <x v="12"/>
    <x v="0"/>
    <s v="White Collar"/>
    <x v="247"/>
    <n v="47211.31"/>
  </r>
  <r>
    <n v="100002952"/>
    <s v="Virginia"/>
    <s v="Forsyth"/>
    <x v="1"/>
    <x v="5"/>
    <x v="0"/>
    <s v="White Collar"/>
    <x v="247"/>
    <n v="17332.05"/>
  </r>
  <r>
    <n v="100002953"/>
    <s v="Hannah"/>
    <s v="Peake"/>
    <x v="1"/>
    <x v="17"/>
    <x v="0"/>
    <s v="White Collar"/>
    <x v="247"/>
    <n v="55559.45"/>
  </r>
  <r>
    <n v="100002954"/>
    <s v="Angela"/>
    <s v="Cameron"/>
    <x v="1"/>
    <x v="8"/>
    <x v="0"/>
    <s v="Blue Collar"/>
    <x v="247"/>
    <n v="77228.100000000006"/>
  </r>
  <r>
    <n v="100002955"/>
    <s v="Dorothy"/>
    <s v="Ellison"/>
    <x v="1"/>
    <x v="12"/>
    <x v="0"/>
    <s v="White Collar"/>
    <x v="247"/>
    <n v="47360.38"/>
  </r>
  <r>
    <n v="100002956"/>
    <s v="Neil"/>
    <s v="Fisher"/>
    <x v="0"/>
    <x v="12"/>
    <x v="0"/>
    <s v="White Collar"/>
    <x v="247"/>
    <n v="33595.68"/>
  </r>
  <r>
    <n v="100002957"/>
    <s v="Jennifer"/>
    <s v="Knox"/>
    <x v="1"/>
    <x v="28"/>
    <x v="0"/>
    <s v="White Collar"/>
    <x v="247"/>
    <n v="78150.39"/>
  </r>
  <r>
    <n v="100002958"/>
    <s v="Sonia"/>
    <s v="McGrath"/>
    <x v="1"/>
    <x v="13"/>
    <x v="0"/>
    <s v="White Collar"/>
    <x v="247"/>
    <n v="59263.01"/>
  </r>
  <r>
    <n v="100002959"/>
    <s v="Harry"/>
    <s v="Peters"/>
    <x v="0"/>
    <x v="38"/>
    <x v="0"/>
    <s v="White Collar"/>
    <x v="247"/>
    <n v="60496.800000000003"/>
  </r>
  <r>
    <n v="100002960"/>
    <s v="Thomas"/>
    <s v="Black"/>
    <x v="0"/>
    <x v="30"/>
    <x v="0"/>
    <s v="White Collar"/>
    <x v="247"/>
    <n v="17844.830000000002"/>
  </r>
  <r>
    <n v="100002961"/>
    <s v="John"/>
    <s v="Cornish"/>
    <x v="0"/>
    <x v="38"/>
    <x v="0"/>
    <s v="White Collar"/>
    <x v="247"/>
    <n v="6680.22"/>
  </r>
  <r>
    <n v="100002962"/>
    <s v="Carol"/>
    <s v="Glover"/>
    <x v="1"/>
    <x v="1"/>
    <x v="0"/>
    <s v="White Collar"/>
    <x v="247"/>
    <n v="74987.039999999994"/>
  </r>
  <r>
    <n v="100002963"/>
    <s v="Donna"/>
    <s v="Allan"/>
    <x v="1"/>
    <x v="14"/>
    <x v="0"/>
    <s v="Blue Collar"/>
    <x v="247"/>
    <n v="16408.46"/>
  </r>
  <r>
    <n v="100002964"/>
    <s v="Deirdre"/>
    <s v="Brown"/>
    <x v="1"/>
    <x v="14"/>
    <x v="0"/>
    <s v="White Collar"/>
    <x v="247"/>
    <n v="6845.33"/>
  </r>
  <r>
    <n v="100002965"/>
    <s v="Blake"/>
    <s v="Dickens"/>
    <x v="0"/>
    <x v="14"/>
    <x v="0"/>
    <s v="White Collar"/>
    <x v="247"/>
    <n v="28328.21"/>
  </r>
  <r>
    <n v="100002966"/>
    <s v="Bernadette"/>
    <s v="Hardacre"/>
    <x v="1"/>
    <x v="16"/>
    <x v="0"/>
    <s v="Other"/>
    <x v="247"/>
    <n v="70452.02"/>
  </r>
  <r>
    <n v="100002967"/>
    <s v="Sally"/>
    <s v="Bower"/>
    <x v="1"/>
    <x v="4"/>
    <x v="0"/>
    <s v="White Collar"/>
    <x v="247"/>
    <n v="5852.82"/>
  </r>
  <r>
    <n v="100002968"/>
    <s v="Zoe"/>
    <s v="Anderson"/>
    <x v="1"/>
    <x v="7"/>
    <x v="0"/>
    <s v="White Collar"/>
    <x v="247"/>
    <n v="36017.49"/>
  </r>
  <r>
    <n v="100002969"/>
    <s v="Ruth"/>
    <s v="Paige"/>
    <x v="1"/>
    <x v="32"/>
    <x v="0"/>
    <s v="White Collar"/>
    <x v="247"/>
    <n v="26737.79"/>
  </r>
  <r>
    <n v="100002970"/>
    <s v="Dominic"/>
    <s v="Taylor"/>
    <x v="0"/>
    <x v="11"/>
    <x v="0"/>
    <s v="Blue Collar"/>
    <x v="247"/>
    <n v="21601.11"/>
  </r>
  <r>
    <n v="100002971"/>
    <s v="Claire"/>
    <s v="Paige"/>
    <x v="1"/>
    <x v="20"/>
    <x v="0"/>
    <s v="Other"/>
    <x v="247"/>
    <n v="71683.320000000007"/>
  </r>
  <r>
    <n v="200002972"/>
    <s v="Piers"/>
    <s v="Kerr"/>
    <x v="0"/>
    <x v="23"/>
    <x v="3"/>
    <s v="Other"/>
    <x v="247"/>
    <n v="15402.84"/>
  </r>
  <r>
    <n v="200002973"/>
    <s v="John"/>
    <s v="Scott"/>
    <x v="0"/>
    <x v="6"/>
    <x v="3"/>
    <s v="Blue Collar"/>
    <x v="247"/>
    <n v="11240.91"/>
  </r>
  <r>
    <n v="200002974"/>
    <s v="Jack"/>
    <s v="Fisher"/>
    <x v="0"/>
    <x v="14"/>
    <x v="3"/>
    <s v="White Collar"/>
    <x v="247"/>
    <n v="15811.05"/>
  </r>
  <r>
    <n v="200002975"/>
    <s v="Lauren"/>
    <s v="Russell"/>
    <x v="1"/>
    <x v="17"/>
    <x v="3"/>
    <s v="Other"/>
    <x v="247"/>
    <n v="12210.94"/>
  </r>
  <r>
    <n v="200002976"/>
    <s v="Alan"/>
    <s v="Sanderson"/>
    <x v="0"/>
    <x v="39"/>
    <x v="3"/>
    <s v="Blue Collar"/>
    <x v="247"/>
    <n v="64503.88"/>
  </r>
  <r>
    <n v="200002977"/>
    <s v="Carol"/>
    <s v="Brown"/>
    <x v="1"/>
    <x v="34"/>
    <x v="3"/>
    <s v="Other"/>
    <x v="247"/>
    <n v="33898.15"/>
  </r>
  <r>
    <n v="200002978"/>
    <s v="Carl"/>
    <s v="Lyman"/>
    <x v="0"/>
    <x v="17"/>
    <x v="3"/>
    <s v="Blue Collar"/>
    <x v="247"/>
    <n v="12638.78"/>
  </r>
  <r>
    <n v="200002979"/>
    <s v="Brian"/>
    <s v="Black"/>
    <x v="0"/>
    <x v="40"/>
    <x v="3"/>
    <s v="Blue Collar"/>
    <x v="247"/>
    <n v="6436.22"/>
  </r>
  <r>
    <n v="400002980"/>
    <s v="Molly"/>
    <s v="Taylor"/>
    <x v="1"/>
    <x v="13"/>
    <x v="1"/>
    <s v="Blue Collar"/>
    <x v="247"/>
    <n v="6057.88"/>
  </r>
  <r>
    <n v="100002981"/>
    <s v="Sonia"/>
    <s v="Rutherford"/>
    <x v="1"/>
    <x v="36"/>
    <x v="0"/>
    <s v="Other"/>
    <x v="248"/>
    <n v="16418.919999999998"/>
  </r>
  <r>
    <n v="100002982"/>
    <s v="Tim"/>
    <s v="Baker"/>
    <x v="0"/>
    <x v="2"/>
    <x v="0"/>
    <s v="White Collar"/>
    <x v="248"/>
    <n v="17757.91"/>
  </r>
  <r>
    <n v="100002983"/>
    <s v="Amelia"/>
    <s v="Hill"/>
    <x v="1"/>
    <x v="11"/>
    <x v="0"/>
    <s v="Blue Collar"/>
    <x v="248"/>
    <n v="55477.57"/>
  </r>
  <r>
    <n v="100002984"/>
    <s v="Austin"/>
    <s v="Russell"/>
    <x v="0"/>
    <x v="1"/>
    <x v="0"/>
    <s v="Other"/>
    <x v="248"/>
    <n v="29745.48"/>
  </r>
  <r>
    <n v="100002985"/>
    <s v="Stephen"/>
    <s v="Lewis"/>
    <x v="0"/>
    <x v="14"/>
    <x v="0"/>
    <s v="White Collar"/>
    <x v="248"/>
    <n v="13518.54"/>
  </r>
  <r>
    <n v="100002986"/>
    <s v="Dorothy"/>
    <s v="Rutherford"/>
    <x v="1"/>
    <x v="43"/>
    <x v="0"/>
    <s v="Other"/>
    <x v="248"/>
    <n v="9281.39"/>
  </r>
  <r>
    <n v="200002987"/>
    <s v="Matt"/>
    <s v="Ross"/>
    <x v="0"/>
    <x v="6"/>
    <x v="3"/>
    <s v="Other"/>
    <x v="248"/>
    <n v="28873.73"/>
  </r>
  <r>
    <n v="200002988"/>
    <s v="Blake"/>
    <s v="Wallace"/>
    <x v="0"/>
    <x v="15"/>
    <x v="3"/>
    <s v="Blue Collar"/>
    <x v="248"/>
    <n v="39415.54"/>
  </r>
  <r>
    <n v="200002989"/>
    <s v="Rachel"/>
    <s v="Skinner"/>
    <x v="1"/>
    <x v="17"/>
    <x v="3"/>
    <s v="Other"/>
    <x v="248"/>
    <n v="16743.55"/>
  </r>
  <r>
    <n v="200002990"/>
    <s v="Sebastian"/>
    <s v="Brown"/>
    <x v="0"/>
    <x v="13"/>
    <x v="3"/>
    <s v="Blue Collar"/>
    <x v="248"/>
    <n v="16470.810000000001"/>
  </r>
  <r>
    <n v="200002991"/>
    <s v="Charles"/>
    <s v="Kerr"/>
    <x v="0"/>
    <x v="41"/>
    <x v="3"/>
    <s v="Blue Collar"/>
    <x v="248"/>
    <n v="20405.95"/>
  </r>
  <r>
    <n v="100002992"/>
    <s v="Olivia"/>
    <s v="Ogden"/>
    <x v="1"/>
    <x v="43"/>
    <x v="0"/>
    <s v="White Collar"/>
    <x v="249"/>
    <n v="31719.69"/>
  </r>
  <r>
    <n v="100002993"/>
    <s v="Dylan"/>
    <s v="Metcalfe"/>
    <x v="0"/>
    <x v="14"/>
    <x v="0"/>
    <s v="Blue Collar"/>
    <x v="249"/>
    <n v="4725.2299999999996"/>
  </r>
  <r>
    <n v="100002994"/>
    <s v="Jasmine"/>
    <s v="Gray"/>
    <x v="1"/>
    <x v="22"/>
    <x v="0"/>
    <s v="White Collar"/>
    <x v="249"/>
    <n v="17322.36"/>
  </r>
  <r>
    <n v="100002995"/>
    <s v="Felicity"/>
    <s v="Hudson"/>
    <x v="1"/>
    <x v="30"/>
    <x v="0"/>
    <s v="Blue Collar"/>
    <x v="249"/>
    <n v="56296.6"/>
  </r>
  <r>
    <n v="100002996"/>
    <s v="Fiona"/>
    <s v="Morgan"/>
    <x v="1"/>
    <x v="31"/>
    <x v="0"/>
    <s v="Blue Collar"/>
    <x v="249"/>
    <n v="4837.2299999999996"/>
  </r>
  <r>
    <n v="100002997"/>
    <s v="Ava"/>
    <s v="Mills"/>
    <x v="1"/>
    <x v="13"/>
    <x v="0"/>
    <s v="Other"/>
    <x v="249"/>
    <n v="4064.42"/>
  </r>
  <r>
    <n v="100002998"/>
    <s v="Alan"/>
    <s v="Terry"/>
    <x v="0"/>
    <x v="5"/>
    <x v="0"/>
    <s v="Blue Collar"/>
    <x v="249"/>
    <n v="15452.89"/>
  </r>
  <r>
    <n v="100002999"/>
    <s v="Felicity"/>
    <s v="Gibson"/>
    <x v="1"/>
    <x v="3"/>
    <x v="0"/>
    <s v="White Collar"/>
    <x v="249"/>
    <n v="44646.75"/>
  </r>
  <r>
    <n v="100003000"/>
    <s v="Alison"/>
    <s v="Mitchell"/>
    <x v="1"/>
    <x v="5"/>
    <x v="0"/>
    <s v="White Collar"/>
    <x v="249"/>
    <n v="52200.62"/>
  </r>
  <r>
    <n v="100003001"/>
    <s v="Matt"/>
    <s v="Abraham"/>
    <x v="0"/>
    <x v="28"/>
    <x v="0"/>
    <s v="Blue Collar"/>
    <x v="249"/>
    <n v="8576.4599999999991"/>
  </r>
  <r>
    <n v="100003002"/>
    <s v="Tim"/>
    <s v="Forsyth"/>
    <x v="0"/>
    <x v="36"/>
    <x v="0"/>
    <s v="White Collar"/>
    <x v="249"/>
    <n v="640.91"/>
  </r>
  <r>
    <n v="200003003"/>
    <s v="Lucas"/>
    <s v="Terry"/>
    <x v="0"/>
    <x v="41"/>
    <x v="3"/>
    <s v="Blue Collar"/>
    <x v="249"/>
    <n v="68965.070000000007"/>
  </r>
  <r>
    <n v="200003004"/>
    <s v="Joshua"/>
    <s v="Murray"/>
    <x v="0"/>
    <x v="35"/>
    <x v="3"/>
    <s v="Blue Collar"/>
    <x v="249"/>
    <n v="52186.48"/>
  </r>
  <r>
    <n v="200003005"/>
    <s v="Alan"/>
    <s v="Lyman"/>
    <x v="0"/>
    <x v="10"/>
    <x v="3"/>
    <s v="White Collar"/>
    <x v="249"/>
    <n v="69713.05"/>
  </r>
  <r>
    <n v="300003006"/>
    <s v="Claire"/>
    <s v="Scott"/>
    <x v="1"/>
    <x v="1"/>
    <x v="2"/>
    <s v="White Collar"/>
    <x v="249"/>
    <n v="116366.09"/>
  </r>
  <r>
    <n v="300003007"/>
    <s v="Katherine"/>
    <s v="Duncan"/>
    <x v="1"/>
    <x v="32"/>
    <x v="2"/>
    <s v="White Collar"/>
    <x v="249"/>
    <n v="33336.870000000003"/>
  </r>
  <r>
    <n v="300003008"/>
    <s v="Andrew"/>
    <s v="Ogden"/>
    <x v="0"/>
    <x v="32"/>
    <x v="2"/>
    <s v="Other"/>
    <x v="249"/>
    <n v="78323.16"/>
  </r>
  <r>
    <n v="400003009"/>
    <s v="Yvonne"/>
    <s v="Fisher"/>
    <x v="1"/>
    <x v="13"/>
    <x v="1"/>
    <s v="Other"/>
    <x v="249"/>
    <n v="50699.67"/>
  </r>
  <r>
    <n v="100003010"/>
    <s v="Anna"/>
    <s v="Short"/>
    <x v="1"/>
    <x v="39"/>
    <x v="0"/>
    <s v="White Collar"/>
    <x v="250"/>
    <n v="47447.17"/>
  </r>
  <r>
    <n v="100003011"/>
    <s v="Sean"/>
    <s v="Butler"/>
    <x v="0"/>
    <x v="16"/>
    <x v="0"/>
    <s v="White Collar"/>
    <x v="250"/>
    <n v="2665.32"/>
  </r>
  <r>
    <n v="100003012"/>
    <s v="Deirdre"/>
    <s v="Edmunds"/>
    <x v="1"/>
    <x v="3"/>
    <x v="0"/>
    <s v="White Collar"/>
    <x v="250"/>
    <n v="82104.77"/>
  </r>
  <r>
    <n v="200003013"/>
    <s v="Evan"/>
    <s v="Ball"/>
    <x v="0"/>
    <x v="25"/>
    <x v="3"/>
    <s v="Blue Collar"/>
    <x v="250"/>
    <n v="17312.41"/>
  </r>
  <r>
    <n v="200003014"/>
    <s v="Matt"/>
    <s v="Davidson"/>
    <x v="0"/>
    <x v="46"/>
    <x v="3"/>
    <s v="Other"/>
    <x v="250"/>
    <n v="55173.94"/>
  </r>
  <r>
    <n v="300003015"/>
    <s v="Jasmine"/>
    <s v="May"/>
    <x v="1"/>
    <x v="43"/>
    <x v="2"/>
    <s v="Other"/>
    <x v="250"/>
    <n v="18574.759999999998"/>
  </r>
  <r>
    <n v="100003016"/>
    <s v="Anthony"/>
    <s v="Forsyth"/>
    <x v="0"/>
    <x v="12"/>
    <x v="0"/>
    <s v="White Collar"/>
    <x v="251"/>
    <n v="17823.650000000001"/>
  </r>
  <r>
    <n v="100003017"/>
    <s v="Michael"/>
    <s v="Pullman"/>
    <x v="0"/>
    <x v="5"/>
    <x v="0"/>
    <s v="Other"/>
    <x v="251"/>
    <n v="71799.259999999995"/>
  </r>
  <r>
    <n v="100003018"/>
    <s v="Jason"/>
    <s v="McGrath"/>
    <x v="0"/>
    <x v="21"/>
    <x v="0"/>
    <s v="White Collar"/>
    <x v="251"/>
    <n v="34526.639999999999"/>
  </r>
  <r>
    <n v="100003019"/>
    <s v="Boris"/>
    <s v="Butler"/>
    <x v="0"/>
    <x v="8"/>
    <x v="0"/>
    <s v="White Collar"/>
    <x v="251"/>
    <n v="19996.169999999998"/>
  </r>
  <r>
    <n v="100003020"/>
    <s v="Thomas"/>
    <s v="Watson"/>
    <x v="0"/>
    <x v="5"/>
    <x v="0"/>
    <s v="White Collar"/>
    <x v="251"/>
    <n v="33885.07"/>
  </r>
  <r>
    <n v="100003021"/>
    <s v="Samantha"/>
    <s v="Slater"/>
    <x v="1"/>
    <x v="32"/>
    <x v="0"/>
    <s v="Blue Collar"/>
    <x v="251"/>
    <n v="38227.22"/>
  </r>
  <r>
    <n v="100003022"/>
    <s v="Una"/>
    <s v="Quinn"/>
    <x v="1"/>
    <x v="24"/>
    <x v="0"/>
    <s v="White Collar"/>
    <x v="251"/>
    <n v="63257.61"/>
  </r>
  <r>
    <n v="100003023"/>
    <s v="Jonathan"/>
    <s v="Oliver"/>
    <x v="0"/>
    <x v="14"/>
    <x v="0"/>
    <s v="White Collar"/>
    <x v="251"/>
    <n v="77501.350000000006"/>
  </r>
  <r>
    <n v="100003024"/>
    <s v="Michelle"/>
    <s v="Morgan"/>
    <x v="1"/>
    <x v="16"/>
    <x v="0"/>
    <s v="White Collar"/>
    <x v="251"/>
    <n v="38019.49"/>
  </r>
  <r>
    <n v="100003025"/>
    <s v="Sally"/>
    <s v="Randall"/>
    <x v="1"/>
    <x v="14"/>
    <x v="0"/>
    <s v="Other"/>
    <x v="251"/>
    <n v="37294.080000000002"/>
  </r>
  <r>
    <n v="100003026"/>
    <s v="Amanda"/>
    <s v="Edmunds"/>
    <x v="1"/>
    <x v="20"/>
    <x v="0"/>
    <s v="White Collar"/>
    <x v="251"/>
    <n v="74258.42"/>
  </r>
  <r>
    <n v="100003027"/>
    <s v="Diane"/>
    <s v="Cameron"/>
    <x v="1"/>
    <x v="3"/>
    <x v="0"/>
    <s v="White Collar"/>
    <x v="251"/>
    <n v="55749.19"/>
  </r>
  <r>
    <n v="100003028"/>
    <s v="Rachel"/>
    <s v="Hudson"/>
    <x v="1"/>
    <x v="22"/>
    <x v="0"/>
    <s v="White Collar"/>
    <x v="251"/>
    <n v="5247.83"/>
  </r>
  <r>
    <n v="200003029"/>
    <s v="Liam"/>
    <s v="Sutherland"/>
    <x v="0"/>
    <x v="7"/>
    <x v="3"/>
    <s v="White Collar"/>
    <x v="251"/>
    <n v="61079.39"/>
  </r>
  <r>
    <n v="200003030"/>
    <s v="Amelia"/>
    <s v="Fisher"/>
    <x v="1"/>
    <x v="31"/>
    <x v="3"/>
    <s v="Other"/>
    <x v="251"/>
    <n v="12939.73"/>
  </r>
  <r>
    <n v="200003031"/>
    <s v="Simon"/>
    <s v="Abraham"/>
    <x v="0"/>
    <x v="9"/>
    <x v="3"/>
    <s v="Blue Collar"/>
    <x v="251"/>
    <n v="42462.18"/>
  </r>
  <r>
    <n v="200003032"/>
    <s v="Jason"/>
    <s v="Gill"/>
    <x v="0"/>
    <x v="31"/>
    <x v="3"/>
    <s v="Blue Collar"/>
    <x v="251"/>
    <n v="86184.27"/>
  </r>
  <r>
    <n v="200003033"/>
    <s v="Gavin"/>
    <s v="Blake"/>
    <x v="0"/>
    <x v="34"/>
    <x v="3"/>
    <s v="Blue Collar"/>
    <x v="251"/>
    <n v="88366.080000000002"/>
  </r>
  <r>
    <n v="300003034"/>
    <s v="Chloe"/>
    <s v="Clark"/>
    <x v="1"/>
    <x v="38"/>
    <x v="2"/>
    <s v="Other"/>
    <x v="251"/>
    <n v="62137.79"/>
  </r>
  <r>
    <n v="300003035"/>
    <s v="Wanda"/>
    <s v="Fisher"/>
    <x v="1"/>
    <x v="9"/>
    <x v="2"/>
    <s v="White Collar"/>
    <x v="251"/>
    <n v="10914.74"/>
  </r>
  <r>
    <n v="400003036"/>
    <s v="Lisa"/>
    <s v="Hughes"/>
    <x v="1"/>
    <x v="10"/>
    <x v="1"/>
    <s v="Other"/>
    <x v="251"/>
    <n v="50492.06"/>
  </r>
  <r>
    <n v="400003037"/>
    <s v="Megan"/>
    <s v="Russell"/>
    <x v="1"/>
    <x v="8"/>
    <x v="1"/>
    <s v="Other"/>
    <x v="251"/>
    <n v="43376.23"/>
  </r>
  <r>
    <n v="100003038"/>
    <s v="Dylan"/>
    <s v="Chapman"/>
    <x v="0"/>
    <x v="4"/>
    <x v="0"/>
    <s v="White Collar"/>
    <x v="252"/>
    <n v="12380.76"/>
  </r>
  <r>
    <n v="100003039"/>
    <s v="Nicholas"/>
    <s v="King"/>
    <x v="0"/>
    <x v="38"/>
    <x v="0"/>
    <s v="White Collar"/>
    <x v="252"/>
    <n v="13390.78"/>
  </r>
  <r>
    <n v="100003040"/>
    <s v="Wanda"/>
    <s v="Blake"/>
    <x v="1"/>
    <x v="30"/>
    <x v="0"/>
    <s v="Other"/>
    <x v="252"/>
    <n v="1834.14"/>
  </r>
  <r>
    <n v="100003041"/>
    <s v="James"/>
    <s v="Ince"/>
    <x v="0"/>
    <x v="1"/>
    <x v="0"/>
    <s v="White Collar"/>
    <x v="252"/>
    <n v="18971.509999999998"/>
  </r>
  <r>
    <n v="200003042"/>
    <s v="Jason"/>
    <s v="Walsh"/>
    <x v="0"/>
    <x v="33"/>
    <x v="3"/>
    <s v="Blue Collar"/>
    <x v="252"/>
    <n v="27421.16"/>
  </r>
  <r>
    <n v="200003043"/>
    <s v="Dylan"/>
    <s v="Hardacre"/>
    <x v="0"/>
    <x v="25"/>
    <x v="3"/>
    <s v="Other"/>
    <x v="252"/>
    <n v="83989.67"/>
  </r>
  <r>
    <n v="200003044"/>
    <s v="Benjamin"/>
    <s v="Jones"/>
    <x v="0"/>
    <x v="32"/>
    <x v="3"/>
    <s v="Other"/>
    <x v="252"/>
    <n v="70629.05"/>
  </r>
  <r>
    <n v="100003045"/>
    <s v="Julia"/>
    <s v="Campbell"/>
    <x v="1"/>
    <x v="3"/>
    <x v="0"/>
    <s v="Blue Collar"/>
    <x v="253"/>
    <n v="10818.08"/>
  </r>
  <r>
    <n v="100003046"/>
    <s v="Heather"/>
    <s v="Johnston"/>
    <x v="1"/>
    <x v="21"/>
    <x v="0"/>
    <s v="White Collar"/>
    <x v="253"/>
    <n v="13299.35"/>
  </r>
  <r>
    <n v="100003047"/>
    <s v="Cameron"/>
    <s v="Parr"/>
    <x v="0"/>
    <x v="7"/>
    <x v="0"/>
    <s v="White Collar"/>
    <x v="253"/>
    <n v="30227.5"/>
  </r>
  <r>
    <n v="100003048"/>
    <s v="Thomas"/>
    <s v="Springer"/>
    <x v="0"/>
    <x v="2"/>
    <x v="0"/>
    <s v="White Collar"/>
    <x v="253"/>
    <n v="84080.85"/>
  </r>
  <r>
    <n v="100003049"/>
    <s v="Oliver"/>
    <s v="Jones"/>
    <x v="0"/>
    <x v="22"/>
    <x v="0"/>
    <s v="Blue Collar"/>
    <x v="253"/>
    <n v="15908.89"/>
  </r>
  <r>
    <n v="100003050"/>
    <s v="Gordon"/>
    <s v="Ferguson"/>
    <x v="0"/>
    <x v="6"/>
    <x v="0"/>
    <s v="White Collar"/>
    <x v="253"/>
    <n v="18254.46"/>
  </r>
  <r>
    <n v="100003051"/>
    <s v="Luke"/>
    <s v="Harris"/>
    <x v="0"/>
    <x v="10"/>
    <x v="0"/>
    <s v="White Collar"/>
    <x v="253"/>
    <n v="59641.84"/>
  </r>
  <r>
    <n v="200003052"/>
    <s v="Leah"/>
    <s v="Davidson"/>
    <x v="1"/>
    <x v="35"/>
    <x v="3"/>
    <s v="Blue Collar"/>
    <x v="253"/>
    <n v="52001.9"/>
  </r>
  <r>
    <n v="200003053"/>
    <s v="Anne"/>
    <s v="Mackay"/>
    <x v="1"/>
    <x v="10"/>
    <x v="3"/>
    <s v="Other"/>
    <x v="253"/>
    <n v="31245"/>
  </r>
  <r>
    <n v="200003054"/>
    <s v="Joan"/>
    <s v="Mitchell"/>
    <x v="1"/>
    <x v="39"/>
    <x v="3"/>
    <s v="Other"/>
    <x v="253"/>
    <n v="29174.19"/>
  </r>
  <r>
    <n v="200003055"/>
    <s v="Dan"/>
    <s v="Morrison"/>
    <x v="0"/>
    <x v="12"/>
    <x v="3"/>
    <s v="Blue Collar"/>
    <x v="253"/>
    <n v="106275.73"/>
  </r>
  <r>
    <n v="100003056"/>
    <s v="Sophie"/>
    <s v="Davidson"/>
    <x v="1"/>
    <x v="7"/>
    <x v="0"/>
    <s v="White Collar"/>
    <x v="254"/>
    <n v="64582.89"/>
  </r>
  <r>
    <n v="100003057"/>
    <s v="Faith"/>
    <s v="Turner"/>
    <x v="1"/>
    <x v="32"/>
    <x v="0"/>
    <s v="Other"/>
    <x v="254"/>
    <n v="73601.8"/>
  </r>
  <r>
    <n v="100003058"/>
    <s v="Bernadette"/>
    <s v="May"/>
    <x v="1"/>
    <x v="31"/>
    <x v="0"/>
    <s v="White Collar"/>
    <x v="254"/>
    <n v="9209.02"/>
  </r>
  <r>
    <n v="100003059"/>
    <s v="Lucas"/>
    <s v="Rutherford"/>
    <x v="0"/>
    <x v="11"/>
    <x v="0"/>
    <s v="White Collar"/>
    <x v="254"/>
    <n v="35939.96"/>
  </r>
  <r>
    <n v="100003060"/>
    <s v="Theresa"/>
    <s v="Smith"/>
    <x v="1"/>
    <x v="13"/>
    <x v="0"/>
    <s v="White Collar"/>
    <x v="254"/>
    <n v="1447.65"/>
  </r>
  <r>
    <n v="100003061"/>
    <s v="Ella"/>
    <s v="Rees"/>
    <x v="1"/>
    <x v="20"/>
    <x v="0"/>
    <s v="Other"/>
    <x v="254"/>
    <n v="1890.37"/>
  </r>
  <r>
    <n v="100003062"/>
    <s v="Ryan"/>
    <s v="Ellison"/>
    <x v="0"/>
    <x v="10"/>
    <x v="0"/>
    <s v="Blue Collar"/>
    <x v="254"/>
    <n v="29040.639999999999"/>
  </r>
  <r>
    <n v="100003063"/>
    <s v="Carl"/>
    <s v="Martin"/>
    <x v="0"/>
    <x v="11"/>
    <x v="0"/>
    <s v="White Collar"/>
    <x v="254"/>
    <n v="24875.64"/>
  </r>
  <r>
    <n v="100003064"/>
    <s v="Sean"/>
    <s v="Peake"/>
    <x v="0"/>
    <x v="32"/>
    <x v="0"/>
    <s v="White Collar"/>
    <x v="254"/>
    <n v="4421.1000000000004"/>
  </r>
  <r>
    <n v="100003065"/>
    <s v="Abigail"/>
    <s v="Ogden"/>
    <x v="1"/>
    <x v="3"/>
    <x v="0"/>
    <s v="White Collar"/>
    <x v="254"/>
    <n v="27424.78"/>
  </r>
  <r>
    <n v="100003066"/>
    <s v="Sue"/>
    <s v="Glover"/>
    <x v="1"/>
    <x v="24"/>
    <x v="0"/>
    <s v="White Collar"/>
    <x v="254"/>
    <n v="3120.2"/>
  </r>
  <r>
    <n v="200003067"/>
    <s v="Stewart"/>
    <s v="Davies"/>
    <x v="0"/>
    <x v="35"/>
    <x v="3"/>
    <s v="White Collar"/>
    <x v="254"/>
    <n v="32448.94"/>
  </r>
  <r>
    <n v="200003068"/>
    <s v="Hannah"/>
    <s v="McDonald"/>
    <x v="1"/>
    <x v="6"/>
    <x v="3"/>
    <s v="Other"/>
    <x v="254"/>
    <n v="19089.330000000002"/>
  </r>
  <r>
    <n v="200003069"/>
    <s v="Tim"/>
    <s v="James"/>
    <x v="0"/>
    <x v="17"/>
    <x v="3"/>
    <s v="White Collar"/>
    <x v="254"/>
    <n v="74560.83"/>
  </r>
  <r>
    <n v="200003070"/>
    <s v="Elizabeth"/>
    <s v="Bond"/>
    <x v="1"/>
    <x v="9"/>
    <x v="3"/>
    <s v="Other"/>
    <x v="254"/>
    <n v="22027.41"/>
  </r>
  <r>
    <n v="200003071"/>
    <s v="Deirdre"/>
    <s v="Burgess"/>
    <x v="1"/>
    <x v="25"/>
    <x v="3"/>
    <s v="Other"/>
    <x v="254"/>
    <n v="115069.41"/>
  </r>
  <r>
    <n v="200003072"/>
    <s v="Penelope"/>
    <s v="Pullman"/>
    <x v="1"/>
    <x v="13"/>
    <x v="3"/>
    <s v="Other"/>
    <x v="254"/>
    <n v="14526.24"/>
  </r>
  <r>
    <n v="300003073"/>
    <s v="Neil"/>
    <s v="Harris"/>
    <x v="0"/>
    <x v="13"/>
    <x v="2"/>
    <s v="White Collar"/>
    <x v="254"/>
    <n v="35448.769999999997"/>
  </r>
  <r>
    <n v="300003074"/>
    <s v="Grace"/>
    <s v="Davidson"/>
    <x v="1"/>
    <x v="4"/>
    <x v="2"/>
    <s v="White Collar"/>
    <x v="254"/>
    <n v="12426.64"/>
  </r>
  <r>
    <n v="300003075"/>
    <s v="Stephen"/>
    <s v="Watson"/>
    <x v="0"/>
    <x v="24"/>
    <x v="2"/>
    <s v="White Collar"/>
    <x v="254"/>
    <n v="89186.6"/>
  </r>
  <r>
    <n v="100003076"/>
    <s v="Julian"/>
    <s v="Hunter"/>
    <x v="0"/>
    <x v="30"/>
    <x v="0"/>
    <s v="Blue Collar"/>
    <x v="255"/>
    <n v="9567.74"/>
  </r>
  <r>
    <n v="100003077"/>
    <s v="Katherine"/>
    <s v="Dyer"/>
    <x v="1"/>
    <x v="28"/>
    <x v="0"/>
    <s v="White Collar"/>
    <x v="255"/>
    <n v="9244.66"/>
  </r>
  <r>
    <n v="100003078"/>
    <s v="Piers"/>
    <s v="Pullman"/>
    <x v="0"/>
    <x v="36"/>
    <x v="0"/>
    <s v="Other"/>
    <x v="255"/>
    <n v="4588.12"/>
  </r>
  <r>
    <n v="100003079"/>
    <s v="Dorothy"/>
    <s v="Baker"/>
    <x v="1"/>
    <x v="30"/>
    <x v="0"/>
    <s v="White Collar"/>
    <x v="255"/>
    <n v="34725.589999999997"/>
  </r>
  <r>
    <n v="100003080"/>
    <s v="Dominic"/>
    <s v="Morrison"/>
    <x v="0"/>
    <x v="14"/>
    <x v="0"/>
    <s v="Other"/>
    <x v="255"/>
    <n v="23396.9"/>
  </r>
  <r>
    <n v="100003081"/>
    <s v="Matt"/>
    <s v="Russell"/>
    <x v="0"/>
    <x v="22"/>
    <x v="0"/>
    <s v="Blue Collar"/>
    <x v="255"/>
    <n v="4653.3100000000004"/>
  </r>
  <r>
    <n v="100003082"/>
    <s v="Felicity"/>
    <s v="Payne"/>
    <x v="1"/>
    <x v="22"/>
    <x v="0"/>
    <s v="Blue Collar"/>
    <x v="255"/>
    <n v="17717.330000000002"/>
  </r>
  <r>
    <n v="100003083"/>
    <s v="Connor"/>
    <s v="White"/>
    <x v="0"/>
    <x v="5"/>
    <x v="0"/>
    <s v="White Collar"/>
    <x v="255"/>
    <n v="8422.2999999999993"/>
  </r>
  <r>
    <n v="200003084"/>
    <s v="Irene"/>
    <s v="Roberts"/>
    <x v="1"/>
    <x v="2"/>
    <x v="3"/>
    <s v="Blue Collar"/>
    <x v="255"/>
    <n v="53327.97"/>
  </r>
  <r>
    <n v="200003085"/>
    <s v="Jan"/>
    <s v="McDonald"/>
    <x v="1"/>
    <x v="32"/>
    <x v="3"/>
    <s v="Other"/>
    <x v="255"/>
    <n v="38308.54"/>
  </r>
  <r>
    <n v="200003086"/>
    <s v="Jason"/>
    <s v="Mitchell"/>
    <x v="0"/>
    <x v="8"/>
    <x v="3"/>
    <s v="Blue Collar"/>
    <x v="255"/>
    <n v="68973.86"/>
  </r>
  <r>
    <n v="200003087"/>
    <s v="Lillian"/>
    <s v="Oliver"/>
    <x v="1"/>
    <x v="38"/>
    <x v="3"/>
    <s v="Other"/>
    <x v="255"/>
    <n v="32468.21"/>
  </r>
  <r>
    <n v="200003088"/>
    <s v="Victoria"/>
    <s v="Nolan"/>
    <x v="1"/>
    <x v="35"/>
    <x v="3"/>
    <s v="Other"/>
    <x v="255"/>
    <n v="5227.6899999999996"/>
  </r>
  <r>
    <n v="200003089"/>
    <s v="Justin"/>
    <s v="Kelly"/>
    <x v="0"/>
    <x v="39"/>
    <x v="3"/>
    <s v="Blue Collar"/>
    <x v="255"/>
    <n v="55295.38"/>
  </r>
  <r>
    <n v="300003090"/>
    <s v="Dorothy"/>
    <s v="Wright"/>
    <x v="1"/>
    <x v="19"/>
    <x v="2"/>
    <s v="Other"/>
    <x v="255"/>
    <n v="91569.83"/>
  </r>
  <r>
    <n v="100003091"/>
    <s v="Kylie"/>
    <s v="Mackenzie"/>
    <x v="1"/>
    <x v="36"/>
    <x v="0"/>
    <s v="White Collar"/>
    <x v="256"/>
    <n v="24384.59"/>
  </r>
  <r>
    <n v="100003092"/>
    <s v="Emily"/>
    <s v="Piper"/>
    <x v="1"/>
    <x v="5"/>
    <x v="0"/>
    <s v="White Collar"/>
    <x v="256"/>
    <n v="26551.11"/>
  </r>
  <r>
    <n v="100003093"/>
    <s v="Jake"/>
    <s v="Sanderson"/>
    <x v="0"/>
    <x v="1"/>
    <x v="0"/>
    <s v="White Collar"/>
    <x v="256"/>
    <n v="71362.710000000006"/>
  </r>
  <r>
    <n v="100003094"/>
    <s v="Andrea"/>
    <s v="Alsop"/>
    <x v="1"/>
    <x v="36"/>
    <x v="0"/>
    <s v="White Collar"/>
    <x v="256"/>
    <n v="133589.87"/>
  </r>
  <r>
    <n v="100003095"/>
    <s v="Oliver"/>
    <s v="Campbell"/>
    <x v="0"/>
    <x v="1"/>
    <x v="0"/>
    <s v="White Collar"/>
    <x v="256"/>
    <n v="96893.79"/>
  </r>
  <r>
    <n v="100003096"/>
    <s v="Christian"/>
    <s v="Hemmings"/>
    <x v="0"/>
    <x v="21"/>
    <x v="0"/>
    <s v="Blue Collar"/>
    <x v="256"/>
    <n v="9438.06"/>
  </r>
  <r>
    <n v="100003097"/>
    <s v="Claire"/>
    <s v="Ball"/>
    <x v="1"/>
    <x v="11"/>
    <x v="0"/>
    <s v="White Collar"/>
    <x v="256"/>
    <n v="93329.94"/>
  </r>
  <r>
    <n v="200003098"/>
    <s v="Nicholas"/>
    <s v="Hudson"/>
    <x v="0"/>
    <x v="19"/>
    <x v="3"/>
    <s v="White Collar"/>
    <x v="256"/>
    <n v="19956.27"/>
  </r>
  <r>
    <n v="200003099"/>
    <s v="Colin"/>
    <s v="Walsh"/>
    <x v="0"/>
    <x v="9"/>
    <x v="3"/>
    <s v="Blue Collar"/>
    <x v="256"/>
    <n v="18505.82"/>
  </r>
  <r>
    <n v="200003100"/>
    <s v="Blake"/>
    <s v="Manning"/>
    <x v="0"/>
    <x v="33"/>
    <x v="3"/>
    <s v="Blue Collar"/>
    <x v="256"/>
    <n v="6243.3"/>
  </r>
  <r>
    <n v="200003101"/>
    <s v="William"/>
    <s v="Lambert"/>
    <x v="0"/>
    <x v="27"/>
    <x v="3"/>
    <s v="Blue Collar"/>
    <x v="256"/>
    <n v="4821.6000000000004"/>
  </r>
  <r>
    <n v="200003102"/>
    <s v="Anthony"/>
    <s v="Davidson"/>
    <x v="0"/>
    <x v="33"/>
    <x v="3"/>
    <s v="Other"/>
    <x v="256"/>
    <n v="5711.43"/>
  </r>
  <r>
    <n v="200003103"/>
    <s v="Keith"/>
    <s v="Alsop"/>
    <x v="0"/>
    <x v="33"/>
    <x v="3"/>
    <s v="Blue Collar"/>
    <x v="256"/>
    <n v="75638.28"/>
  </r>
  <r>
    <n v="300003104"/>
    <s v="Lucas"/>
    <s v="Newman"/>
    <x v="0"/>
    <x v="8"/>
    <x v="2"/>
    <s v="White Collar"/>
    <x v="256"/>
    <n v="14699.25"/>
  </r>
  <r>
    <n v="300003105"/>
    <s v="Blake"/>
    <s v="White"/>
    <x v="0"/>
    <x v="13"/>
    <x v="2"/>
    <s v="White Collar"/>
    <x v="256"/>
    <n v="48703.81"/>
  </r>
  <r>
    <n v="300003106"/>
    <s v="Sam"/>
    <s v="Underwood"/>
    <x v="0"/>
    <x v="3"/>
    <x v="2"/>
    <s v="Blue Collar"/>
    <x v="256"/>
    <n v="43532.66"/>
  </r>
  <r>
    <n v="100003107"/>
    <s v="Joseph"/>
    <s v="Hodges"/>
    <x v="0"/>
    <x v="8"/>
    <x v="0"/>
    <s v="White Collar"/>
    <x v="257"/>
    <n v="49683.78"/>
  </r>
  <r>
    <n v="100003108"/>
    <s v="David"/>
    <s v="Metcalfe"/>
    <x v="0"/>
    <x v="24"/>
    <x v="0"/>
    <s v="White Collar"/>
    <x v="257"/>
    <n v="146892.37"/>
  </r>
  <r>
    <n v="100003109"/>
    <s v="Rebecca"/>
    <s v="MacLeod"/>
    <x v="1"/>
    <x v="4"/>
    <x v="0"/>
    <s v="White Collar"/>
    <x v="257"/>
    <n v="23666.54"/>
  </r>
  <r>
    <n v="100003110"/>
    <s v="Wendy"/>
    <s v="Parr"/>
    <x v="1"/>
    <x v="34"/>
    <x v="0"/>
    <s v="White Collar"/>
    <x v="257"/>
    <n v="21695.26"/>
  </r>
  <r>
    <n v="100003111"/>
    <s v="Benjamin"/>
    <s v="Hughes"/>
    <x v="0"/>
    <x v="7"/>
    <x v="0"/>
    <s v="Other"/>
    <x v="257"/>
    <n v="2609.2800000000002"/>
  </r>
  <r>
    <n v="100003112"/>
    <s v="Gordon"/>
    <s v="Fisher"/>
    <x v="0"/>
    <x v="5"/>
    <x v="0"/>
    <s v="White Collar"/>
    <x v="257"/>
    <n v="42732.72"/>
  </r>
  <r>
    <n v="100003113"/>
    <s v="Alan"/>
    <s v="Mackenzie"/>
    <x v="0"/>
    <x v="20"/>
    <x v="0"/>
    <s v="White Collar"/>
    <x v="257"/>
    <n v="36021.53"/>
  </r>
  <r>
    <n v="100003114"/>
    <s v="Jane"/>
    <s v="Nash"/>
    <x v="1"/>
    <x v="1"/>
    <x v="0"/>
    <s v="White Collar"/>
    <x v="257"/>
    <n v="18856.080000000002"/>
  </r>
  <r>
    <n v="100003115"/>
    <s v="Brian"/>
    <s v="Jackson"/>
    <x v="0"/>
    <x v="1"/>
    <x v="0"/>
    <s v="White Collar"/>
    <x v="257"/>
    <n v="42429.24"/>
  </r>
  <r>
    <n v="100003116"/>
    <s v="Nathan"/>
    <s v="Morgan"/>
    <x v="0"/>
    <x v="22"/>
    <x v="0"/>
    <s v="Other"/>
    <x v="257"/>
    <n v="25257.22"/>
  </r>
  <r>
    <n v="100003117"/>
    <s v="Emily"/>
    <s v="Rees"/>
    <x v="1"/>
    <x v="3"/>
    <x v="0"/>
    <s v="White Collar"/>
    <x v="257"/>
    <n v="64135.72"/>
  </r>
  <r>
    <n v="200003118"/>
    <s v="Isaac"/>
    <s v="Newman"/>
    <x v="0"/>
    <x v="15"/>
    <x v="3"/>
    <s v="Blue Collar"/>
    <x v="257"/>
    <n v="76328.95"/>
  </r>
  <r>
    <n v="200003119"/>
    <s v="Sophie"/>
    <s v="Turner"/>
    <x v="1"/>
    <x v="10"/>
    <x v="3"/>
    <s v="Other"/>
    <x v="257"/>
    <n v="60307.56"/>
  </r>
  <r>
    <n v="200003120"/>
    <s v="Luke"/>
    <s v="Hart"/>
    <x v="0"/>
    <x v="27"/>
    <x v="3"/>
    <s v="White Collar"/>
    <x v="257"/>
    <n v="28479.55"/>
  </r>
  <r>
    <n v="200003121"/>
    <s v="Ruth"/>
    <s v="Davies"/>
    <x v="1"/>
    <x v="24"/>
    <x v="3"/>
    <s v="Other"/>
    <x v="257"/>
    <n v="7835.23"/>
  </r>
  <r>
    <n v="200003122"/>
    <s v="Matt"/>
    <s v="Fraser"/>
    <x v="0"/>
    <x v="34"/>
    <x v="3"/>
    <s v="Blue Collar"/>
    <x v="257"/>
    <n v="10760.17"/>
  </r>
  <r>
    <n v="200003123"/>
    <s v="Dominic"/>
    <s v="Knox"/>
    <x v="0"/>
    <x v="17"/>
    <x v="3"/>
    <s v="Blue Collar"/>
    <x v="257"/>
    <n v="31275.84"/>
  </r>
  <r>
    <n v="200003124"/>
    <s v="Stephen"/>
    <s v="Bell"/>
    <x v="0"/>
    <x v="35"/>
    <x v="3"/>
    <s v="Blue Collar"/>
    <x v="257"/>
    <n v="62238.7"/>
  </r>
  <r>
    <n v="200003125"/>
    <s v="Boris"/>
    <s v="Simpson"/>
    <x v="0"/>
    <x v="46"/>
    <x v="3"/>
    <s v="Other"/>
    <x v="257"/>
    <n v="23122.01"/>
  </r>
  <r>
    <n v="200003126"/>
    <s v="Andrea"/>
    <s v="Marshall"/>
    <x v="1"/>
    <x v="15"/>
    <x v="3"/>
    <s v="Other"/>
    <x v="257"/>
    <n v="105104.49"/>
  </r>
  <r>
    <n v="200003127"/>
    <s v="Nicholas"/>
    <s v="Coleman"/>
    <x v="0"/>
    <x v="34"/>
    <x v="3"/>
    <s v="Blue Collar"/>
    <x v="257"/>
    <n v="28654.5"/>
  </r>
  <r>
    <n v="200003128"/>
    <s v="Austin"/>
    <s v="Brown"/>
    <x v="0"/>
    <x v="25"/>
    <x v="3"/>
    <s v="Blue Collar"/>
    <x v="257"/>
    <n v="35192.83"/>
  </r>
  <r>
    <n v="300003129"/>
    <s v="Olivia"/>
    <s v="Hudson"/>
    <x v="1"/>
    <x v="20"/>
    <x v="2"/>
    <s v="White Collar"/>
    <x v="257"/>
    <n v="14632.29"/>
  </r>
  <r>
    <n v="300003130"/>
    <s v="Rachel"/>
    <s v="Dowd"/>
    <x v="1"/>
    <x v="1"/>
    <x v="2"/>
    <s v="White Collar"/>
    <x v="257"/>
    <n v="8456.7800000000007"/>
  </r>
  <r>
    <n v="300003131"/>
    <s v="Fiona"/>
    <s v="Hemmings"/>
    <x v="1"/>
    <x v="31"/>
    <x v="2"/>
    <s v="White Collar"/>
    <x v="257"/>
    <n v="33172.400000000001"/>
  </r>
  <r>
    <n v="300003132"/>
    <s v="Deirdre"/>
    <s v="Rampling"/>
    <x v="1"/>
    <x v="2"/>
    <x v="2"/>
    <s v="Blue Collar"/>
    <x v="257"/>
    <n v="29012.65"/>
  </r>
  <r>
    <n v="100003133"/>
    <s v="Pippa"/>
    <s v="Bond"/>
    <x v="1"/>
    <x v="2"/>
    <x v="0"/>
    <s v="Blue Collar"/>
    <x v="258"/>
    <n v="4907.58"/>
  </r>
  <r>
    <n v="100003134"/>
    <s v="Dan"/>
    <s v="Black"/>
    <x v="0"/>
    <x v="10"/>
    <x v="0"/>
    <s v="White Collar"/>
    <x v="258"/>
    <n v="4563.4399999999996"/>
  </r>
  <r>
    <n v="100003135"/>
    <s v="Dylan"/>
    <s v="Payne"/>
    <x v="0"/>
    <x v="30"/>
    <x v="0"/>
    <s v="Blue Collar"/>
    <x v="258"/>
    <n v="19118.759999999998"/>
  </r>
  <r>
    <n v="100003136"/>
    <s v="Dylan"/>
    <s v="Vaughan"/>
    <x v="0"/>
    <x v="3"/>
    <x v="0"/>
    <s v="White Collar"/>
    <x v="258"/>
    <n v="59266.239999999998"/>
  </r>
  <r>
    <n v="100003137"/>
    <s v="Mary"/>
    <s v="Greene"/>
    <x v="1"/>
    <x v="1"/>
    <x v="0"/>
    <s v="White Collar"/>
    <x v="258"/>
    <n v="26768.44"/>
  </r>
  <r>
    <n v="200003138"/>
    <s v="Gordon"/>
    <s v="Clarkson"/>
    <x v="0"/>
    <x v="16"/>
    <x v="3"/>
    <s v="Blue Collar"/>
    <x v="258"/>
    <n v="97626.31"/>
  </r>
  <r>
    <n v="200003139"/>
    <s v="Richard"/>
    <s v="Mackay"/>
    <x v="0"/>
    <x v="15"/>
    <x v="3"/>
    <s v="Blue Collar"/>
    <x v="258"/>
    <n v="10786.24"/>
  </r>
  <r>
    <n v="200003140"/>
    <s v="Oliver"/>
    <s v="Sanderson"/>
    <x v="0"/>
    <x v="3"/>
    <x v="3"/>
    <s v="Blue Collar"/>
    <x v="258"/>
    <n v="45810.04"/>
  </r>
  <r>
    <n v="200003141"/>
    <s v="Steven"/>
    <s v="Cornish"/>
    <x v="0"/>
    <x v="43"/>
    <x v="3"/>
    <s v="Blue Collar"/>
    <x v="258"/>
    <n v="25898.720000000001"/>
  </r>
  <r>
    <n v="300003142"/>
    <s v="Elizabeth"/>
    <s v="Arnold"/>
    <x v="1"/>
    <x v="9"/>
    <x v="2"/>
    <s v="White Collar"/>
    <x v="258"/>
    <n v="19448.189999999999"/>
  </r>
  <r>
    <n v="300003143"/>
    <s v="Richard"/>
    <s v="Chapman"/>
    <x v="0"/>
    <x v="10"/>
    <x v="2"/>
    <s v="Blue Collar"/>
    <x v="258"/>
    <n v="48032.86"/>
  </r>
  <r>
    <n v="300003144"/>
    <s v="Oliver"/>
    <s v="Roberts"/>
    <x v="0"/>
    <x v="16"/>
    <x v="2"/>
    <s v="White Collar"/>
    <x v="258"/>
    <n v="8176.98"/>
  </r>
  <r>
    <n v="100003145"/>
    <s v="Dylan"/>
    <s v="Walsh"/>
    <x v="0"/>
    <x v="30"/>
    <x v="0"/>
    <s v="White Collar"/>
    <x v="259"/>
    <n v="20166.68"/>
  </r>
  <r>
    <n v="100003146"/>
    <s v="Ian"/>
    <s v="Powell"/>
    <x v="0"/>
    <x v="31"/>
    <x v="0"/>
    <s v="White Collar"/>
    <x v="259"/>
    <n v="13179.89"/>
  </r>
  <r>
    <n v="100003147"/>
    <s v="Robert"/>
    <s v="Wilkins"/>
    <x v="0"/>
    <x v="14"/>
    <x v="0"/>
    <s v="White Collar"/>
    <x v="259"/>
    <n v="59673.88"/>
  </r>
  <r>
    <n v="100003148"/>
    <s v="Anna"/>
    <s v="Jones"/>
    <x v="1"/>
    <x v="3"/>
    <x v="0"/>
    <s v="White Collar"/>
    <x v="259"/>
    <n v="53274.83"/>
  </r>
  <r>
    <n v="100003149"/>
    <s v="Stephanie"/>
    <s v="Morrison"/>
    <x v="1"/>
    <x v="4"/>
    <x v="0"/>
    <s v="White Collar"/>
    <x v="259"/>
    <n v="1768.41"/>
  </r>
  <r>
    <n v="100003150"/>
    <s v="Lauren"/>
    <s v="Skinner"/>
    <x v="1"/>
    <x v="3"/>
    <x v="0"/>
    <s v="White Collar"/>
    <x v="259"/>
    <n v="9287.6299999999992"/>
  </r>
  <r>
    <n v="100003151"/>
    <s v="Felicity"/>
    <s v="Buckland"/>
    <x v="1"/>
    <x v="4"/>
    <x v="0"/>
    <s v="White Collar"/>
    <x v="259"/>
    <n v="66093.41"/>
  </r>
  <r>
    <n v="200003152"/>
    <s v="William"/>
    <s v="Sanderson"/>
    <x v="0"/>
    <x v="35"/>
    <x v="3"/>
    <s v="Other"/>
    <x v="259"/>
    <n v="13547.12"/>
  </r>
  <r>
    <n v="200003153"/>
    <s v="Sebastian"/>
    <s v="Peters"/>
    <x v="0"/>
    <x v="35"/>
    <x v="3"/>
    <s v="Blue Collar"/>
    <x v="259"/>
    <n v="109395.78"/>
  </r>
  <r>
    <n v="200003154"/>
    <s v="David"/>
    <s v="Alsop"/>
    <x v="0"/>
    <x v="25"/>
    <x v="3"/>
    <s v="Other"/>
    <x v="259"/>
    <n v="45629.65"/>
  </r>
  <r>
    <n v="200003155"/>
    <s v="Virginia"/>
    <s v="Jones"/>
    <x v="1"/>
    <x v="39"/>
    <x v="3"/>
    <s v="Other"/>
    <x v="259"/>
    <n v="11863.42"/>
  </r>
  <r>
    <n v="300003156"/>
    <s v="Charles"/>
    <s v="Mills"/>
    <x v="0"/>
    <x v="8"/>
    <x v="2"/>
    <s v="White Collar"/>
    <x v="259"/>
    <n v="45546.49"/>
  </r>
  <r>
    <n v="300003157"/>
    <s v="David"/>
    <s v="Greene"/>
    <x v="0"/>
    <x v="22"/>
    <x v="2"/>
    <s v="White Collar"/>
    <x v="259"/>
    <n v="7139.62"/>
  </r>
  <r>
    <n v="300003158"/>
    <s v="Joan"/>
    <s v="Oliver"/>
    <x v="1"/>
    <x v="8"/>
    <x v="2"/>
    <s v="Blue Collar"/>
    <x v="259"/>
    <n v="24238.89"/>
  </r>
  <r>
    <n v="100003159"/>
    <s v="Mary"/>
    <s v="Hemmings"/>
    <x v="1"/>
    <x v="24"/>
    <x v="0"/>
    <s v="White Collar"/>
    <x v="260"/>
    <n v="73722.880000000005"/>
  </r>
  <r>
    <n v="100003160"/>
    <s v="Jan"/>
    <s v="Gill"/>
    <x v="1"/>
    <x v="7"/>
    <x v="0"/>
    <s v="White Collar"/>
    <x v="260"/>
    <n v="21875.7"/>
  </r>
  <r>
    <n v="100003161"/>
    <s v="James"/>
    <s v="Hodges"/>
    <x v="0"/>
    <x v="31"/>
    <x v="0"/>
    <s v="White Collar"/>
    <x v="260"/>
    <n v="3790.23"/>
  </r>
  <r>
    <n v="100003162"/>
    <s v="Virginia"/>
    <s v="Hodges"/>
    <x v="1"/>
    <x v="30"/>
    <x v="0"/>
    <s v="White Collar"/>
    <x v="260"/>
    <n v="23159.95"/>
  </r>
  <r>
    <n v="100003163"/>
    <s v="Theresa"/>
    <s v="Mathis"/>
    <x v="1"/>
    <x v="36"/>
    <x v="0"/>
    <s v="White Collar"/>
    <x v="260"/>
    <n v="23220.99"/>
  </r>
  <r>
    <n v="100003164"/>
    <s v="Andrea"/>
    <s v="Churchill"/>
    <x v="1"/>
    <x v="14"/>
    <x v="0"/>
    <s v="White Collar"/>
    <x v="260"/>
    <n v="27784.27"/>
  </r>
  <r>
    <n v="100003165"/>
    <s v="Liam"/>
    <s v="Clark"/>
    <x v="0"/>
    <x v="13"/>
    <x v="0"/>
    <s v="White Collar"/>
    <x v="260"/>
    <n v="10377.129999999999"/>
  </r>
  <r>
    <n v="100003166"/>
    <s v="Karen"/>
    <s v="Walker"/>
    <x v="1"/>
    <x v="20"/>
    <x v="0"/>
    <s v="Other"/>
    <x v="260"/>
    <n v="12589.45"/>
  </r>
  <r>
    <n v="100003167"/>
    <s v="Charles"/>
    <s v="Powell"/>
    <x v="0"/>
    <x v="16"/>
    <x v="0"/>
    <s v="Other"/>
    <x v="260"/>
    <n v="4111.42"/>
  </r>
  <r>
    <n v="100003168"/>
    <s v="Christopher"/>
    <s v="Fisher"/>
    <x v="0"/>
    <x v="9"/>
    <x v="0"/>
    <s v="White Collar"/>
    <x v="260"/>
    <n v="49490.49"/>
  </r>
  <r>
    <n v="100003169"/>
    <s v="Dorothy"/>
    <s v="Vance"/>
    <x v="1"/>
    <x v="22"/>
    <x v="0"/>
    <s v="Blue Collar"/>
    <x v="260"/>
    <n v="3673.79"/>
  </r>
  <r>
    <n v="100003170"/>
    <s v="Emma"/>
    <s v="Cameron"/>
    <x v="1"/>
    <x v="16"/>
    <x v="0"/>
    <s v="White Collar"/>
    <x v="260"/>
    <n v="20793.41"/>
  </r>
  <r>
    <n v="100003171"/>
    <s v="Justin"/>
    <s v="Baker"/>
    <x v="0"/>
    <x v="20"/>
    <x v="0"/>
    <s v="White Collar"/>
    <x v="260"/>
    <n v="18053.11"/>
  </r>
  <r>
    <n v="100003172"/>
    <s v="Joe"/>
    <s v="Henderson"/>
    <x v="0"/>
    <x v="32"/>
    <x v="0"/>
    <s v="Blue Collar"/>
    <x v="260"/>
    <n v="4808.93"/>
  </r>
  <r>
    <n v="100003173"/>
    <s v="Leonard"/>
    <s v="Gill"/>
    <x v="0"/>
    <x v="10"/>
    <x v="0"/>
    <s v="Blue Collar"/>
    <x v="260"/>
    <n v="3436.77"/>
  </r>
  <r>
    <n v="100003174"/>
    <s v="Leonard"/>
    <s v="Ball"/>
    <x v="0"/>
    <x v="12"/>
    <x v="0"/>
    <s v="White Collar"/>
    <x v="260"/>
    <n v="8060.05"/>
  </r>
  <r>
    <n v="100003175"/>
    <s v="Isaac"/>
    <s v="Gill"/>
    <x v="0"/>
    <x v="3"/>
    <x v="0"/>
    <s v="Blue Collar"/>
    <x v="260"/>
    <n v="27316.09"/>
  </r>
  <r>
    <n v="200003176"/>
    <s v="Max"/>
    <s v="Short"/>
    <x v="0"/>
    <x v="17"/>
    <x v="3"/>
    <s v="Other"/>
    <x v="260"/>
    <n v="111036.92"/>
  </r>
  <r>
    <n v="200003177"/>
    <s v="Jane"/>
    <s v="White"/>
    <x v="1"/>
    <x v="18"/>
    <x v="3"/>
    <s v="Other"/>
    <x v="260"/>
    <n v="7365.5"/>
  </r>
  <r>
    <n v="200003178"/>
    <s v="Audrey"/>
    <s v="Hughes"/>
    <x v="1"/>
    <x v="18"/>
    <x v="3"/>
    <s v="Other"/>
    <x v="260"/>
    <n v="18705.830000000002"/>
  </r>
  <r>
    <n v="200003179"/>
    <s v="Cameron"/>
    <s v="Jones"/>
    <x v="0"/>
    <x v="35"/>
    <x v="3"/>
    <s v="Blue Collar"/>
    <x v="260"/>
    <n v="29247.25"/>
  </r>
  <r>
    <n v="200003180"/>
    <s v="John"/>
    <s v="Payne"/>
    <x v="0"/>
    <x v="25"/>
    <x v="3"/>
    <s v="Other"/>
    <x v="260"/>
    <n v="6881.74"/>
  </r>
  <r>
    <n v="200003181"/>
    <s v="Warren"/>
    <s v="Parsons"/>
    <x v="0"/>
    <x v="15"/>
    <x v="3"/>
    <s v="Blue Collar"/>
    <x v="260"/>
    <n v="65497.14"/>
  </r>
  <r>
    <n v="200003182"/>
    <s v="Piers"/>
    <s v="Mitchell"/>
    <x v="0"/>
    <x v="25"/>
    <x v="3"/>
    <s v="Other"/>
    <x v="260"/>
    <n v="45545.02"/>
  </r>
  <r>
    <n v="200003183"/>
    <s v="Wanda"/>
    <s v="Morgan"/>
    <x v="1"/>
    <x v="5"/>
    <x v="3"/>
    <s v="Other"/>
    <x v="260"/>
    <n v="31311.45"/>
  </r>
  <r>
    <n v="200003184"/>
    <s v="Jan"/>
    <s v="White"/>
    <x v="1"/>
    <x v="6"/>
    <x v="3"/>
    <s v="Other"/>
    <x v="260"/>
    <n v="9758.08"/>
  </r>
  <r>
    <n v="300003185"/>
    <s v="Piers"/>
    <s v="Dyer"/>
    <x v="0"/>
    <x v="10"/>
    <x v="2"/>
    <s v="White Collar"/>
    <x v="260"/>
    <n v="144607.38"/>
  </r>
  <r>
    <n v="300003186"/>
    <s v="Steven"/>
    <s v="Grant"/>
    <x v="0"/>
    <x v="24"/>
    <x v="2"/>
    <s v="White Collar"/>
    <x v="260"/>
    <n v="15126.82"/>
  </r>
  <r>
    <n v="300003187"/>
    <s v="Carolyn"/>
    <s v="Harris"/>
    <x v="1"/>
    <x v="13"/>
    <x v="2"/>
    <s v="Other"/>
    <x v="260"/>
    <n v="23095.68"/>
  </r>
  <r>
    <n v="300003188"/>
    <s v="Frank"/>
    <s v="Peake"/>
    <x v="0"/>
    <x v="28"/>
    <x v="2"/>
    <s v="Blue Collar"/>
    <x v="260"/>
    <n v="97201.55"/>
  </r>
  <r>
    <n v="100003189"/>
    <s v="Richard"/>
    <s v="Anderson"/>
    <x v="0"/>
    <x v="6"/>
    <x v="0"/>
    <s v="White Collar"/>
    <x v="261"/>
    <n v="4098.82"/>
  </r>
  <r>
    <n v="100003190"/>
    <s v="Andrea"/>
    <s v="Forsyth"/>
    <x v="1"/>
    <x v="31"/>
    <x v="0"/>
    <s v="White Collar"/>
    <x v="261"/>
    <n v="9777.9"/>
  </r>
  <r>
    <n v="100003191"/>
    <s v="Alexander"/>
    <s v="Reid"/>
    <x v="0"/>
    <x v="13"/>
    <x v="0"/>
    <s v="Other"/>
    <x v="261"/>
    <n v="5478.06"/>
  </r>
  <r>
    <n v="100003192"/>
    <s v="Sean"/>
    <s v="Springer"/>
    <x v="0"/>
    <x v="24"/>
    <x v="0"/>
    <s v="White Collar"/>
    <x v="261"/>
    <n v="10183.23"/>
  </r>
  <r>
    <n v="100003193"/>
    <s v="Sonia"/>
    <s v="Coleman"/>
    <x v="1"/>
    <x v="12"/>
    <x v="0"/>
    <s v="Blue Collar"/>
    <x v="261"/>
    <n v="18925.43"/>
  </r>
  <r>
    <n v="100003194"/>
    <s v="Steven"/>
    <s v="Watson"/>
    <x v="0"/>
    <x v="30"/>
    <x v="0"/>
    <s v="White Collar"/>
    <x v="261"/>
    <n v="57228.34"/>
  </r>
  <r>
    <n v="100003195"/>
    <s v="Yvonne"/>
    <s v="Graham"/>
    <x v="1"/>
    <x v="22"/>
    <x v="0"/>
    <s v="White Collar"/>
    <x v="261"/>
    <n v="31376.37"/>
  </r>
  <r>
    <n v="100003196"/>
    <s v="Leonard"/>
    <s v="Ferguson"/>
    <x v="0"/>
    <x v="38"/>
    <x v="0"/>
    <s v="Other"/>
    <x v="261"/>
    <n v="13468.66"/>
  </r>
  <r>
    <n v="100003197"/>
    <s v="Penelope"/>
    <s v="Howard"/>
    <x v="1"/>
    <x v="13"/>
    <x v="0"/>
    <s v="White Collar"/>
    <x v="261"/>
    <n v="42662.04"/>
  </r>
  <r>
    <n v="100003198"/>
    <s v="Harry"/>
    <s v="Lyman"/>
    <x v="0"/>
    <x v="30"/>
    <x v="0"/>
    <s v="Other"/>
    <x v="261"/>
    <n v="36086.9"/>
  </r>
  <r>
    <n v="100003199"/>
    <s v="Luke"/>
    <s v="James"/>
    <x v="0"/>
    <x v="3"/>
    <x v="0"/>
    <s v="White Collar"/>
    <x v="261"/>
    <n v="12954.98"/>
  </r>
  <r>
    <n v="300003200"/>
    <s v="Jake"/>
    <s v="Newman"/>
    <x v="0"/>
    <x v="14"/>
    <x v="2"/>
    <s v="White Collar"/>
    <x v="261"/>
    <n v="59494.69"/>
  </r>
  <r>
    <n v="300003201"/>
    <s v="Bernadette"/>
    <s v="Reid"/>
    <x v="1"/>
    <x v="21"/>
    <x v="2"/>
    <s v="White Collar"/>
    <x v="261"/>
    <n v="133683.93"/>
  </r>
  <r>
    <n v="100003202"/>
    <s v="Abigail"/>
    <s v="Walsh"/>
    <x v="1"/>
    <x v="9"/>
    <x v="0"/>
    <s v="White Collar"/>
    <x v="262"/>
    <n v="32051.33"/>
  </r>
  <r>
    <n v="100003203"/>
    <s v="Piers"/>
    <s v="Campbell"/>
    <x v="0"/>
    <x v="14"/>
    <x v="0"/>
    <s v="White Collar"/>
    <x v="262"/>
    <n v="4269.3100000000004"/>
  </r>
  <r>
    <n v="100003204"/>
    <s v="Piers"/>
    <s v="Newman"/>
    <x v="0"/>
    <x v="30"/>
    <x v="0"/>
    <s v="Blue Collar"/>
    <x v="262"/>
    <n v="37027.410000000003"/>
  </r>
  <r>
    <n v="100003205"/>
    <s v="Dominic"/>
    <s v="Vance"/>
    <x v="0"/>
    <x v="9"/>
    <x v="0"/>
    <s v="White Collar"/>
    <x v="262"/>
    <n v="55771.08"/>
  </r>
  <r>
    <n v="100003206"/>
    <s v="Elizabeth"/>
    <s v="Parr"/>
    <x v="1"/>
    <x v="22"/>
    <x v="0"/>
    <s v="White Collar"/>
    <x v="262"/>
    <n v="8196.9"/>
  </r>
  <r>
    <n v="100003207"/>
    <s v="Faith"/>
    <s v="Harris"/>
    <x v="1"/>
    <x v="13"/>
    <x v="0"/>
    <s v="White Collar"/>
    <x v="262"/>
    <n v="29296.95"/>
  </r>
  <r>
    <n v="100003208"/>
    <s v="Joshua"/>
    <s v="James"/>
    <x v="0"/>
    <x v="22"/>
    <x v="0"/>
    <s v="White Collar"/>
    <x v="262"/>
    <n v="10291.64"/>
  </r>
  <r>
    <n v="100003209"/>
    <s v="Boris"/>
    <s v="Quinn"/>
    <x v="0"/>
    <x v="11"/>
    <x v="0"/>
    <s v="Other"/>
    <x v="262"/>
    <n v="57099.28"/>
  </r>
  <r>
    <n v="100003210"/>
    <s v="Amanda"/>
    <s v="Howard"/>
    <x v="1"/>
    <x v="19"/>
    <x v="0"/>
    <s v="White Collar"/>
    <x v="262"/>
    <n v="50609.43"/>
  </r>
  <r>
    <n v="100003211"/>
    <s v="Julian"/>
    <s v="Jones"/>
    <x v="0"/>
    <x v="31"/>
    <x v="0"/>
    <s v="White Collar"/>
    <x v="262"/>
    <n v="9161.15"/>
  </r>
  <r>
    <n v="100003212"/>
    <s v="Ian"/>
    <s v="Avery"/>
    <x v="0"/>
    <x v="4"/>
    <x v="0"/>
    <s v="White Collar"/>
    <x v="262"/>
    <n v="20238.28"/>
  </r>
  <r>
    <n v="100003213"/>
    <s v="Max"/>
    <s v="Quinn"/>
    <x v="0"/>
    <x v="34"/>
    <x v="0"/>
    <s v="White Collar"/>
    <x v="262"/>
    <n v="2479.52"/>
  </r>
  <r>
    <n v="200003214"/>
    <s v="Edward"/>
    <s v="Vaughan"/>
    <x v="0"/>
    <x v="15"/>
    <x v="3"/>
    <s v="Blue Collar"/>
    <x v="262"/>
    <n v="79655.37"/>
  </r>
  <r>
    <n v="200003215"/>
    <s v="Abigail"/>
    <s v="Skinner"/>
    <x v="1"/>
    <x v="23"/>
    <x v="3"/>
    <s v="Other"/>
    <x v="262"/>
    <n v="14644.76"/>
  </r>
  <r>
    <n v="100003216"/>
    <s v="Nicola"/>
    <s v="Watson"/>
    <x v="1"/>
    <x v="3"/>
    <x v="0"/>
    <s v="White Collar"/>
    <x v="263"/>
    <n v="33535.24"/>
  </r>
  <r>
    <n v="100003217"/>
    <s v="Joseph"/>
    <s v="Scott"/>
    <x v="0"/>
    <x v="12"/>
    <x v="0"/>
    <s v="White Collar"/>
    <x v="263"/>
    <n v="5275.67"/>
  </r>
  <r>
    <n v="100003218"/>
    <s v="Max"/>
    <s v="Lee"/>
    <x v="0"/>
    <x v="11"/>
    <x v="0"/>
    <s v="White Collar"/>
    <x v="263"/>
    <n v="16721.96"/>
  </r>
  <r>
    <n v="100003219"/>
    <s v="Connor"/>
    <s v="James"/>
    <x v="0"/>
    <x v="13"/>
    <x v="0"/>
    <s v="Blue Collar"/>
    <x v="263"/>
    <n v="51141.07"/>
  </r>
  <r>
    <n v="100003220"/>
    <s v="Eric"/>
    <s v="Hemmings"/>
    <x v="0"/>
    <x v="5"/>
    <x v="0"/>
    <s v="White Collar"/>
    <x v="263"/>
    <n v="29283.75"/>
  </r>
  <r>
    <n v="100003221"/>
    <s v="Leonard"/>
    <s v="Rutherford"/>
    <x v="0"/>
    <x v="14"/>
    <x v="0"/>
    <s v="White Collar"/>
    <x v="263"/>
    <n v="37670.589999999997"/>
  </r>
  <r>
    <n v="100003222"/>
    <s v="Richard"/>
    <s v="Clarkson"/>
    <x v="0"/>
    <x v="16"/>
    <x v="0"/>
    <s v="Blue Collar"/>
    <x v="263"/>
    <n v="5040.5"/>
  </r>
  <r>
    <n v="100003223"/>
    <s v="Peter"/>
    <s v="May"/>
    <x v="0"/>
    <x v="34"/>
    <x v="0"/>
    <s v="White Collar"/>
    <x v="263"/>
    <n v="38098.76"/>
  </r>
  <r>
    <n v="100003224"/>
    <s v="Rachel"/>
    <s v="Welch"/>
    <x v="1"/>
    <x v="22"/>
    <x v="0"/>
    <s v="Other"/>
    <x v="263"/>
    <n v="82688.19"/>
  </r>
  <r>
    <n v="100003225"/>
    <s v="Colin"/>
    <s v="Johnston"/>
    <x v="0"/>
    <x v="13"/>
    <x v="0"/>
    <s v="White Collar"/>
    <x v="263"/>
    <n v="9814.58"/>
  </r>
  <r>
    <n v="100003226"/>
    <s v="Dylan"/>
    <s v="Mitchell"/>
    <x v="0"/>
    <x v="10"/>
    <x v="0"/>
    <s v="White Collar"/>
    <x v="263"/>
    <n v="139434.09"/>
  </r>
  <r>
    <n v="100003227"/>
    <s v="Wendy"/>
    <s v="Hamilton"/>
    <x v="1"/>
    <x v="32"/>
    <x v="0"/>
    <s v="White Collar"/>
    <x v="263"/>
    <n v="27287.49"/>
  </r>
  <r>
    <n v="100003228"/>
    <s v="Stewart"/>
    <s v="Jackson"/>
    <x v="0"/>
    <x v="24"/>
    <x v="0"/>
    <s v="White Collar"/>
    <x v="263"/>
    <n v="41775.199999999997"/>
  </r>
  <r>
    <n v="100003229"/>
    <s v="Natalie"/>
    <s v="Sutherland"/>
    <x v="1"/>
    <x v="14"/>
    <x v="0"/>
    <s v="White Collar"/>
    <x v="263"/>
    <n v="44335.18"/>
  </r>
  <r>
    <n v="100003230"/>
    <s v="Fiona"/>
    <s v="McDonald"/>
    <x v="1"/>
    <x v="10"/>
    <x v="0"/>
    <s v="Blue Collar"/>
    <x v="263"/>
    <n v="33581.760000000002"/>
  </r>
  <r>
    <n v="100003231"/>
    <s v="Luke"/>
    <s v="Burgess"/>
    <x v="0"/>
    <x v="8"/>
    <x v="0"/>
    <s v="White Collar"/>
    <x v="263"/>
    <n v="30797.77"/>
  </r>
  <r>
    <n v="100003232"/>
    <s v="Anne"/>
    <s v="Parr"/>
    <x v="1"/>
    <x v="30"/>
    <x v="0"/>
    <s v="White Collar"/>
    <x v="263"/>
    <n v="71423.009999999995"/>
  </r>
  <r>
    <n v="100003233"/>
    <s v="Robert"/>
    <s v="Mackenzie"/>
    <x v="0"/>
    <x v="10"/>
    <x v="0"/>
    <s v="White Collar"/>
    <x v="263"/>
    <n v="52566.58"/>
  </r>
  <r>
    <n v="100003234"/>
    <s v="Rachel"/>
    <s v="Ince"/>
    <x v="1"/>
    <x v="32"/>
    <x v="0"/>
    <s v="Blue Collar"/>
    <x v="263"/>
    <n v="23540.79"/>
  </r>
  <r>
    <n v="100003235"/>
    <s v="Blake"/>
    <s v="Simpson"/>
    <x v="0"/>
    <x v="21"/>
    <x v="0"/>
    <s v="White Collar"/>
    <x v="263"/>
    <n v="104366.63"/>
  </r>
  <r>
    <n v="100003236"/>
    <s v="Lily"/>
    <s v="Grant"/>
    <x v="1"/>
    <x v="14"/>
    <x v="0"/>
    <s v="Other"/>
    <x v="263"/>
    <n v="339.23"/>
  </r>
  <r>
    <n v="100003237"/>
    <s v="Julian"/>
    <s v="Powell"/>
    <x v="0"/>
    <x v="21"/>
    <x v="0"/>
    <s v="White Collar"/>
    <x v="263"/>
    <n v="65283.32"/>
  </r>
  <r>
    <n v="200003238"/>
    <s v="Madeleine"/>
    <s v="James"/>
    <x v="1"/>
    <x v="32"/>
    <x v="3"/>
    <s v="Other"/>
    <x v="263"/>
    <n v="38012.269999999997"/>
  </r>
  <r>
    <n v="200003239"/>
    <s v="Joanne"/>
    <s v="Russell"/>
    <x v="1"/>
    <x v="39"/>
    <x v="3"/>
    <s v="White Collar"/>
    <x v="263"/>
    <n v="33748.33"/>
  </r>
  <r>
    <n v="200003240"/>
    <s v="Edward"/>
    <s v="Oliver"/>
    <x v="0"/>
    <x v="40"/>
    <x v="3"/>
    <s v="Blue Collar"/>
    <x v="263"/>
    <n v="18910.03"/>
  </r>
  <r>
    <n v="200003241"/>
    <s v="Dominic"/>
    <s v="Martin"/>
    <x v="0"/>
    <x v="14"/>
    <x v="3"/>
    <s v="Blue Collar"/>
    <x v="263"/>
    <n v="45686.41"/>
  </r>
  <r>
    <n v="200003242"/>
    <s v="Samantha"/>
    <s v="Walker"/>
    <x v="1"/>
    <x v="10"/>
    <x v="3"/>
    <s v="Other"/>
    <x v="263"/>
    <n v="13061.49"/>
  </r>
  <r>
    <n v="200003243"/>
    <s v="Rachel"/>
    <s v="Black"/>
    <x v="1"/>
    <x v="2"/>
    <x v="3"/>
    <s v="Blue Collar"/>
    <x v="263"/>
    <n v="68527.61"/>
  </r>
  <r>
    <n v="200003244"/>
    <s v="Gordon"/>
    <s v="White"/>
    <x v="0"/>
    <x v="39"/>
    <x v="3"/>
    <s v="Other"/>
    <x v="263"/>
    <n v="29861.37"/>
  </r>
  <r>
    <n v="200003245"/>
    <s v="Gavin"/>
    <s v="MacLeod"/>
    <x v="0"/>
    <x v="31"/>
    <x v="3"/>
    <s v="Other"/>
    <x v="263"/>
    <n v="63735.05"/>
  </r>
  <r>
    <n v="300003246"/>
    <s v="Maria"/>
    <s v="Murray"/>
    <x v="1"/>
    <x v="34"/>
    <x v="2"/>
    <s v="White Collar"/>
    <x v="263"/>
    <n v="20349.68"/>
  </r>
  <r>
    <n v="300003247"/>
    <s v="Anne"/>
    <s v="Nash"/>
    <x v="1"/>
    <x v="38"/>
    <x v="2"/>
    <s v="White Collar"/>
    <x v="263"/>
    <n v="48124.639999999999"/>
  </r>
  <r>
    <n v="300003248"/>
    <s v="Joseph"/>
    <s v="Newman"/>
    <x v="0"/>
    <x v="5"/>
    <x v="2"/>
    <s v="Blue Collar"/>
    <x v="263"/>
    <n v="38093.360000000001"/>
  </r>
  <r>
    <n v="100003249"/>
    <s v="Steven"/>
    <s v="Wright"/>
    <x v="0"/>
    <x v="32"/>
    <x v="0"/>
    <s v="White Collar"/>
    <x v="264"/>
    <n v="12324.12"/>
  </r>
  <r>
    <n v="100003250"/>
    <s v="Isaac"/>
    <s v="McDonald"/>
    <x v="0"/>
    <x v="1"/>
    <x v="0"/>
    <s v="Blue Collar"/>
    <x v="264"/>
    <n v="18412.38"/>
  </r>
  <r>
    <n v="100003251"/>
    <s v="Evan"/>
    <s v="Walker"/>
    <x v="0"/>
    <x v="1"/>
    <x v="0"/>
    <s v="White Collar"/>
    <x v="264"/>
    <n v="12238.08"/>
  </r>
  <r>
    <n v="100003252"/>
    <s v="Adam"/>
    <s v="Turner"/>
    <x v="0"/>
    <x v="16"/>
    <x v="0"/>
    <s v="White Collar"/>
    <x v="264"/>
    <n v="55038.36"/>
  </r>
  <r>
    <n v="100003253"/>
    <s v="Ryan"/>
    <s v="Lambert"/>
    <x v="0"/>
    <x v="3"/>
    <x v="0"/>
    <s v="White Collar"/>
    <x v="264"/>
    <n v="30865.97"/>
  </r>
  <r>
    <n v="100003254"/>
    <s v="David"/>
    <s v="Poole"/>
    <x v="0"/>
    <x v="4"/>
    <x v="0"/>
    <s v="White Collar"/>
    <x v="264"/>
    <n v="2638.71"/>
  </r>
  <r>
    <n v="300003255"/>
    <s v="Joan"/>
    <s v="Metcalfe"/>
    <x v="1"/>
    <x v="1"/>
    <x v="2"/>
    <s v="Other"/>
    <x v="264"/>
    <n v="19249.759999999998"/>
  </r>
  <r>
    <n v="300003256"/>
    <s v="Heather"/>
    <s v="Gill"/>
    <x v="1"/>
    <x v="9"/>
    <x v="2"/>
    <s v="White Collar"/>
    <x v="264"/>
    <n v="53697.1"/>
  </r>
  <r>
    <n v="100003257"/>
    <s v="John"/>
    <s v="Henderson"/>
    <x v="0"/>
    <x v="24"/>
    <x v="0"/>
    <s v="Blue Collar"/>
    <x v="265"/>
    <n v="9866.0400000000009"/>
  </r>
  <r>
    <n v="100003258"/>
    <s v="Jennifer"/>
    <s v="Graham"/>
    <x v="1"/>
    <x v="8"/>
    <x v="0"/>
    <s v="White Collar"/>
    <x v="265"/>
    <n v="25158.080000000002"/>
  </r>
  <r>
    <n v="100003259"/>
    <s v="Emily"/>
    <s v="Henderson"/>
    <x v="1"/>
    <x v="14"/>
    <x v="0"/>
    <s v="White Collar"/>
    <x v="265"/>
    <n v="26052.240000000002"/>
  </r>
  <r>
    <n v="200003260"/>
    <s v="Brandon"/>
    <s v="Terry"/>
    <x v="0"/>
    <x v="35"/>
    <x v="3"/>
    <s v="Blue Collar"/>
    <x v="265"/>
    <n v="12765.42"/>
  </r>
  <r>
    <n v="200003261"/>
    <s v="Natalie"/>
    <s v="Bower"/>
    <x v="1"/>
    <x v="32"/>
    <x v="3"/>
    <s v="Other"/>
    <x v="265"/>
    <n v="8837.34"/>
  </r>
  <r>
    <n v="300003262"/>
    <s v="Sue"/>
    <s v="Lyman"/>
    <x v="1"/>
    <x v="38"/>
    <x v="2"/>
    <s v="White Collar"/>
    <x v="265"/>
    <n v="68809.02"/>
  </r>
  <r>
    <n v="300003263"/>
    <s v="Vanessa"/>
    <s v="Parsons"/>
    <x v="1"/>
    <x v="5"/>
    <x v="2"/>
    <s v="White Collar"/>
    <x v="265"/>
    <n v="13139.08"/>
  </r>
  <r>
    <n v="300003264"/>
    <s v="Jasmine"/>
    <s v="Ross"/>
    <x v="1"/>
    <x v="10"/>
    <x v="2"/>
    <s v="Other"/>
    <x v="265"/>
    <n v="68659.240000000005"/>
  </r>
  <r>
    <n v="300003265"/>
    <s v="Joshua"/>
    <s v="Parsons"/>
    <x v="0"/>
    <x v="30"/>
    <x v="2"/>
    <s v="White Collar"/>
    <x v="265"/>
    <n v="94523.22"/>
  </r>
  <r>
    <n v="100003266"/>
    <s v="Edward"/>
    <s v="Blake"/>
    <x v="0"/>
    <x v="1"/>
    <x v="0"/>
    <s v="Other"/>
    <x v="266"/>
    <n v="67894.27"/>
  </r>
  <r>
    <n v="100003267"/>
    <s v="Liam"/>
    <s v="Burgess"/>
    <x v="0"/>
    <x v="12"/>
    <x v="0"/>
    <s v="White Collar"/>
    <x v="266"/>
    <n v="63323.61"/>
  </r>
  <r>
    <n v="100003268"/>
    <s v="Leah"/>
    <s v="Lambert"/>
    <x v="1"/>
    <x v="12"/>
    <x v="0"/>
    <s v="White Collar"/>
    <x v="266"/>
    <n v="84693.18"/>
  </r>
  <r>
    <n v="100003269"/>
    <s v="Simon"/>
    <s v="Henderson"/>
    <x v="0"/>
    <x v="3"/>
    <x v="0"/>
    <s v="White Collar"/>
    <x v="266"/>
    <n v="9068.75"/>
  </r>
  <r>
    <n v="100003270"/>
    <s v="Zoe"/>
    <s v="Vaughan"/>
    <x v="1"/>
    <x v="14"/>
    <x v="0"/>
    <s v="Blue Collar"/>
    <x v="266"/>
    <n v="11073.76"/>
  </r>
  <r>
    <n v="100003271"/>
    <s v="Christopher"/>
    <s v="Hunter"/>
    <x v="0"/>
    <x v="3"/>
    <x v="0"/>
    <s v="Blue Collar"/>
    <x v="266"/>
    <n v="76492.800000000003"/>
  </r>
  <r>
    <n v="100003272"/>
    <s v="Frank"/>
    <s v="Rampling"/>
    <x v="0"/>
    <x v="16"/>
    <x v="0"/>
    <s v="Other"/>
    <x v="266"/>
    <n v="32715.84"/>
  </r>
  <r>
    <n v="100003273"/>
    <s v="Angela"/>
    <s v="Berry"/>
    <x v="1"/>
    <x v="10"/>
    <x v="0"/>
    <s v="Blue Collar"/>
    <x v="266"/>
    <n v="10685.07"/>
  </r>
  <r>
    <n v="100003274"/>
    <s v="Colin"/>
    <s v="Peake"/>
    <x v="0"/>
    <x v="24"/>
    <x v="0"/>
    <s v="White Collar"/>
    <x v="266"/>
    <n v="30268.33"/>
  </r>
  <r>
    <n v="200003275"/>
    <s v="Sam"/>
    <s v="Anderson"/>
    <x v="0"/>
    <x v="28"/>
    <x v="3"/>
    <s v="Other"/>
    <x v="266"/>
    <n v="7286.16"/>
  </r>
  <r>
    <n v="100003276"/>
    <s v="Gabrielle"/>
    <s v="Jones"/>
    <x v="1"/>
    <x v="10"/>
    <x v="0"/>
    <s v="White Collar"/>
    <x v="267"/>
    <n v="105339.9"/>
  </r>
  <r>
    <n v="100003277"/>
    <s v="William"/>
    <s v="Glover"/>
    <x v="0"/>
    <x v="8"/>
    <x v="0"/>
    <s v="White Collar"/>
    <x v="267"/>
    <n v="11632.9"/>
  </r>
  <r>
    <n v="100003278"/>
    <s v="Rachel"/>
    <s v="Lambert"/>
    <x v="1"/>
    <x v="0"/>
    <x v="0"/>
    <s v="White Collar"/>
    <x v="267"/>
    <n v="3038.3"/>
  </r>
  <r>
    <n v="100003279"/>
    <s v="Steven"/>
    <s v="North"/>
    <x v="0"/>
    <x v="12"/>
    <x v="0"/>
    <s v="Other"/>
    <x v="267"/>
    <n v="94494.62"/>
  </r>
  <r>
    <n v="100003280"/>
    <s v="Megan"/>
    <s v="Ross"/>
    <x v="1"/>
    <x v="22"/>
    <x v="0"/>
    <s v="White Collar"/>
    <x v="267"/>
    <n v="20637.25"/>
  </r>
  <r>
    <n v="100003281"/>
    <s v="Nathan"/>
    <s v="Dickens"/>
    <x v="0"/>
    <x v="24"/>
    <x v="0"/>
    <s v="White Collar"/>
    <x v="267"/>
    <n v="53494.5"/>
  </r>
  <r>
    <n v="100003282"/>
    <s v="Edward"/>
    <s v="Ince"/>
    <x v="0"/>
    <x v="32"/>
    <x v="0"/>
    <s v="White Collar"/>
    <x v="267"/>
    <n v="2619.84"/>
  </r>
  <r>
    <n v="100003283"/>
    <s v="Bernadette"/>
    <s v="Jones"/>
    <x v="1"/>
    <x v="4"/>
    <x v="0"/>
    <s v="White Collar"/>
    <x v="267"/>
    <n v="89126.12"/>
  </r>
  <r>
    <n v="100003284"/>
    <s v="Victoria"/>
    <s v="Greene"/>
    <x v="1"/>
    <x v="22"/>
    <x v="0"/>
    <s v="White Collar"/>
    <x v="267"/>
    <n v="29531.43"/>
  </r>
  <r>
    <n v="100003285"/>
    <s v="Amelia"/>
    <s v="Paterson"/>
    <x v="1"/>
    <x v="25"/>
    <x v="0"/>
    <s v="Other"/>
    <x v="267"/>
    <n v="90049.91"/>
  </r>
  <r>
    <n v="100003286"/>
    <s v="Matt"/>
    <s v="Short"/>
    <x v="0"/>
    <x v="4"/>
    <x v="0"/>
    <s v="White Collar"/>
    <x v="267"/>
    <n v="21417.1"/>
  </r>
  <r>
    <n v="100003287"/>
    <s v="Heather"/>
    <s v="Burgess"/>
    <x v="1"/>
    <x v="3"/>
    <x v="0"/>
    <s v="White Collar"/>
    <x v="267"/>
    <n v="74633.22"/>
  </r>
  <r>
    <n v="100003288"/>
    <s v="Leonard"/>
    <s v="Roberts"/>
    <x v="0"/>
    <x v="14"/>
    <x v="0"/>
    <s v="White Collar"/>
    <x v="267"/>
    <n v="77155.23"/>
  </r>
  <r>
    <n v="200003289"/>
    <s v="Ryan"/>
    <s v="Underwood"/>
    <x v="0"/>
    <x v="19"/>
    <x v="3"/>
    <s v="Other"/>
    <x v="267"/>
    <n v="99255.19"/>
  </r>
  <r>
    <n v="200003290"/>
    <s v="Amelia"/>
    <s v="Clarkson"/>
    <x v="1"/>
    <x v="32"/>
    <x v="3"/>
    <s v="Other"/>
    <x v="267"/>
    <n v="41538.28"/>
  </r>
  <r>
    <n v="200003291"/>
    <s v="Rachel"/>
    <s v="Grant"/>
    <x v="1"/>
    <x v="8"/>
    <x v="3"/>
    <s v="Other"/>
    <x v="267"/>
    <n v="6916.13"/>
  </r>
  <r>
    <n v="200003292"/>
    <s v="Peter"/>
    <s v="Sanderson"/>
    <x v="0"/>
    <x v="35"/>
    <x v="3"/>
    <s v="Blue Collar"/>
    <x v="267"/>
    <n v="14724.29"/>
  </r>
  <r>
    <n v="200003293"/>
    <s v="Anthony"/>
    <s v="Morrison"/>
    <x v="0"/>
    <x v="28"/>
    <x v="3"/>
    <s v="Blue Collar"/>
    <x v="267"/>
    <n v="5875.97"/>
  </r>
  <r>
    <n v="200003294"/>
    <s v="Brandon"/>
    <s v="Lee"/>
    <x v="0"/>
    <x v="18"/>
    <x v="3"/>
    <s v="Blue Collar"/>
    <x v="267"/>
    <n v="71276.7"/>
  </r>
  <r>
    <n v="200003295"/>
    <s v="Jake"/>
    <s v="Ball"/>
    <x v="0"/>
    <x v="35"/>
    <x v="3"/>
    <s v="Other"/>
    <x v="267"/>
    <n v="37322.47"/>
  </r>
  <r>
    <n v="200003296"/>
    <s v="Ryan"/>
    <s v="Ince"/>
    <x v="0"/>
    <x v="21"/>
    <x v="3"/>
    <s v="Blue Collar"/>
    <x v="267"/>
    <n v="39625.370000000003"/>
  </r>
  <r>
    <n v="200003297"/>
    <s v="Jake"/>
    <s v="Randall"/>
    <x v="0"/>
    <x v="41"/>
    <x v="3"/>
    <s v="Blue Collar"/>
    <x v="267"/>
    <n v="7410.73"/>
  </r>
  <r>
    <n v="200003298"/>
    <s v="Sonia"/>
    <s v="Cameron"/>
    <x v="1"/>
    <x v="27"/>
    <x v="3"/>
    <s v="Other"/>
    <x v="267"/>
    <n v="466.01"/>
  </r>
  <r>
    <n v="300003299"/>
    <s v="Liam"/>
    <s v="Simpson"/>
    <x v="0"/>
    <x v="1"/>
    <x v="2"/>
    <s v="White Collar"/>
    <x v="267"/>
    <n v="32851.32"/>
  </r>
  <r>
    <n v="100003300"/>
    <s v="Frank"/>
    <s v="Hart"/>
    <x v="0"/>
    <x v="4"/>
    <x v="0"/>
    <s v="Other"/>
    <x v="268"/>
    <n v="64508.93"/>
  </r>
  <r>
    <n v="100003301"/>
    <s v="Anthony"/>
    <s v="Hughes"/>
    <x v="0"/>
    <x v="2"/>
    <x v="0"/>
    <s v="White Collar"/>
    <x v="268"/>
    <n v="47908.76"/>
  </r>
  <r>
    <n v="100003302"/>
    <s v="Jessica"/>
    <s v="Quinn"/>
    <x v="1"/>
    <x v="12"/>
    <x v="0"/>
    <s v="White Collar"/>
    <x v="268"/>
    <n v="77553.789999999994"/>
  </r>
  <r>
    <n v="100003303"/>
    <s v="Fiona"/>
    <s v="Churchill"/>
    <x v="1"/>
    <x v="28"/>
    <x v="0"/>
    <s v="Blue Collar"/>
    <x v="268"/>
    <n v="15690.97"/>
  </r>
  <r>
    <n v="100003304"/>
    <s v="Harry"/>
    <s v="Watson"/>
    <x v="0"/>
    <x v="38"/>
    <x v="0"/>
    <s v="Other"/>
    <x v="268"/>
    <n v="82847.05"/>
  </r>
  <r>
    <n v="200003305"/>
    <s v="Melanie"/>
    <s v="Baker"/>
    <x v="1"/>
    <x v="34"/>
    <x v="3"/>
    <s v="Other"/>
    <x v="268"/>
    <n v="6176.99"/>
  </r>
  <r>
    <n v="200003306"/>
    <s v="Sam"/>
    <s v="Roberts"/>
    <x v="0"/>
    <x v="22"/>
    <x v="3"/>
    <s v="Other"/>
    <x v="268"/>
    <n v="33575.800000000003"/>
  </r>
  <r>
    <n v="100003307"/>
    <s v="Jasmine"/>
    <s v="Howard"/>
    <x v="1"/>
    <x v="27"/>
    <x v="0"/>
    <s v="Other"/>
    <x v="269"/>
    <n v="36319.75"/>
  </r>
  <r>
    <n v="100003308"/>
    <s v="Brian"/>
    <s v="Langdon"/>
    <x v="0"/>
    <x v="13"/>
    <x v="0"/>
    <s v="White Collar"/>
    <x v="269"/>
    <n v="20544.55"/>
  </r>
  <r>
    <n v="100003309"/>
    <s v="Felicity"/>
    <s v="Ball"/>
    <x v="1"/>
    <x v="32"/>
    <x v="0"/>
    <s v="White Collar"/>
    <x v="269"/>
    <n v="16111.39"/>
  </r>
  <r>
    <n v="100003310"/>
    <s v="Ruth"/>
    <s v="Baker"/>
    <x v="1"/>
    <x v="38"/>
    <x v="0"/>
    <s v="White Collar"/>
    <x v="269"/>
    <n v="59252.91"/>
  </r>
  <r>
    <n v="100003311"/>
    <s v="Robert"/>
    <s v="Anderson"/>
    <x v="0"/>
    <x v="32"/>
    <x v="0"/>
    <s v="White Collar"/>
    <x v="269"/>
    <n v="45425.57"/>
  </r>
  <r>
    <n v="100003312"/>
    <s v="Madeleine"/>
    <s v="Clarkson"/>
    <x v="1"/>
    <x v="3"/>
    <x v="0"/>
    <s v="White Collar"/>
    <x v="269"/>
    <n v="47291.75"/>
  </r>
  <r>
    <n v="100003313"/>
    <s v="Molly"/>
    <s v="Langdon"/>
    <x v="1"/>
    <x v="5"/>
    <x v="0"/>
    <s v="White Collar"/>
    <x v="269"/>
    <n v="27937.26"/>
  </r>
  <r>
    <n v="100003314"/>
    <s v="Alexander"/>
    <s v="Newman"/>
    <x v="0"/>
    <x v="3"/>
    <x v="0"/>
    <s v="Other"/>
    <x v="269"/>
    <n v="677.88"/>
  </r>
  <r>
    <n v="100003315"/>
    <s v="Amanda"/>
    <s v="Poole"/>
    <x v="1"/>
    <x v="30"/>
    <x v="0"/>
    <s v="White Collar"/>
    <x v="269"/>
    <n v="39324.22"/>
  </r>
  <r>
    <n v="100003316"/>
    <s v="Katherine"/>
    <s v="Davidson"/>
    <x v="1"/>
    <x v="5"/>
    <x v="0"/>
    <s v="Other"/>
    <x v="269"/>
    <n v="52474.35"/>
  </r>
  <r>
    <n v="100003317"/>
    <s v="Christian"/>
    <s v="Bailey"/>
    <x v="0"/>
    <x v="16"/>
    <x v="0"/>
    <s v="White Collar"/>
    <x v="269"/>
    <n v="64153.64"/>
  </r>
  <r>
    <n v="200003318"/>
    <s v="David"/>
    <s v="Mackenzie"/>
    <x v="0"/>
    <x v="19"/>
    <x v="3"/>
    <s v="Other"/>
    <x v="269"/>
    <n v="57632.39"/>
  </r>
  <r>
    <n v="300003319"/>
    <s v="Gordon"/>
    <s v="Slater"/>
    <x v="0"/>
    <x v="26"/>
    <x v="2"/>
    <s v="White Collar"/>
    <x v="269"/>
    <n v="25219.7"/>
  </r>
  <r>
    <n v="300003320"/>
    <s v="Keith"/>
    <s v="Jones"/>
    <x v="0"/>
    <x v="24"/>
    <x v="2"/>
    <s v="White Collar"/>
    <x v="269"/>
    <n v="7897.23"/>
  </r>
  <r>
    <n v="400003321"/>
    <s v="Molly"/>
    <s v="Forsyth"/>
    <x v="1"/>
    <x v="24"/>
    <x v="1"/>
    <s v="White Collar"/>
    <x v="269"/>
    <n v="31618.560000000001"/>
  </r>
  <r>
    <n v="100003322"/>
    <s v="Dominic"/>
    <s v="Cornish"/>
    <x v="0"/>
    <x v="28"/>
    <x v="0"/>
    <s v="White Collar"/>
    <x v="270"/>
    <n v="12302.28"/>
  </r>
  <r>
    <n v="100003323"/>
    <s v="Diana"/>
    <s v="Mackay"/>
    <x v="1"/>
    <x v="3"/>
    <x v="0"/>
    <s v="Other"/>
    <x v="270"/>
    <n v="62279.58"/>
  </r>
  <r>
    <n v="100003324"/>
    <s v="Claire"/>
    <s v="Buckland"/>
    <x v="1"/>
    <x v="22"/>
    <x v="0"/>
    <s v="Other"/>
    <x v="270"/>
    <n v="28586.34"/>
  </r>
  <r>
    <n v="100003325"/>
    <s v="Joanne"/>
    <s v="Slater"/>
    <x v="1"/>
    <x v="22"/>
    <x v="0"/>
    <s v="Blue Collar"/>
    <x v="270"/>
    <n v="43833.84"/>
  </r>
  <r>
    <n v="100003326"/>
    <s v="Megan"/>
    <s v="Skinner"/>
    <x v="1"/>
    <x v="22"/>
    <x v="0"/>
    <s v="Other"/>
    <x v="270"/>
    <n v="30158.68"/>
  </r>
  <r>
    <n v="100003327"/>
    <s v="Madeleine"/>
    <s v="Fraser"/>
    <x v="1"/>
    <x v="12"/>
    <x v="0"/>
    <s v="White Collar"/>
    <x v="270"/>
    <n v="28128.35"/>
  </r>
  <r>
    <n v="100003328"/>
    <s v="John"/>
    <s v="Poole"/>
    <x v="0"/>
    <x v="19"/>
    <x v="0"/>
    <s v="White Collar"/>
    <x v="270"/>
    <n v="17454.849999999999"/>
  </r>
  <r>
    <n v="100003329"/>
    <s v="Jan"/>
    <s v="Alsop"/>
    <x v="1"/>
    <x v="3"/>
    <x v="0"/>
    <s v="White Collar"/>
    <x v="270"/>
    <n v="68573.19"/>
  </r>
  <r>
    <n v="100003330"/>
    <s v="Gabrielle"/>
    <s v="Berry"/>
    <x v="1"/>
    <x v="9"/>
    <x v="0"/>
    <s v="Other"/>
    <x v="270"/>
    <n v="52970.78"/>
  </r>
  <r>
    <n v="100003331"/>
    <s v="Leonard"/>
    <s v="May"/>
    <x v="0"/>
    <x v="31"/>
    <x v="0"/>
    <s v="Other"/>
    <x v="270"/>
    <n v="25768.74"/>
  </r>
  <r>
    <n v="100003332"/>
    <s v="Owen"/>
    <s v="Clark"/>
    <x v="0"/>
    <x v="0"/>
    <x v="0"/>
    <s v="White Collar"/>
    <x v="270"/>
    <n v="88147.69"/>
  </r>
  <r>
    <n v="100003333"/>
    <s v="Jason"/>
    <s v="Kerr"/>
    <x v="0"/>
    <x v="14"/>
    <x v="0"/>
    <s v="Blue Collar"/>
    <x v="270"/>
    <n v="125213.72"/>
  </r>
  <r>
    <n v="100003334"/>
    <s v="Thomas"/>
    <s v="Kerr"/>
    <x v="0"/>
    <x v="10"/>
    <x v="0"/>
    <s v="White Collar"/>
    <x v="270"/>
    <n v="55146.36"/>
  </r>
  <r>
    <n v="100003335"/>
    <s v="Anne"/>
    <s v="Wilkins"/>
    <x v="1"/>
    <x v="5"/>
    <x v="0"/>
    <s v="White Collar"/>
    <x v="270"/>
    <n v="43545.03"/>
  </r>
  <r>
    <n v="200003336"/>
    <s v="Kevin"/>
    <s v="Stewart"/>
    <x v="0"/>
    <x v="27"/>
    <x v="3"/>
    <s v="Other"/>
    <x v="270"/>
    <n v="37425.230000000003"/>
  </r>
  <r>
    <n v="200003337"/>
    <s v="Joanne"/>
    <s v="Churchill"/>
    <x v="1"/>
    <x v="6"/>
    <x v="3"/>
    <s v="Other"/>
    <x v="270"/>
    <n v="35190.959999999999"/>
  </r>
  <r>
    <n v="200003338"/>
    <s v="Colin"/>
    <s v="Nolan"/>
    <x v="0"/>
    <x v="46"/>
    <x v="3"/>
    <s v="Blue Collar"/>
    <x v="270"/>
    <n v="52742.54"/>
  </r>
  <r>
    <n v="200003339"/>
    <s v="Colin"/>
    <s v="Fisher"/>
    <x v="0"/>
    <x v="18"/>
    <x v="3"/>
    <s v="Other"/>
    <x v="270"/>
    <n v="24030.97"/>
  </r>
  <r>
    <n v="200003340"/>
    <s v="Piers"/>
    <s v="Anderson"/>
    <x v="0"/>
    <x v="23"/>
    <x v="3"/>
    <s v="Blue Collar"/>
    <x v="270"/>
    <n v="64210.63"/>
  </r>
  <r>
    <n v="200003341"/>
    <s v="Blake"/>
    <s v="Morrison"/>
    <x v="0"/>
    <x v="2"/>
    <x v="3"/>
    <s v="Blue Collar"/>
    <x v="270"/>
    <n v="99396.23"/>
  </r>
  <r>
    <n v="300003342"/>
    <s v="Chloe"/>
    <s v="Reid"/>
    <x v="1"/>
    <x v="38"/>
    <x v="2"/>
    <s v="White Collar"/>
    <x v="270"/>
    <n v="30366.240000000002"/>
  </r>
  <r>
    <n v="300003343"/>
    <s v="Felicity"/>
    <s v="Turner"/>
    <x v="1"/>
    <x v="22"/>
    <x v="2"/>
    <s v="White Collar"/>
    <x v="270"/>
    <n v="4012.37"/>
  </r>
  <r>
    <n v="300003344"/>
    <s v="Molly"/>
    <s v="Simpson"/>
    <x v="1"/>
    <x v="22"/>
    <x v="2"/>
    <s v="White Collar"/>
    <x v="270"/>
    <n v="39380.29"/>
  </r>
  <r>
    <n v="100003345"/>
    <s v="Colin"/>
    <s v="Dyer"/>
    <x v="0"/>
    <x v="4"/>
    <x v="0"/>
    <s v="White Collar"/>
    <x v="271"/>
    <n v="30231.47"/>
  </r>
  <r>
    <n v="100003346"/>
    <s v="Katherine"/>
    <s v="McDonald"/>
    <x v="1"/>
    <x v="14"/>
    <x v="0"/>
    <s v="White Collar"/>
    <x v="271"/>
    <n v="51295.71"/>
  </r>
  <r>
    <n v="100003347"/>
    <s v="Jake"/>
    <s v="Gibson"/>
    <x v="0"/>
    <x v="11"/>
    <x v="0"/>
    <s v="White Collar"/>
    <x v="271"/>
    <n v="2111.5100000000002"/>
  </r>
  <r>
    <n v="100003348"/>
    <s v="Nathan"/>
    <s v="Roberts"/>
    <x v="0"/>
    <x v="9"/>
    <x v="0"/>
    <s v="White Collar"/>
    <x v="271"/>
    <n v="66914.25"/>
  </r>
  <r>
    <n v="100003349"/>
    <s v="Olivia"/>
    <s v="Coleman"/>
    <x v="1"/>
    <x v="16"/>
    <x v="0"/>
    <s v="Blue Collar"/>
    <x v="271"/>
    <n v="52991.99"/>
  </r>
  <r>
    <n v="100003350"/>
    <s v="Matt"/>
    <s v="Forsyth"/>
    <x v="0"/>
    <x v="1"/>
    <x v="0"/>
    <s v="Blue Collar"/>
    <x v="271"/>
    <n v="47988.11"/>
  </r>
  <r>
    <n v="200003351"/>
    <s v="Carolyn"/>
    <s v="Manning"/>
    <x v="1"/>
    <x v="41"/>
    <x v="3"/>
    <s v="White Collar"/>
    <x v="271"/>
    <n v="21953.02"/>
  </r>
  <r>
    <n v="200003352"/>
    <s v="Jack"/>
    <s v="Scott"/>
    <x v="0"/>
    <x v="32"/>
    <x v="3"/>
    <s v="Blue Collar"/>
    <x v="271"/>
    <n v="33234.660000000003"/>
  </r>
  <r>
    <n v="200003353"/>
    <s v="Kevin"/>
    <s v="Quinn"/>
    <x v="0"/>
    <x v="18"/>
    <x v="3"/>
    <s v="Blue Collar"/>
    <x v="271"/>
    <n v="59957.08"/>
  </r>
  <r>
    <n v="200003354"/>
    <s v="Thomas"/>
    <s v="Langdon"/>
    <x v="0"/>
    <x v="6"/>
    <x v="3"/>
    <s v="Blue Collar"/>
    <x v="271"/>
    <n v="28118.54"/>
  </r>
  <r>
    <n v="300003355"/>
    <s v="Melanie"/>
    <s v="Metcalfe"/>
    <x v="1"/>
    <x v="28"/>
    <x v="2"/>
    <s v="White Collar"/>
    <x v="271"/>
    <n v="3985.97"/>
  </r>
  <r>
    <n v="300003356"/>
    <s v="Jonathan"/>
    <s v="Parr"/>
    <x v="0"/>
    <x v="8"/>
    <x v="2"/>
    <s v="White Collar"/>
    <x v="271"/>
    <n v="44017.46"/>
  </r>
  <r>
    <n v="300003357"/>
    <s v="Jonathan"/>
    <s v="Payne"/>
    <x v="0"/>
    <x v="12"/>
    <x v="2"/>
    <s v="Blue Collar"/>
    <x v="271"/>
    <n v="89727.27"/>
  </r>
  <r>
    <n v="100003358"/>
    <s v="Melanie"/>
    <s v="Rees"/>
    <x v="1"/>
    <x v="12"/>
    <x v="0"/>
    <s v="White Collar"/>
    <x v="272"/>
    <n v="9356.5"/>
  </r>
  <r>
    <n v="100003359"/>
    <s v="Amanda"/>
    <s v="MacLeod"/>
    <x v="1"/>
    <x v="26"/>
    <x v="0"/>
    <s v="Blue Collar"/>
    <x v="272"/>
    <n v="87500.9"/>
  </r>
  <r>
    <n v="100003360"/>
    <s v="Boris"/>
    <s v="Cameron"/>
    <x v="0"/>
    <x v="3"/>
    <x v="0"/>
    <s v="White Collar"/>
    <x v="272"/>
    <n v="19806.11"/>
  </r>
  <r>
    <n v="100003361"/>
    <s v="Boris"/>
    <s v="May"/>
    <x v="0"/>
    <x v="1"/>
    <x v="0"/>
    <s v="White Collar"/>
    <x v="272"/>
    <n v="3716.8"/>
  </r>
  <r>
    <n v="100003362"/>
    <s v="Wanda"/>
    <s v="Mills"/>
    <x v="1"/>
    <x v="34"/>
    <x v="0"/>
    <s v="Other"/>
    <x v="272"/>
    <n v="36293"/>
  </r>
  <r>
    <n v="100003363"/>
    <s v="Penelope"/>
    <s v="Henderson"/>
    <x v="1"/>
    <x v="8"/>
    <x v="0"/>
    <s v="White Collar"/>
    <x v="272"/>
    <n v="29129.11"/>
  </r>
  <r>
    <n v="100003364"/>
    <s v="Evan"/>
    <s v="Quinn"/>
    <x v="0"/>
    <x v="22"/>
    <x v="0"/>
    <s v="Blue Collar"/>
    <x v="272"/>
    <n v="37326.33"/>
  </r>
  <r>
    <n v="100003365"/>
    <s v="Rachel"/>
    <s v="Bailey"/>
    <x v="1"/>
    <x v="30"/>
    <x v="0"/>
    <s v="Other"/>
    <x v="272"/>
    <n v="29654.53"/>
  </r>
  <r>
    <n v="200003366"/>
    <s v="Nathan"/>
    <s v="Pullman"/>
    <x v="0"/>
    <x v="31"/>
    <x v="3"/>
    <s v="Other"/>
    <x v="272"/>
    <n v="28479.919999999998"/>
  </r>
  <r>
    <n v="200003367"/>
    <s v="Eric"/>
    <s v="Welch"/>
    <x v="0"/>
    <x v="28"/>
    <x v="3"/>
    <s v="Blue Collar"/>
    <x v="272"/>
    <n v="21736.04"/>
  </r>
  <r>
    <n v="300003368"/>
    <s v="Owen"/>
    <s v="Ferguson"/>
    <x v="0"/>
    <x v="38"/>
    <x v="2"/>
    <s v="Blue Collar"/>
    <x v="272"/>
    <n v="4820.9799999999996"/>
  </r>
  <r>
    <n v="300003369"/>
    <s v="Molly"/>
    <s v="Sharp"/>
    <x v="1"/>
    <x v="16"/>
    <x v="2"/>
    <s v="White Collar"/>
    <x v="272"/>
    <n v="54697.16"/>
  </r>
  <r>
    <n v="400003370"/>
    <s v="Jessica"/>
    <s v="Lyman"/>
    <x v="1"/>
    <x v="37"/>
    <x v="1"/>
    <s v="Other"/>
    <x v="272"/>
    <n v="82598.94"/>
  </r>
  <r>
    <n v="100003371"/>
    <s v="Gabrielle"/>
    <s v="Wilkins"/>
    <x v="1"/>
    <x v="10"/>
    <x v="0"/>
    <s v="White Collar"/>
    <x v="273"/>
    <n v="44607.05"/>
  </r>
  <r>
    <n v="100003372"/>
    <s v="Jan"/>
    <s v="MacDonald"/>
    <x v="1"/>
    <x v="8"/>
    <x v="0"/>
    <s v="White Collar"/>
    <x v="273"/>
    <n v="85695.41"/>
  </r>
  <r>
    <n v="100003373"/>
    <s v="Ruth"/>
    <s v="White"/>
    <x v="1"/>
    <x v="16"/>
    <x v="0"/>
    <s v="White Collar"/>
    <x v="273"/>
    <n v="4477.3599999999997"/>
  </r>
  <r>
    <n v="100003374"/>
    <s v="Jack"/>
    <s v="Alsop"/>
    <x v="0"/>
    <x v="8"/>
    <x v="0"/>
    <s v="Blue Collar"/>
    <x v="273"/>
    <n v="59160.59"/>
  </r>
  <r>
    <n v="100003375"/>
    <s v="Michelle"/>
    <s v="Ball"/>
    <x v="1"/>
    <x v="38"/>
    <x v="0"/>
    <s v="White Collar"/>
    <x v="273"/>
    <n v="28802.1"/>
  </r>
  <r>
    <n v="100003376"/>
    <s v="Simon"/>
    <s v="Turner"/>
    <x v="0"/>
    <x v="20"/>
    <x v="0"/>
    <s v="Other"/>
    <x v="273"/>
    <n v="75357.919999999998"/>
  </r>
  <r>
    <n v="100003377"/>
    <s v="Jessica"/>
    <s v="Peake"/>
    <x v="1"/>
    <x v="30"/>
    <x v="0"/>
    <s v="Other"/>
    <x v="273"/>
    <n v="11738.7"/>
  </r>
  <r>
    <n v="100003378"/>
    <s v="Cameron"/>
    <s v="Robertson"/>
    <x v="0"/>
    <x v="13"/>
    <x v="0"/>
    <s v="Blue Collar"/>
    <x v="273"/>
    <n v="16251.57"/>
  </r>
  <r>
    <n v="100003379"/>
    <s v="Zoe"/>
    <s v="Wright"/>
    <x v="1"/>
    <x v="1"/>
    <x v="0"/>
    <s v="White Collar"/>
    <x v="273"/>
    <n v="61576"/>
  </r>
  <r>
    <n v="100003380"/>
    <s v="Victor"/>
    <s v="Cameron"/>
    <x v="0"/>
    <x v="37"/>
    <x v="0"/>
    <s v="White Collar"/>
    <x v="273"/>
    <n v="11434.59"/>
  </r>
  <r>
    <n v="100003381"/>
    <s v="Julia"/>
    <s v="Churchill"/>
    <x v="1"/>
    <x v="36"/>
    <x v="0"/>
    <s v="Other"/>
    <x v="273"/>
    <n v="5434.22"/>
  </r>
  <r>
    <n v="100003382"/>
    <s v="Lauren"/>
    <s v="Young"/>
    <x v="1"/>
    <x v="16"/>
    <x v="0"/>
    <s v="White Collar"/>
    <x v="273"/>
    <n v="42914.080000000002"/>
  </r>
  <r>
    <n v="100003383"/>
    <s v="James"/>
    <s v="Clark"/>
    <x v="0"/>
    <x v="28"/>
    <x v="0"/>
    <s v="White Collar"/>
    <x v="273"/>
    <n v="6631.7"/>
  </r>
  <r>
    <n v="100003384"/>
    <s v="Simon"/>
    <s v="Black"/>
    <x v="0"/>
    <x v="28"/>
    <x v="0"/>
    <s v="Other"/>
    <x v="273"/>
    <n v="23372.89"/>
  </r>
  <r>
    <n v="100003385"/>
    <s v="Dominic"/>
    <s v="Oliver"/>
    <x v="0"/>
    <x v="3"/>
    <x v="0"/>
    <s v="White Collar"/>
    <x v="273"/>
    <n v="25583.200000000001"/>
  </r>
  <r>
    <n v="100003386"/>
    <s v="Sarah"/>
    <s v="Marshall"/>
    <x v="1"/>
    <x v="41"/>
    <x v="0"/>
    <s v="White Collar"/>
    <x v="273"/>
    <n v="21593.57"/>
  </r>
  <r>
    <n v="100003387"/>
    <s v="Christopher"/>
    <s v="Randall"/>
    <x v="0"/>
    <x v="30"/>
    <x v="0"/>
    <s v="White Collar"/>
    <x v="273"/>
    <n v="14187.24"/>
  </r>
  <r>
    <n v="100003388"/>
    <s v="Lily"/>
    <s v="Butler"/>
    <x v="1"/>
    <x v="22"/>
    <x v="0"/>
    <s v="White Collar"/>
    <x v="273"/>
    <n v="5603.29"/>
  </r>
  <r>
    <n v="100003389"/>
    <s v="Sonia"/>
    <s v="Hunter"/>
    <x v="1"/>
    <x v="7"/>
    <x v="0"/>
    <s v="Blue Collar"/>
    <x v="273"/>
    <n v="40186.04"/>
  </r>
  <r>
    <n v="100003390"/>
    <s v="Wendy"/>
    <s v="Mills"/>
    <x v="1"/>
    <x v="22"/>
    <x v="0"/>
    <s v="Other"/>
    <x v="273"/>
    <n v="54691.63"/>
  </r>
  <r>
    <n v="100003391"/>
    <s v="Owen"/>
    <s v="Cornish"/>
    <x v="0"/>
    <x v="8"/>
    <x v="0"/>
    <s v="Blue Collar"/>
    <x v="273"/>
    <n v="71409.740000000005"/>
  </r>
  <r>
    <n v="100003392"/>
    <s v="Steven"/>
    <s v="Taylor"/>
    <x v="0"/>
    <x v="7"/>
    <x v="0"/>
    <s v="White Collar"/>
    <x v="273"/>
    <n v="21424.46"/>
  </r>
  <r>
    <n v="100003393"/>
    <s v="Dylan"/>
    <s v="Parr"/>
    <x v="0"/>
    <x v="4"/>
    <x v="0"/>
    <s v="White Collar"/>
    <x v="273"/>
    <n v="13849.75"/>
  </r>
  <r>
    <n v="100003394"/>
    <s v="Dylan"/>
    <s v="Berry"/>
    <x v="0"/>
    <x v="20"/>
    <x v="0"/>
    <s v="Blue Collar"/>
    <x v="273"/>
    <n v="24366.36"/>
  </r>
  <r>
    <n v="100003395"/>
    <s v="Austin"/>
    <s v="Lyman"/>
    <x v="0"/>
    <x v="7"/>
    <x v="0"/>
    <s v="Other"/>
    <x v="273"/>
    <n v="7716.87"/>
  </r>
  <r>
    <n v="100003396"/>
    <s v="Jacob"/>
    <s v="Dickens"/>
    <x v="0"/>
    <x v="31"/>
    <x v="0"/>
    <s v="White Collar"/>
    <x v="273"/>
    <n v="31063.54"/>
  </r>
  <r>
    <n v="100003397"/>
    <s v="Bella"/>
    <s v="Ellison"/>
    <x v="1"/>
    <x v="5"/>
    <x v="0"/>
    <s v="White Collar"/>
    <x v="273"/>
    <n v="279.01"/>
  </r>
  <r>
    <n v="100003398"/>
    <s v="Carl"/>
    <s v="Mills"/>
    <x v="0"/>
    <x v="16"/>
    <x v="0"/>
    <s v="White Collar"/>
    <x v="273"/>
    <n v="11104.86"/>
  </r>
  <r>
    <n v="200003399"/>
    <s v="Alison"/>
    <s v="Stewart"/>
    <x v="1"/>
    <x v="31"/>
    <x v="3"/>
    <s v="Other"/>
    <x v="273"/>
    <n v="59401.58"/>
  </r>
  <r>
    <n v="200003400"/>
    <s v="Piers"/>
    <s v="Short"/>
    <x v="0"/>
    <x v="17"/>
    <x v="3"/>
    <s v="Other"/>
    <x v="273"/>
    <n v="48602.47"/>
  </r>
  <r>
    <n v="200003401"/>
    <s v="Angela"/>
    <s v="Butler"/>
    <x v="1"/>
    <x v="28"/>
    <x v="3"/>
    <s v="Other"/>
    <x v="273"/>
    <n v="97165.43"/>
  </r>
  <r>
    <n v="200003402"/>
    <s v="Peter"/>
    <s v="Dickens"/>
    <x v="0"/>
    <x v="28"/>
    <x v="3"/>
    <s v="Blue Collar"/>
    <x v="273"/>
    <n v="22946.04"/>
  </r>
  <r>
    <n v="200003403"/>
    <s v="Irene"/>
    <s v="Wilson"/>
    <x v="1"/>
    <x v="33"/>
    <x v="3"/>
    <s v="Blue Collar"/>
    <x v="273"/>
    <n v="1409.52"/>
  </r>
  <r>
    <n v="200003404"/>
    <s v="Michael"/>
    <s v="Terry"/>
    <x v="0"/>
    <x v="25"/>
    <x v="3"/>
    <s v="Blue Collar"/>
    <x v="273"/>
    <n v="10315.469999999999"/>
  </r>
  <r>
    <n v="200003405"/>
    <s v="Sebastian"/>
    <s v="Paterson"/>
    <x v="0"/>
    <x v="42"/>
    <x v="3"/>
    <s v="Blue Collar"/>
    <x v="273"/>
    <n v="36409.199999999997"/>
  </r>
  <r>
    <n v="200003406"/>
    <s v="Benjamin"/>
    <s v="Hill"/>
    <x v="0"/>
    <x v="3"/>
    <x v="3"/>
    <s v="Blue Collar"/>
    <x v="273"/>
    <n v="21454.76"/>
  </r>
  <r>
    <n v="200003407"/>
    <s v="Sam"/>
    <s v="Wilson"/>
    <x v="0"/>
    <x v="33"/>
    <x v="3"/>
    <s v="Blue Collar"/>
    <x v="273"/>
    <n v="20606.21"/>
  </r>
  <r>
    <n v="300003408"/>
    <s v="Dan"/>
    <s v="Underwood"/>
    <x v="0"/>
    <x v="5"/>
    <x v="2"/>
    <s v="White Collar"/>
    <x v="273"/>
    <n v="7049.66"/>
  </r>
  <r>
    <n v="300003409"/>
    <s v="Dan"/>
    <s v="Vaughan"/>
    <x v="0"/>
    <x v="43"/>
    <x v="2"/>
    <s v="Blue Collar"/>
    <x v="273"/>
    <n v="77682"/>
  </r>
  <r>
    <n v="300003410"/>
    <s v="Leonard"/>
    <s v="Hodges"/>
    <x v="0"/>
    <x v="13"/>
    <x v="2"/>
    <s v="Blue Collar"/>
    <x v="273"/>
    <n v="14625.23"/>
  </r>
  <r>
    <n v="300003411"/>
    <s v="David"/>
    <s v="Terry"/>
    <x v="0"/>
    <x v="2"/>
    <x v="2"/>
    <s v="Other"/>
    <x v="273"/>
    <n v="38460.800000000003"/>
  </r>
  <r>
    <n v="300003412"/>
    <s v="Karen"/>
    <s v="Marshall"/>
    <x v="1"/>
    <x v="10"/>
    <x v="2"/>
    <s v="White Collar"/>
    <x v="273"/>
    <n v="48514.21"/>
  </r>
  <r>
    <n v="300003413"/>
    <s v="Christopher"/>
    <s v="Wright"/>
    <x v="0"/>
    <x v="31"/>
    <x v="2"/>
    <s v="White Collar"/>
    <x v="273"/>
    <n v="26502.42"/>
  </r>
  <r>
    <n v="300003414"/>
    <s v="Sue"/>
    <s v="Wallace"/>
    <x v="1"/>
    <x v="7"/>
    <x v="2"/>
    <s v="White Collar"/>
    <x v="273"/>
    <n v="71331.75"/>
  </r>
  <r>
    <n v="400003415"/>
    <s v="Amanda"/>
    <s v="Kerr"/>
    <x v="1"/>
    <x v="29"/>
    <x v="1"/>
    <s v="Other"/>
    <x v="273"/>
    <n v="2184.1799999999998"/>
  </r>
  <r>
    <n v="100003416"/>
    <s v="Heather"/>
    <s v="Quinn"/>
    <x v="1"/>
    <x v="22"/>
    <x v="0"/>
    <s v="White Collar"/>
    <x v="274"/>
    <n v="14505.16"/>
  </r>
  <r>
    <n v="100003417"/>
    <s v="Liam"/>
    <s v="Robertson"/>
    <x v="0"/>
    <x v="8"/>
    <x v="0"/>
    <s v="White Collar"/>
    <x v="274"/>
    <n v="43621.9"/>
  </r>
  <r>
    <n v="100003418"/>
    <s v="Yvonne"/>
    <s v="Edmunds"/>
    <x v="1"/>
    <x v="14"/>
    <x v="0"/>
    <s v="Other"/>
    <x v="274"/>
    <n v="26478.35"/>
  </r>
  <r>
    <n v="100003419"/>
    <s v="Olivia"/>
    <s v="Duncan"/>
    <x v="1"/>
    <x v="3"/>
    <x v="0"/>
    <s v="White Collar"/>
    <x v="274"/>
    <n v="26094.22"/>
  </r>
  <r>
    <n v="100003420"/>
    <s v="Sally"/>
    <s v="Cornish"/>
    <x v="1"/>
    <x v="19"/>
    <x v="0"/>
    <s v="White Collar"/>
    <x v="274"/>
    <n v="26280.36"/>
  </r>
  <r>
    <n v="100003421"/>
    <s v="David"/>
    <s v="Clarkson"/>
    <x v="0"/>
    <x v="20"/>
    <x v="0"/>
    <s v="Other"/>
    <x v="274"/>
    <n v="81820.899999999994"/>
  </r>
  <r>
    <n v="100003422"/>
    <s v="Gabrielle"/>
    <s v="Turner"/>
    <x v="1"/>
    <x v="20"/>
    <x v="0"/>
    <s v="White Collar"/>
    <x v="274"/>
    <n v="44240.78"/>
  </r>
  <r>
    <n v="100003423"/>
    <s v="Leonard"/>
    <s v="Allan"/>
    <x v="0"/>
    <x v="3"/>
    <x v="0"/>
    <s v="White Collar"/>
    <x v="274"/>
    <n v="52696.94"/>
  </r>
  <r>
    <n v="200003424"/>
    <s v="Abigail"/>
    <s v="Blake"/>
    <x v="1"/>
    <x v="19"/>
    <x v="3"/>
    <s v="White Collar"/>
    <x v="274"/>
    <n v="39460.720000000001"/>
  </r>
  <r>
    <n v="200003425"/>
    <s v="Rachel"/>
    <s v="Allan"/>
    <x v="1"/>
    <x v="7"/>
    <x v="3"/>
    <s v="White Collar"/>
    <x v="274"/>
    <n v="422.94"/>
  </r>
  <r>
    <n v="200003426"/>
    <s v="Alan"/>
    <s v="Harris"/>
    <x v="0"/>
    <x v="27"/>
    <x v="3"/>
    <s v="Other"/>
    <x v="274"/>
    <n v="53354.74"/>
  </r>
  <r>
    <n v="200003427"/>
    <s v="Anthony"/>
    <s v="Mills"/>
    <x v="0"/>
    <x v="35"/>
    <x v="3"/>
    <s v="Other"/>
    <x v="274"/>
    <n v="32712.76"/>
  </r>
  <r>
    <n v="200003428"/>
    <s v="Dan"/>
    <s v="Morgan"/>
    <x v="0"/>
    <x v="33"/>
    <x v="3"/>
    <s v="Blue Collar"/>
    <x v="274"/>
    <n v="42862.41"/>
  </r>
  <r>
    <n v="300003429"/>
    <s v="Alison"/>
    <s v="Young"/>
    <x v="1"/>
    <x v="38"/>
    <x v="2"/>
    <s v="White Collar"/>
    <x v="274"/>
    <n v="3856.26"/>
  </r>
  <r>
    <n v="300003430"/>
    <s v="Caroline"/>
    <s v="Dyer"/>
    <x v="1"/>
    <x v="30"/>
    <x v="2"/>
    <s v="Blue Collar"/>
    <x v="274"/>
    <n v="23049.759999999998"/>
  </r>
  <r>
    <n v="300003431"/>
    <s v="Diane"/>
    <s v="Springer"/>
    <x v="1"/>
    <x v="11"/>
    <x v="2"/>
    <s v="Blue Collar"/>
    <x v="274"/>
    <n v="18858.689999999999"/>
  </r>
  <r>
    <n v="300003432"/>
    <s v="Jennifer"/>
    <s v="Randall"/>
    <x v="1"/>
    <x v="9"/>
    <x v="2"/>
    <s v="White Collar"/>
    <x v="274"/>
    <n v="42073.13"/>
  </r>
  <r>
    <n v="300003433"/>
    <s v="Sue"/>
    <s v="Randall"/>
    <x v="1"/>
    <x v="22"/>
    <x v="2"/>
    <s v="White Collar"/>
    <x v="274"/>
    <n v="92788.65"/>
  </r>
  <r>
    <n v="100003434"/>
    <s v="Sue"/>
    <s v="Gill"/>
    <x v="1"/>
    <x v="7"/>
    <x v="0"/>
    <s v="White Collar"/>
    <x v="275"/>
    <n v="12357.62"/>
  </r>
  <r>
    <n v="100003435"/>
    <s v="Phil"/>
    <s v="Berry"/>
    <x v="0"/>
    <x v="13"/>
    <x v="0"/>
    <s v="White Collar"/>
    <x v="275"/>
    <n v="17452.2"/>
  </r>
  <r>
    <n v="100003436"/>
    <s v="Julia"/>
    <s v="Underwood"/>
    <x v="1"/>
    <x v="12"/>
    <x v="0"/>
    <s v="Other"/>
    <x v="275"/>
    <n v="31377.37"/>
  </r>
  <r>
    <n v="100003437"/>
    <s v="Una"/>
    <s v="Ogden"/>
    <x v="1"/>
    <x v="11"/>
    <x v="0"/>
    <s v="Other"/>
    <x v="275"/>
    <n v="54218.79"/>
  </r>
  <r>
    <n v="100003438"/>
    <s v="Angela"/>
    <s v="Johnston"/>
    <x v="1"/>
    <x v="3"/>
    <x v="0"/>
    <s v="White Collar"/>
    <x v="275"/>
    <n v="72066.5"/>
  </r>
  <r>
    <n v="200003439"/>
    <s v="Phil"/>
    <s v="Mathis"/>
    <x v="0"/>
    <x v="41"/>
    <x v="3"/>
    <s v="Other"/>
    <x v="275"/>
    <n v="71935.8"/>
  </r>
  <r>
    <n v="200003440"/>
    <s v="Owen"/>
    <s v="Fisher"/>
    <x v="0"/>
    <x v="33"/>
    <x v="3"/>
    <s v="Blue Collar"/>
    <x v="275"/>
    <n v="23509.64"/>
  </r>
  <r>
    <n v="200003441"/>
    <s v="William"/>
    <s v="Harris"/>
    <x v="0"/>
    <x v="8"/>
    <x v="3"/>
    <s v="Blue Collar"/>
    <x v="275"/>
    <n v="29640.92"/>
  </r>
  <r>
    <n v="300003442"/>
    <s v="Stewart"/>
    <s v="Marshall"/>
    <x v="0"/>
    <x v="1"/>
    <x v="2"/>
    <s v="Other"/>
    <x v="275"/>
    <n v="43520.9"/>
  </r>
  <r>
    <n v="400003443"/>
    <s v="Abigail"/>
    <s v="MacLeod"/>
    <x v="1"/>
    <x v="0"/>
    <x v="1"/>
    <s v="Blue Collar"/>
    <x v="275"/>
    <n v="51615.61"/>
  </r>
  <r>
    <n v="100003444"/>
    <s v="Colin"/>
    <s v="Cornish"/>
    <x v="0"/>
    <x v="20"/>
    <x v="0"/>
    <s v="White Collar"/>
    <x v="276"/>
    <n v="77624.38"/>
  </r>
  <r>
    <n v="100003445"/>
    <s v="Kimberly"/>
    <s v="Dickens"/>
    <x v="1"/>
    <x v="12"/>
    <x v="0"/>
    <s v="White Collar"/>
    <x v="276"/>
    <n v="50507.35"/>
  </r>
  <r>
    <n v="100003446"/>
    <s v="Faith"/>
    <s v="Glover"/>
    <x v="1"/>
    <x v="43"/>
    <x v="0"/>
    <s v="White Collar"/>
    <x v="276"/>
    <n v="93603.839999999997"/>
  </r>
  <r>
    <n v="100003447"/>
    <s v="Yvonne"/>
    <s v="Morrison"/>
    <x v="1"/>
    <x v="1"/>
    <x v="0"/>
    <s v="White Collar"/>
    <x v="276"/>
    <n v="5871.86"/>
  </r>
  <r>
    <n v="100003448"/>
    <s v="Lucas"/>
    <s v="Abraham"/>
    <x v="0"/>
    <x v="13"/>
    <x v="0"/>
    <s v="White Collar"/>
    <x v="276"/>
    <n v="5178.59"/>
  </r>
  <r>
    <n v="100003449"/>
    <s v="Andrea"/>
    <s v="Welch"/>
    <x v="1"/>
    <x v="10"/>
    <x v="0"/>
    <s v="White Collar"/>
    <x v="276"/>
    <n v="40554.67"/>
  </r>
  <r>
    <n v="100003450"/>
    <s v="Carl"/>
    <s v="Fraser"/>
    <x v="0"/>
    <x v="22"/>
    <x v="0"/>
    <s v="White Collar"/>
    <x v="276"/>
    <n v="181680.99"/>
  </r>
  <r>
    <n v="100003451"/>
    <s v="Benjamin"/>
    <s v="MacDonald"/>
    <x v="0"/>
    <x v="12"/>
    <x v="0"/>
    <s v="White Collar"/>
    <x v="276"/>
    <n v="30265.69"/>
  </r>
  <r>
    <n v="100003452"/>
    <s v="Edward"/>
    <s v="Allan"/>
    <x v="0"/>
    <x v="9"/>
    <x v="0"/>
    <s v="Blue Collar"/>
    <x v="276"/>
    <n v="30954.9"/>
  </r>
  <r>
    <n v="100003453"/>
    <s v="Chloe"/>
    <s v="Davies"/>
    <x v="1"/>
    <x v="12"/>
    <x v="0"/>
    <s v="Other"/>
    <x v="276"/>
    <n v="70684.350000000006"/>
  </r>
  <r>
    <n v="100003454"/>
    <s v="Felicity"/>
    <s v="James"/>
    <x v="1"/>
    <x v="3"/>
    <x v="0"/>
    <s v="White Collar"/>
    <x v="276"/>
    <n v="98044.81"/>
  </r>
  <r>
    <n v="100003455"/>
    <s v="Julia"/>
    <s v="Mills"/>
    <x v="1"/>
    <x v="10"/>
    <x v="0"/>
    <s v="White Collar"/>
    <x v="276"/>
    <n v="112000.36"/>
  </r>
  <r>
    <n v="100003456"/>
    <s v="Owen"/>
    <s v="Edmunds"/>
    <x v="0"/>
    <x v="4"/>
    <x v="0"/>
    <s v="Blue Collar"/>
    <x v="276"/>
    <n v="20076.79"/>
  </r>
  <r>
    <n v="100003457"/>
    <s v="Anna"/>
    <s v="Mathis"/>
    <x v="1"/>
    <x v="11"/>
    <x v="0"/>
    <s v="White Collar"/>
    <x v="276"/>
    <n v="97846.35"/>
  </r>
  <r>
    <n v="100003458"/>
    <s v="Claire"/>
    <s v="Bond"/>
    <x v="1"/>
    <x v="34"/>
    <x v="0"/>
    <s v="White Collar"/>
    <x v="276"/>
    <n v="41909.74"/>
  </r>
  <r>
    <n v="200003459"/>
    <s v="Diana"/>
    <s v="Nash"/>
    <x v="1"/>
    <x v="18"/>
    <x v="3"/>
    <s v="White Collar"/>
    <x v="276"/>
    <n v="67876.94"/>
  </r>
  <r>
    <n v="200003460"/>
    <s v="Leonard"/>
    <s v="Cameron"/>
    <x v="0"/>
    <x v="35"/>
    <x v="3"/>
    <s v="Other"/>
    <x v="276"/>
    <n v="4573.26"/>
  </r>
  <r>
    <n v="200003461"/>
    <s v="Claire"/>
    <s v="Edmunds"/>
    <x v="1"/>
    <x v="39"/>
    <x v="3"/>
    <s v="Other"/>
    <x v="276"/>
    <n v="4111.03"/>
  </r>
  <r>
    <n v="200003462"/>
    <s v="Gavin"/>
    <s v="Welch"/>
    <x v="0"/>
    <x v="31"/>
    <x v="3"/>
    <s v="White Collar"/>
    <x v="276"/>
    <n v="38971.83"/>
  </r>
  <r>
    <n v="200003463"/>
    <s v="Luke"/>
    <s v="Black"/>
    <x v="0"/>
    <x v="25"/>
    <x v="3"/>
    <s v="Other"/>
    <x v="276"/>
    <n v="71307.31"/>
  </r>
  <r>
    <n v="200003464"/>
    <s v="Megan"/>
    <s v="Peters"/>
    <x v="1"/>
    <x v="15"/>
    <x v="3"/>
    <s v="Other"/>
    <x v="276"/>
    <n v="77504.67"/>
  </r>
  <r>
    <n v="300003465"/>
    <s v="Wanda"/>
    <s v="Tucker"/>
    <x v="1"/>
    <x v="8"/>
    <x v="2"/>
    <s v="White Collar"/>
    <x v="276"/>
    <n v="17189.689999999999"/>
  </r>
  <r>
    <n v="300003466"/>
    <s v="Zoe"/>
    <s v="Randall"/>
    <x v="1"/>
    <x v="31"/>
    <x v="2"/>
    <s v="Other"/>
    <x v="276"/>
    <n v="44752.01"/>
  </r>
  <r>
    <n v="300003467"/>
    <s v="Fiona"/>
    <s v="Powell"/>
    <x v="1"/>
    <x v="13"/>
    <x v="2"/>
    <s v="White Collar"/>
    <x v="276"/>
    <n v="6052.52"/>
  </r>
  <r>
    <n v="300003468"/>
    <s v="Stewart"/>
    <s v="Johnston"/>
    <x v="0"/>
    <x v="16"/>
    <x v="2"/>
    <s v="Blue Collar"/>
    <x v="276"/>
    <n v="77.459999999999994"/>
  </r>
  <r>
    <n v="300003469"/>
    <s v="Rebecca"/>
    <s v="Vaughan"/>
    <x v="1"/>
    <x v="14"/>
    <x v="2"/>
    <s v="White Collar"/>
    <x v="276"/>
    <n v="24898.45"/>
  </r>
  <r>
    <n v="300003470"/>
    <s v="Anna"/>
    <s v="Reid"/>
    <x v="1"/>
    <x v="16"/>
    <x v="2"/>
    <s v="White Collar"/>
    <x v="276"/>
    <n v="11632.48"/>
  </r>
  <r>
    <n v="300003471"/>
    <s v="Wendy"/>
    <s v="Martin"/>
    <x v="1"/>
    <x v="37"/>
    <x v="2"/>
    <s v="White Collar"/>
    <x v="276"/>
    <n v="68569.210000000006"/>
  </r>
  <r>
    <n v="400003472"/>
    <s v="Dorothy"/>
    <s v="Bell"/>
    <x v="1"/>
    <x v="1"/>
    <x v="1"/>
    <s v="Blue Collar"/>
    <x v="276"/>
    <n v="15263.47"/>
  </r>
  <r>
    <n v="100003473"/>
    <s v="Joanne"/>
    <s v="Henderson"/>
    <x v="1"/>
    <x v="8"/>
    <x v="0"/>
    <s v="White Collar"/>
    <x v="277"/>
    <n v="45276.800000000003"/>
  </r>
  <r>
    <n v="100003474"/>
    <s v="William"/>
    <s v="Russell"/>
    <x v="0"/>
    <x v="34"/>
    <x v="0"/>
    <s v="White Collar"/>
    <x v="277"/>
    <n v="40200.6"/>
  </r>
  <r>
    <n v="100003475"/>
    <s v="Fiona"/>
    <s v="Ferguson"/>
    <x v="1"/>
    <x v="7"/>
    <x v="0"/>
    <s v="White Collar"/>
    <x v="277"/>
    <n v="12547.19"/>
  </r>
  <r>
    <n v="200003476"/>
    <s v="Deirdre"/>
    <s v="Morgan"/>
    <x v="1"/>
    <x v="8"/>
    <x v="3"/>
    <s v="Other"/>
    <x v="277"/>
    <n v="9013.24"/>
  </r>
  <r>
    <n v="200003477"/>
    <s v="Julia"/>
    <s v="Roberts"/>
    <x v="1"/>
    <x v="2"/>
    <x v="3"/>
    <s v="Other"/>
    <x v="277"/>
    <n v="27886.21"/>
  </r>
  <r>
    <n v="200003478"/>
    <s v="Leonard"/>
    <s v="Ince"/>
    <x v="0"/>
    <x v="32"/>
    <x v="3"/>
    <s v="Blue Collar"/>
    <x v="277"/>
    <n v="53739.25"/>
  </r>
  <r>
    <n v="300003479"/>
    <s v="Ella"/>
    <s v="Henderson"/>
    <x v="1"/>
    <x v="11"/>
    <x v="2"/>
    <s v="White Collar"/>
    <x v="277"/>
    <n v="17649.52"/>
  </r>
  <r>
    <n v="300003480"/>
    <s v="Piers"/>
    <s v="Wright"/>
    <x v="0"/>
    <x v="31"/>
    <x v="2"/>
    <s v="White Collar"/>
    <x v="277"/>
    <n v="103404.37"/>
  </r>
  <r>
    <n v="100003481"/>
    <s v="Penelope"/>
    <s v="Ellison"/>
    <x v="1"/>
    <x v="38"/>
    <x v="0"/>
    <s v="White Collar"/>
    <x v="278"/>
    <n v="104030.29"/>
  </r>
  <r>
    <n v="100003482"/>
    <s v="Nicola"/>
    <s v="Tucker"/>
    <x v="1"/>
    <x v="1"/>
    <x v="0"/>
    <s v="White Collar"/>
    <x v="278"/>
    <n v="60071.77"/>
  </r>
  <r>
    <n v="100003483"/>
    <s v="Molly"/>
    <s v="Campbell"/>
    <x v="1"/>
    <x v="8"/>
    <x v="0"/>
    <s v="White Collar"/>
    <x v="278"/>
    <n v="24501"/>
  </r>
  <r>
    <n v="100003484"/>
    <s v="Amanda"/>
    <s v="Parsons"/>
    <x v="1"/>
    <x v="7"/>
    <x v="0"/>
    <s v="White Collar"/>
    <x v="278"/>
    <n v="20517.2"/>
  </r>
  <r>
    <n v="100003485"/>
    <s v="Edward"/>
    <s v="Lawrence"/>
    <x v="0"/>
    <x v="0"/>
    <x v="0"/>
    <s v="White Collar"/>
    <x v="278"/>
    <n v="35057.97"/>
  </r>
  <r>
    <n v="100003486"/>
    <s v="Una"/>
    <s v="McLean"/>
    <x v="1"/>
    <x v="9"/>
    <x v="0"/>
    <s v="White Collar"/>
    <x v="278"/>
    <n v="48099.01"/>
  </r>
  <r>
    <n v="100003487"/>
    <s v="Rose"/>
    <s v="Parsons"/>
    <x v="1"/>
    <x v="31"/>
    <x v="0"/>
    <s v="Other"/>
    <x v="278"/>
    <n v="11121.96"/>
  </r>
  <r>
    <n v="100003488"/>
    <s v="Molly"/>
    <s v="MacLeod"/>
    <x v="1"/>
    <x v="31"/>
    <x v="0"/>
    <s v="Other"/>
    <x v="278"/>
    <n v="71313.5"/>
  </r>
  <r>
    <n v="100003489"/>
    <s v="Stewart"/>
    <s v="Hughes"/>
    <x v="0"/>
    <x v="7"/>
    <x v="0"/>
    <s v="White Collar"/>
    <x v="278"/>
    <n v="7593.12"/>
  </r>
  <r>
    <n v="100003490"/>
    <s v="Thomas"/>
    <s v="Rutherford"/>
    <x v="0"/>
    <x v="30"/>
    <x v="0"/>
    <s v="Blue Collar"/>
    <x v="278"/>
    <n v="41898.47"/>
  </r>
  <r>
    <n v="100003491"/>
    <s v="Michael"/>
    <s v="Bell"/>
    <x v="0"/>
    <x v="14"/>
    <x v="0"/>
    <s v="Blue Collar"/>
    <x v="278"/>
    <n v="23034.44"/>
  </r>
  <r>
    <n v="200003492"/>
    <s v="Isaac"/>
    <s v="Springer"/>
    <x v="0"/>
    <x v="40"/>
    <x v="3"/>
    <s v="Other"/>
    <x v="278"/>
    <n v="87348.99"/>
  </r>
  <r>
    <n v="200003493"/>
    <s v="Jane"/>
    <s v="Quinn"/>
    <x v="1"/>
    <x v="27"/>
    <x v="3"/>
    <s v="White Collar"/>
    <x v="278"/>
    <n v="8313.2999999999993"/>
  </r>
  <r>
    <n v="200003494"/>
    <s v="Jason"/>
    <s v="Hemmings"/>
    <x v="0"/>
    <x v="6"/>
    <x v="3"/>
    <s v="Blue Collar"/>
    <x v="278"/>
    <n v="5703.79"/>
  </r>
  <r>
    <n v="200003495"/>
    <s v="Jake"/>
    <s v="Abraham"/>
    <x v="0"/>
    <x v="41"/>
    <x v="3"/>
    <s v="Other"/>
    <x v="278"/>
    <n v="34664"/>
  </r>
  <r>
    <n v="200003496"/>
    <s v="Owen"/>
    <s v="Rampling"/>
    <x v="0"/>
    <x v="32"/>
    <x v="3"/>
    <s v="Blue Collar"/>
    <x v="278"/>
    <n v="30216.11"/>
  </r>
  <r>
    <n v="300003497"/>
    <s v="Rebecca"/>
    <s v="Howard"/>
    <x v="1"/>
    <x v="5"/>
    <x v="2"/>
    <s v="Blue Collar"/>
    <x v="278"/>
    <n v="96.26"/>
  </r>
  <r>
    <n v="100003498"/>
    <s v="Nicola"/>
    <s v="King"/>
    <x v="1"/>
    <x v="12"/>
    <x v="0"/>
    <s v="White Collar"/>
    <x v="279"/>
    <n v="625.07000000000005"/>
  </r>
  <r>
    <n v="100003499"/>
    <s v="Diane"/>
    <s v="Rutherford"/>
    <x v="1"/>
    <x v="1"/>
    <x v="0"/>
    <s v="Other"/>
    <x v="279"/>
    <n v="39040.730000000003"/>
  </r>
  <r>
    <n v="100003500"/>
    <s v="Peter"/>
    <s v="Mackay"/>
    <x v="0"/>
    <x v="30"/>
    <x v="0"/>
    <s v="White Collar"/>
    <x v="279"/>
    <n v="135545.59"/>
  </r>
  <r>
    <n v="100003501"/>
    <s v="Alan"/>
    <s v="Wright"/>
    <x v="0"/>
    <x v="1"/>
    <x v="0"/>
    <s v="Other"/>
    <x v="279"/>
    <n v="133630.5"/>
  </r>
  <r>
    <n v="100003502"/>
    <s v="Faith"/>
    <s v="Carr"/>
    <x v="1"/>
    <x v="25"/>
    <x v="0"/>
    <s v="White Collar"/>
    <x v="279"/>
    <n v="72613.539999999994"/>
  </r>
  <r>
    <n v="100003503"/>
    <s v="Abigail"/>
    <s v="Abraham"/>
    <x v="1"/>
    <x v="6"/>
    <x v="0"/>
    <s v="White Collar"/>
    <x v="279"/>
    <n v="35410.35"/>
  </r>
  <r>
    <n v="100003504"/>
    <s v="Carolyn"/>
    <s v="Nolan"/>
    <x v="1"/>
    <x v="30"/>
    <x v="0"/>
    <s v="White Collar"/>
    <x v="279"/>
    <n v="53584.67"/>
  </r>
  <r>
    <n v="100003505"/>
    <s v="Brandon"/>
    <s v="Butler"/>
    <x v="0"/>
    <x v="13"/>
    <x v="0"/>
    <s v="White Collar"/>
    <x v="279"/>
    <n v="919.95"/>
  </r>
  <r>
    <n v="100003506"/>
    <s v="Jennifer"/>
    <s v="Turner"/>
    <x v="1"/>
    <x v="16"/>
    <x v="0"/>
    <s v="White Collar"/>
    <x v="279"/>
    <n v="121591.95"/>
  </r>
  <r>
    <n v="100003507"/>
    <s v="Dominic"/>
    <s v="Scott"/>
    <x v="0"/>
    <x v="30"/>
    <x v="0"/>
    <s v="White Collar"/>
    <x v="279"/>
    <n v="50618.79"/>
  </r>
  <r>
    <n v="100003508"/>
    <s v="Penelope"/>
    <s v="Harris"/>
    <x v="1"/>
    <x v="8"/>
    <x v="0"/>
    <s v="Blue Collar"/>
    <x v="279"/>
    <n v="34017.93"/>
  </r>
  <r>
    <n v="100003509"/>
    <s v="Kylie"/>
    <s v="Payne"/>
    <x v="1"/>
    <x v="9"/>
    <x v="0"/>
    <s v="White Collar"/>
    <x v="279"/>
    <n v="18739.169999999998"/>
  </r>
  <r>
    <n v="100003510"/>
    <s v="Peter"/>
    <s v="King"/>
    <x v="0"/>
    <x v="43"/>
    <x v="0"/>
    <s v="Other"/>
    <x v="279"/>
    <n v="18231.91"/>
  </r>
  <r>
    <n v="100003511"/>
    <s v="Yvonne"/>
    <s v="Grant"/>
    <x v="1"/>
    <x v="9"/>
    <x v="0"/>
    <s v="White Collar"/>
    <x v="279"/>
    <n v="47276.63"/>
  </r>
  <r>
    <n v="100003512"/>
    <s v="Joseph"/>
    <s v="Young"/>
    <x v="0"/>
    <x v="7"/>
    <x v="0"/>
    <s v="Blue Collar"/>
    <x v="279"/>
    <n v="48962.02"/>
  </r>
  <r>
    <n v="100003513"/>
    <s v="Bernadette"/>
    <s v="Black"/>
    <x v="1"/>
    <x v="3"/>
    <x v="0"/>
    <s v="White Collar"/>
    <x v="279"/>
    <n v="32135.05"/>
  </r>
  <r>
    <n v="100003514"/>
    <s v="Nathan"/>
    <s v="Dowd"/>
    <x v="0"/>
    <x v="13"/>
    <x v="0"/>
    <s v="Other"/>
    <x v="279"/>
    <n v="51754.080000000002"/>
  </r>
  <r>
    <n v="100003515"/>
    <s v="Victor"/>
    <s v="Allan"/>
    <x v="0"/>
    <x v="20"/>
    <x v="0"/>
    <s v="Blue Collar"/>
    <x v="279"/>
    <n v="2046.02"/>
  </r>
  <r>
    <n v="100003516"/>
    <s v="Boris"/>
    <s v="Powell"/>
    <x v="0"/>
    <x v="1"/>
    <x v="0"/>
    <s v="White Collar"/>
    <x v="279"/>
    <n v="43370.71"/>
  </r>
  <r>
    <n v="100003517"/>
    <s v="William"/>
    <s v="Sutherland"/>
    <x v="0"/>
    <x v="7"/>
    <x v="0"/>
    <s v="White Collar"/>
    <x v="279"/>
    <n v="9165.84"/>
  </r>
  <r>
    <n v="100003518"/>
    <s v="Audrey"/>
    <s v="Morgan"/>
    <x v="1"/>
    <x v="38"/>
    <x v="0"/>
    <s v="White Collar"/>
    <x v="279"/>
    <n v="36852.629999999997"/>
  </r>
  <r>
    <n v="100003519"/>
    <s v="Victoria"/>
    <s v="May"/>
    <x v="1"/>
    <x v="20"/>
    <x v="0"/>
    <s v="White Collar"/>
    <x v="279"/>
    <n v="56604.06"/>
  </r>
  <r>
    <n v="100003520"/>
    <s v="Irene"/>
    <s v="Burgess"/>
    <x v="1"/>
    <x v="38"/>
    <x v="0"/>
    <s v="Blue Collar"/>
    <x v="279"/>
    <n v="31878.71"/>
  </r>
  <r>
    <n v="200003521"/>
    <s v="Isaac"/>
    <s v="Langdon"/>
    <x v="0"/>
    <x v="35"/>
    <x v="3"/>
    <s v="Blue Collar"/>
    <x v="279"/>
    <n v="8142.18"/>
  </r>
  <r>
    <n v="200003522"/>
    <s v="John"/>
    <s v="Rees"/>
    <x v="0"/>
    <x v="17"/>
    <x v="3"/>
    <s v="White Collar"/>
    <x v="279"/>
    <n v="105810.79"/>
  </r>
  <r>
    <n v="200003523"/>
    <s v="Keith"/>
    <s v="Poole"/>
    <x v="0"/>
    <x v="28"/>
    <x v="3"/>
    <s v="Blue Collar"/>
    <x v="279"/>
    <n v="5520.69"/>
  </r>
  <r>
    <n v="200003524"/>
    <s v="Dominic"/>
    <s v="Taylor"/>
    <x v="0"/>
    <x v="8"/>
    <x v="3"/>
    <s v="Other"/>
    <x v="279"/>
    <n v="35698.04"/>
  </r>
  <r>
    <n v="200003525"/>
    <s v="Blake"/>
    <s v="North"/>
    <x v="0"/>
    <x v="41"/>
    <x v="3"/>
    <s v="Blue Collar"/>
    <x v="279"/>
    <n v="1473.57"/>
  </r>
  <r>
    <n v="200003526"/>
    <s v="Ava"/>
    <s v="Jones"/>
    <x v="1"/>
    <x v="17"/>
    <x v="3"/>
    <s v="Other"/>
    <x v="279"/>
    <n v="61901.62"/>
  </r>
  <r>
    <n v="200003527"/>
    <s v="Amanda"/>
    <s v="Bower"/>
    <x v="1"/>
    <x v="27"/>
    <x v="3"/>
    <s v="Other"/>
    <x v="279"/>
    <n v="36741.01"/>
  </r>
  <r>
    <n v="200003528"/>
    <s v="Yvonne"/>
    <s v="Ellison"/>
    <x v="1"/>
    <x v="16"/>
    <x v="3"/>
    <s v="Other"/>
    <x v="279"/>
    <n v="10473.35"/>
  </r>
  <r>
    <n v="200003529"/>
    <s v="Sue"/>
    <s v="Underwood"/>
    <x v="1"/>
    <x v="3"/>
    <x v="3"/>
    <s v="Other"/>
    <x v="279"/>
    <n v="37920.839999999997"/>
  </r>
  <r>
    <n v="200003530"/>
    <s v="Dylan"/>
    <s v="Clark"/>
    <x v="0"/>
    <x v="24"/>
    <x v="3"/>
    <s v="Blue Collar"/>
    <x v="279"/>
    <n v="73359.100000000006"/>
  </r>
  <r>
    <n v="200003531"/>
    <s v="Jacob"/>
    <s v="Paterson"/>
    <x v="0"/>
    <x v="2"/>
    <x v="3"/>
    <s v="Blue Collar"/>
    <x v="279"/>
    <n v="61806.36"/>
  </r>
  <r>
    <n v="200003532"/>
    <s v="Olivia"/>
    <s v="Baker"/>
    <x v="1"/>
    <x v="28"/>
    <x v="3"/>
    <s v="Other"/>
    <x v="279"/>
    <n v="34391.300000000003"/>
  </r>
  <r>
    <n v="200003533"/>
    <s v="Steven"/>
    <s v="Ince"/>
    <x v="0"/>
    <x v="19"/>
    <x v="3"/>
    <s v="White Collar"/>
    <x v="279"/>
    <n v="30166.99"/>
  </r>
  <r>
    <n v="300003534"/>
    <s v="Audrey"/>
    <s v="Thomson"/>
    <x v="1"/>
    <x v="43"/>
    <x v="2"/>
    <s v="White Collar"/>
    <x v="279"/>
    <n v="5557.32"/>
  </r>
  <r>
    <n v="300003535"/>
    <s v="Stewart"/>
    <s v="Metcalfe"/>
    <x v="0"/>
    <x v="4"/>
    <x v="2"/>
    <s v="Blue Collar"/>
    <x v="279"/>
    <n v="48829.47"/>
  </r>
  <r>
    <n v="300003536"/>
    <s v="Joe"/>
    <s v="Alsop"/>
    <x v="0"/>
    <x v="5"/>
    <x v="2"/>
    <s v="Blue Collar"/>
    <x v="279"/>
    <n v="42827"/>
  </r>
  <r>
    <n v="100003537"/>
    <s v="Rebecca"/>
    <s v="Lyman"/>
    <x v="1"/>
    <x v="9"/>
    <x v="0"/>
    <s v="Other"/>
    <x v="280"/>
    <n v="26011.48"/>
  </r>
  <r>
    <n v="100003538"/>
    <s v="Stewart"/>
    <s v="Anderson"/>
    <x v="0"/>
    <x v="14"/>
    <x v="0"/>
    <s v="White Collar"/>
    <x v="280"/>
    <n v="8679.67"/>
  </r>
  <r>
    <n v="100003539"/>
    <s v="Stewart"/>
    <s v="Langdon"/>
    <x v="0"/>
    <x v="10"/>
    <x v="0"/>
    <s v="White Collar"/>
    <x v="280"/>
    <n v="38806.910000000003"/>
  </r>
  <r>
    <n v="200003540"/>
    <s v="Nathan"/>
    <s v="Ogden"/>
    <x v="0"/>
    <x v="40"/>
    <x v="3"/>
    <s v="Blue Collar"/>
    <x v="280"/>
    <n v="5042.5200000000004"/>
  </r>
  <r>
    <n v="200003541"/>
    <s v="Julian"/>
    <s v="Burgess"/>
    <x v="0"/>
    <x v="14"/>
    <x v="3"/>
    <s v="Other"/>
    <x v="280"/>
    <n v="61009.63"/>
  </r>
  <r>
    <n v="200003542"/>
    <s v="Harry"/>
    <s v="Sharp"/>
    <x v="0"/>
    <x v="22"/>
    <x v="3"/>
    <s v="Blue Collar"/>
    <x v="280"/>
    <n v="37041.11"/>
  </r>
  <r>
    <n v="200003543"/>
    <s v="Christian"/>
    <s v="Pullman"/>
    <x v="0"/>
    <x v="19"/>
    <x v="3"/>
    <s v="Other"/>
    <x v="280"/>
    <n v="78992.92"/>
  </r>
  <r>
    <n v="200003544"/>
    <s v="Kevin"/>
    <s v="Harris"/>
    <x v="0"/>
    <x v="40"/>
    <x v="3"/>
    <s v="Blue Collar"/>
    <x v="280"/>
    <n v="46060.29"/>
  </r>
  <r>
    <n v="200003545"/>
    <s v="Joan"/>
    <s v="Avery"/>
    <x v="1"/>
    <x v="16"/>
    <x v="3"/>
    <s v="White Collar"/>
    <x v="280"/>
    <n v="4833.0200000000004"/>
  </r>
  <r>
    <n v="200003546"/>
    <s v="Gavin"/>
    <s v="Duncan"/>
    <x v="0"/>
    <x v="39"/>
    <x v="3"/>
    <s v="Other"/>
    <x v="280"/>
    <n v="6887.34"/>
  </r>
  <r>
    <n v="200003547"/>
    <s v="David"/>
    <s v="Hemmings"/>
    <x v="0"/>
    <x v="9"/>
    <x v="3"/>
    <s v="Blue Collar"/>
    <x v="280"/>
    <n v="43604.800000000003"/>
  </r>
  <r>
    <n v="200003548"/>
    <s v="Megan"/>
    <s v="Dyer"/>
    <x v="1"/>
    <x v="35"/>
    <x v="3"/>
    <s v="Other"/>
    <x v="280"/>
    <n v="58682.58"/>
  </r>
  <r>
    <n v="300003549"/>
    <s v="Felicity"/>
    <s v="Lawrence"/>
    <x v="1"/>
    <x v="31"/>
    <x v="2"/>
    <s v="Other"/>
    <x v="280"/>
    <n v="39986.1"/>
  </r>
  <r>
    <n v="100003550"/>
    <s v="Penelope"/>
    <s v="Chapman"/>
    <x v="1"/>
    <x v="9"/>
    <x v="0"/>
    <s v="White Collar"/>
    <x v="281"/>
    <n v="32141.32"/>
  </r>
  <r>
    <n v="100003551"/>
    <s v="Sonia"/>
    <s v="Slater"/>
    <x v="1"/>
    <x v="22"/>
    <x v="0"/>
    <s v="White Collar"/>
    <x v="281"/>
    <n v="23238.28"/>
  </r>
  <r>
    <n v="100003552"/>
    <s v="Chloe"/>
    <s v="Miller"/>
    <x v="1"/>
    <x v="12"/>
    <x v="0"/>
    <s v="White Collar"/>
    <x v="281"/>
    <n v="23052.1"/>
  </r>
  <r>
    <n v="100003553"/>
    <s v="Matt"/>
    <s v="North"/>
    <x v="0"/>
    <x v="1"/>
    <x v="0"/>
    <s v="White Collar"/>
    <x v="281"/>
    <n v="23744.57"/>
  </r>
  <r>
    <n v="100003554"/>
    <s v="Vanessa"/>
    <s v="Mathis"/>
    <x v="1"/>
    <x v="3"/>
    <x v="0"/>
    <s v="Other"/>
    <x v="281"/>
    <n v="44949.1"/>
  </r>
  <r>
    <n v="100003555"/>
    <s v="Amy"/>
    <s v="Lambert"/>
    <x v="1"/>
    <x v="9"/>
    <x v="0"/>
    <s v="Other"/>
    <x v="281"/>
    <n v="87234.69"/>
  </r>
  <r>
    <n v="100003556"/>
    <s v="Katherine"/>
    <s v="Quinn"/>
    <x v="1"/>
    <x v="12"/>
    <x v="0"/>
    <s v="White Collar"/>
    <x v="281"/>
    <n v="41867.19"/>
  </r>
  <r>
    <n v="100003557"/>
    <s v="John"/>
    <s v="Mackenzie"/>
    <x v="0"/>
    <x v="37"/>
    <x v="0"/>
    <s v="White Collar"/>
    <x v="281"/>
    <n v="52109.919999999998"/>
  </r>
  <r>
    <n v="100003558"/>
    <s v="Sam"/>
    <s v="Poole"/>
    <x v="0"/>
    <x v="1"/>
    <x v="0"/>
    <s v="White Collar"/>
    <x v="281"/>
    <n v="251.67"/>
  </r>
  <r>
    <n v="200003559"/>
    <s v="Phil"/>
    <s v="Powell"/>
    <x v="0"/>
    <x v="14"/>
    <x v="3"/>
    <s v="Blue Collar"/>
    <x v="281"/>
    <n v="12500.3"/>
  </r>
  <r>
    <n v="200003560"/>
    <s v="Yvonne"/>
    <s v="Davidson"/>
    <x v="1"/>
    <x v="8"/>
    <x v="3"/>
    <s v="Other"/>
    <x v="281"/>
    <n v="80857.570000000007"/>
  </r>
  <r>
    <n v="200003561"/>
    <s v="Stephen"/>
    <s v="McDonald"/>
    <x v="0"/>
    <x v="5"/>
    <x v="3"/>
    <s v="White Collar"/>
    <x v="281"/>
    <n v="31231.03"/>
  </r>
  <r>
    <n v="200003562"/>
    <s v="Leonard"/>
    <s v="Mackenzie"/>
    <x v="0"/>
    <x v="6"/>
    <x v="3"/>
    <s v="Blue Collar"/>
    <x v="281"/>
    <n v="11862.81"/>
  </r>
  <r>
    <n v="200003563"/>
    <s v="Andrew"/>
    <s v="Kerr"/>
    <x v="0"/>
    <x v="4"/>
    <x v="3"/>
    <s v="Other"/>
    <x v="281"/>
    <n v="48778.81"/>
  </r>
  <r>
    <n v="200003564"/>
    <s v="Ava"/>
    <s v="Piper"/>
    <x v="1"/>
    <x v="15"/>
    <x v="3"/>
    <s v="White Collar"/>
    <x v="281"/>
    <n v="22024"/>
  </r>
  <r>
    <n v="200003565"/>
    <s v="Tim"/>
    <s v="Graham"/>
    <x v="0"/>
    <x v="6"/>
    <x v="3"/>
    <s v="Other"/>
    <x v="281"/>
    <n v="21734.65"/>
  </r>
  <r>
    <n v="200003566"/>
    <s v="Amelia"/>
    <s v="Fraser"/>
    <x v="1"/>
    <x v="2"/>
    <x v="3"/>
    <s v="Other"/>
    <x v="281"/>
    <n v="22847.37"/>
  </r>
  <r>
    <n v="200003567"/>
    <s v="Evan"/>
    <s v="Mills"/>
    <x v="0"/>
    <x v="6"/>
    <x v="3"/>
    <s v="White Collar"/>
    <x v="281"/>
    <n v="81531.27"/>
  </r>
  <r>
    <n v="200003568"/>
    <s v="Stephanie"/>
    <s v="Cornish"/>
    <x v="1"/>
    <x v="16"/>
    <x v="3"/>
    <s v="Other"/>
    <x v="281"/>
    <n v="8910.56"/>
  </r>
  <r>
    <n v="300003569"/>
    <s v="Andrea"/>
    <s v="Sutherland"/>
    <x v="1"/>
    <x v="8"/>
    <x v="2"/>
    <s v="White Collar"/>
    <x v="281"/>
    <n v="27490.82"/>
  </r>
  <r>
    <n v="100003570"/>
    <s v="Matt"/>
    <s v="MacDonald"/>
    <x v="0"/>
    <x v="13"/>
    <x v="0"/>
    <s v="Other"/>
    <x v="282"/>
    <n v="20763.599999999999"/>
  </r>
  <r>
    <n v="100003571"/>
    <s v="Irene"/>
    <s v="Ross"/>
    <x v="1"/>
    <x v="9"/>
    <x v="0"/>
    <s v="Other"/>
    <x v="282"/>
    <n v="73177.7"/>
  </r>
  <r>
    <n v="100003572"/>
    <s v="Deirdre"/>
    <s v="Grant"/>
    <x v="1"/>
    <x v="3"/>
    <x v="0"/>
    <s v="White Collar"/>
    <x v="282"/>
    <n v="50282.25"/>
  </r>
  <r>
    <n v="100003573"/>
    <s v="Lisa"/>
    <s v="Manning"/>
    <x v="1"/>
    <x v="26"/>
    <x v="0"/>
    <s v="Blue Collar"/>
    <x v="282"/>
    <n v="37906.5"/>
  </r>
  <r>
    <n v="100003574"/>
    <s v="Kimberly"/>
    <s v="Blake"/>
    <x v="1"/>
    <x v="9"/>
    <x v="0"/>
    <s v="White Collar"/>
    <x v="282"/>
    <n v="50651.68"/>
  </r>
  <r>
    <n v="100003575"/>
    <s v="Charles"/>
    <s v="Alsop"/>
    <x v="0"/>
    <x v="21"/>
    <x v="0"/>
    <s v="Blue Collar"/>
    <x v="282"/>
    <n v="16466.560000000001"/>
  </r>
  <r>
    <n v="100003576"/>
    <s v="Samantha"/>
    <s v="Wilkins"/>
    <x v="1"/>
    <x v="24"/>
    <x v="0"/>
    <s v="White Collar"/>
    <x v="282"/>
    <n v="13854.47"/>
  </r>
  <r>
    <n v="100003577"/>
    <s v="Adrian"/>
    <s v="Tucker"/>
    <x v="0"/>
    <x v="7"/>
    <x v="0"/>
    <s v="Blue Collar"/>
    <x v="282"/>
    <n v="36003.1"/>
  </r>
  <r>
    <n v="200003578"/>
    <s v="Caroline"/>
    <s v="Stewart"/>
    <x v="1"/>
    <x v="22"/>
    <x v="3"/>
    <s v="Other"/>
    <x v="282"/>
    <n v="5897.92"/>
  </r>
  <r>
    <n v="200003579"/>
    <s v="Dan"/>
    <s v="Turner"/>
    <x v="0"/>
    <x v="6"/>
    <x v="3"/>
    <s v="Blue Collar"/>
    <x v="282"/>
    <n v="50224.02"/>
  </r>
  <r>
    <n v="200003580"/>
    <s v="Keith"/>
    <s v="Graham"/>
    <x v="0"/>
    <x v="33"/>
    <x v="3"/>
    <s v="Blue Collar"/>
    <x v="282"/>
    <n v="11242.54"/>
  </r>
  <r>
    <n v="200003581"/>
    <s v="Owen"/>
    <s v="Glover"/>
    <x v="0"/>
    <x v="35"/>
    <x v="3"/>
    <s v="Blue Collar"/>
    <x v="282"/>
    <n v="50865.75"/>
  </r>
  <r>
    <n v="200003582"/>
    <s v="Tim"/>
    <s v="Stewart"/>
    <x v="0"/>
    <x v="25"/>
    <x v="3"/>
    <s v="Blue Collar"/>
    <x v="282"/>
    <n v="1018.95"/>
  </r>
  <r>
    <n v="200003583"/>
    <s v="Richard"/>
    <s v="Bond"/>
    <x v="0"/>
    <x v="6"/>
    <x v="3"/>
    <s v="Other"/>
    <x v="282"/>
    <n v="65535.05"/>
  </r>
  <r>
    <n v="100003584"/>
    <s v="Deirdre"/>
    <s v="Underwood"/>
    <x v="1"/>
    <x v="12"/>
    <x v="0"/>
    <s v="White Collar"/>
    <x v="283"/>
    <n v="8942.9500000000007"/>
  </r>
  <r>
    <n v="100003585"/>
    <s v="Dominic"/>
    <s v="Manning"/>
    <x v="0"/>
    <x v="35"/>
    <x v="0"/>
    <s v="White Collar"/>
    <x v="283"/>
    <n v="36622.39"/>
  </r>
  <r>
    <n v="100003586"/>
    <s v="Molly"/>
    <s v="Brown"/>
    <x v="1"/>
    <x v="13"/>
    <x v="0"/>
    <s v="White Collar"/>
    <x v="283"/>
    <n v="82376.44"/>
  </r>
  <r>
    <n v="100003587"/>
    <s v="Ruth"/>
    <s v="Churchill"/>
    <x v="1"/>
    <x v="22"/>
    <x v="0"/>
    <s v="White Collar"/>
    <x v="283"/>
    <n v="9096.77"/>
  </r>
  <r>
    <n v="100003588"/>
    <s v="Gavin"/>
    <s v="Dickens"/>
    <x v="0"/>
    <x v="38"/>
    <x v="0"/>
    <s v="White Collar"/>
    <x v="283"/>
    <n v="18938.2"/>
  </r>
  <r>
    <n v="100003589"/>
    <s v="Andrea"/>
    <s v="Short"/>
    <x v="1"/>
    <x v="9"/>
    <x v="0"/>
    <s v="Blue Collar"/>
    <x v="283"/>
    <n v="114118.53"/>
  </r>
  <r>
    <n v="100003590"/>
    <s v="Mary"/>
    <s v="Ball"/>
    <x v="1"/>
    <x v="1"/>
    <x v="0"/>
    <s v="Blue Collar"/>
    <x v="283"/>
    <n v="55704.09"/>
  </r>
  <r>
    <n v="100003591"/>
    <s v="Carl"/>
    <s v="Ferguson"/>
    <x v="0"/>
    <x v="10"/>
    <x v="0"/>
    <s v="White Collar"/>
    <x v="283"/>
    <n v="14024.55"/>
  </r>
  <r>
    <n v="100003592"/>
    <s v="Carol"/>
    <s v="Manning"/>
    <x v="1"/>
    <x v="16"/>
    <x v="0"/>
    <s v="White Collar"/>
    <x v="283"/>
    <n v="82862.850000000006"/>
  </r>
  <r>
    <n v="100003593"/>
    <s v="Warren"/>
    <s v="Lee"/>
    <x v="0"/>
    <x v="13"/>
    <x v="0"/>
    <s v="White Collar"/>
    <x v="283"/>
    <n v="10247.129999999999"/>
  </r>
  <r>
    <n v="100003594"/>
    <s v="Joshua"/>
    <s v="Dyer"/>
    <x v="0"/>
    <x v="8"/>
    <x v="0"/>
    <s v="White Collar"/>
    <x v="283"/>
    <n v="71219.399999999994"/>
  </r>
  <r>
    <n v="100003595"/>
    <s v="Caroline"/>
    <s v="Bell"/>
    <x v="1"/>
    <x v="12"/>
    <x v="0"/>
    <s v="Blue Collar"/>
    <x v="283"/>
    <n v="72728.320000000007"/>
  </r>
  <r>
    <n v="100003596"/>
    <s v="Cameron"/>
    <s v="Watson"/>
    <x v="0"/>
    <x v="13"/>
    <x v="0"/>
    <s v="White Collar"/>
    <x v="283"/>
    <n v="24574.84"/>
  </r>
  <r>
    <n v="100003597"/>
    <s v="Bernadette"/>
    <s v="Kerr"/>
    <x v="1"/>
    <x v="14"/>
    <x v="0"/>
    <s v="White Collar"/>
    <x v="283"/>
    <n v="32122.47"/>
  </r>
  <r>
    <n v="100003598"/>
    <s v="Rose"/>
    <s v="Arnold"/>
    <x v="1"/>
    <x v="7"/>
    <x v="0"/>
    <s v="White Collar"/>
    <x v="283"/>
    <n v="15241.21"/>
  </r>
  <r>
    <n v="100003599"/>
    <s v="Sebastian"/>
    <s v="Davidson"/>
    <x v="0"/>
    <x v="21"/>
    <x v="0"/>
    <s v="White Collar"/>
    <x v="283"/>
    <n v="28355.66"/>
  </r>
  <r>
    <n v="100003600"/>
    <s v="Christopher"/>
    <s v="Clark"/>
    <x v="0"/>
    <x v="10"/>
    <x v="0"/>
    <s v="White Collar"/>
    <x v="283"/>
    <n v="15830.77"/>
  </r>
  <r>
    <n v="100003601"/>
    <s v="Gavin"/>
    <s v="May"/>
    <x v="0"/>
    <x v="7"/>
    <x v="0"/>
    <s v="White Collar"/>
    <x v="283"/>
    <n v="73297.039999999994"/>
  </r>
  <r>
    <n v="100003602"/>
    <s v="Alexander"/>
    <s v="Ferguson"/>
    <x v="0"/>
    <x v="24"/>
    <x v="0"/>
    <s v="Blue Collar"/>
    <x v="283"/>
    <n v="14601.99"/>
  </r>
  <r>
    <n v="100003603"/>
    <s v="John"/>
    <s v="Knox"/>
    <x v="0"/>
    <x v="9"/>
    <x v="0"/>
    <s v="White Collar"/>
    <x v="283"/>
    <n v="18220.43"/>
  </r>
  <r>
    <n v="200003604"/>
    <s v="Rebecca"/>
    <s v="Mathis"/>
    <x v="1"/>
    <x v="2"/>
    <x v="3"/>
    <s v="Other"/>
    <x v="283"/>
    <n v="43705.96"/>
  </r>
  <r>
    <n v="200003605"/>
    <s v="Fiona"/>
    <s v="Vaughan"/>
    <x v="1"/>
    <x v="25"/>
    <x v="3"/>
    <s v="Other"/>
    <x v="283"/>
    <n v="47764.94"/>
  </r>
  <r>
    <n v="200003606"/>
    <s v="Gordon"/>
    <s v="Walsh"/>
    <x v="0"/>
    <x v="46"/>
    <x v="3"/>
    <s v="Other"/>
    <x v="283"/>
    <n v="64373.74"/>
  </r>
  <r>
    <n v="200003607"/>
    <s v="Molly"/>
    <s v="Cameron"/>
    <x v="1"/>
    <x v="2"/>
    <x v="3"/>
    <s v="Other"/>
    <x v="283"/>
    <n v="79599.33"/>
  </r>
  <r>
    <n v="200003608"/>
    <s v="Angela"/>
    <s v="Sharp"/>
    <x v="1"/>
    <x v="40"/>
    <x v="3"/>
    <s v="White Collar"/>
    <x v="283"/>
    <n v="26794.48"/>
  </r>
  <r>
    <n v="200003609"/>
    <s v="Connor"/>
    <s v="Parr"/>
    <x v="0"/>
    <x v="10"/>
    <x v="3"/>
    <s v="Other"/>
    <x v="283"/>
    <n v="74775.98"/>
  </r>
  <r>
    <n v="200003610"/>
    <s v="Paul"/>
    <s v="Sharp"/>
    <x v="0"/>
    <x v="7"/>
    <x v="3"/>
    <s v="Blue Collar"/>
    <x v="283"/>
    <n v="45820.39"/>
  </r>
  <r>
    <n v="200003611"/>
    <s v="Madeleine"/>
    <s v="Forsyth"/>
    <x v="1"/>
    <x v="6"/>
    <x v="3"/>
    <s v="Other"/>
    <x v="283"/>
    <n v="63490.36"/>
  </r>
  <r>
    <n v="200003612"/>
    <s v="Hannah"/>
    <s v="Slater"/>
    <x v="1"/>
    <x v="39"/>
    <x v="3"/>
    <s v="Blue Collar"/>
    <x v="283"/>
    <n v="32792.43"/>
  </r>
  <r>
    <n v="100003613"/>
    <s v="Alexandra"/>
    <s v="Greene"/>
    <x v="1"/>
    <x v="1"/>
    <x v="0"/>
    <s v="White Collar"/>
    <x v="284"/>
    <n v="29587.31"/>
  </r>
  <r>
    <n v="100003614"/>
    <s v="Lillian"/>
    <s v="Walsh"/>
    <x v="1"/>
    <x v="8"/>
    <x v="0"/>
    <s v="White Collar"/>
    <x v="284"/>
    <n v="33307.35"/>
  </r>
  <r>
    <n v="100003615"/>
    <s v="Victor"/>
    <s v="Ball"/>
    <x v="0"/>
    <x v="12"/>
    <x v="0"/>
    <s v="White Collar"/>
    <x v="284"/>
    <n v="31628.04"/>
  </r>
  <r>
    <n v="100003616"/>
    <s v="John"/>
    <s v="Welch"/>
    <x v="0"/>
    <x v="16"/>
    <x v="0"/>
    <s v="White Collar"/>
    <x v="284"/>
    <n v="24913.78"/>
  </r>
  <r>
    <n v="200003617"/>
    <s v="Kevin"/>
    <s v="Knox"/>
    <x v="0"/>
    <x v="34"/>
    <x v="3"/>
    <s v="White Collar"/>
    <x v="284"/>
    <n v="89524.95"/>
  </r>
  <r>
    <n v="200003618"/>
    <s v="Lillian"/>
    <s v="Wilkins"/>
    <x v="1"/>
    <x v="25"/>
    <x v="3"/>
    <s v="Other"/>
    <x v="284"/>
    <n v="38447.9"/>
  </r>
  <r>
    <n v="200003619"/>
    <s v="Nicholas"/>
    <s v="Alsop"/>
    <x v="0"/>
    <x v="6"/>
    <x v="3"/>
    <s v="Other"/>
    <x v="284"/>
    <n v="43730.239999999998"/>
  </r>
  <r>
    <n v="200003620"/>
    <s v="Stewart"/>
    <s v="Sharp"/>
    <x v="0"/>
    <x v="31"/>
    <x v="3"/>
    <s v="Blue Collar"/>
    <x v="284"/>
    <n v="65358.53"/>
  </r>
  <r>
    <n v="100003621"/>
    <s v="Steven"/>
    <s v="MacLeod"/>
    <x v="0"/>
    <x v="38"/>
    <x v="0"/>
    <s v="Blue Collar"/>
    <x v="285"/>
    <n v="6747.52"/>
  </r>
  <r>
    <n v="100003622"/>
    <s v="Vanessa"/>
    <s v="McLean"/>
    <x v="1"/>
    <x v="21"/>
    <x v="0"/>
    <s v="White Collar"/>
    <x v="285"/>
    <n v="22897.58"/>
  </r>
  <r>
    <n v="200003623"/>
    <s v="Anne"/>
    <s v="Chapman"/>
    <x v="1"/>
    <x v="41"/>
    <x v="3"/>
    <s v="Other"/>
    <x v="285"/>
    <n v="43204.63"/>
  </r>
  <r>
    <n v="200003624"/>
    <s v="Harry"/>
    <s v="Mathis"/>
    <x v="0"/>
    <x v="6"/>
    <x v="3"/>
    <s v="White Collar"/>
    <x v="285"/>
    <n v="71225.87"/>
  </r>
  <r>
    <n v="200003625"/>
    <s v="Brian"/>
    <s v="Burgess"/>
    <x v="0"/>
    <x v="32"/>
    <x v="3"/>
    <s v="Blue Collar"/>
    <x v="285"/>
    <n v="29782.79"/>
  </r>
  <r>
    <n v="200003626"/>
    <s v="Isaac"/>
    <s v="Hamilton"/>
    <x v="0"/>
    <x v="17"/>
    <x v="3"/>
    <s v="Other"/>
    <x v="285"/>
    <n v="13622.87"/>
  </r>
  <r>
    <n v="100003627"/>
    <s v="Jason"/>
    <s v="Baker"/>
    <x v="0"/>
    <x v="5"/>
    <x v="0"/>
    <s v="White Collar"/>
    <x v="286"/>
    <n v="47550.080000000002"/>
  </r>
  <r>
    <n v="100003628"/>
    <s v="Jack"/>
    <s v="Walsh"/>
    <x v="0"/>
    <x v="7"/>
    <x v="0"/>
    <s v="White Collar"/>
    <x v="286"/>
    <n v="20091.28"/>
  </r>
  <r>
    <n v="100003629"/>
    <s v="Owen"/>
    <s v="Morrison"/>
    <x v="0"/>
    <x v="0"/>
    <x v="0"/>
    <s v="White Collar"/>
    <x v="286"/>
    <n v="22103.13"/>
  </r>
  <r>
    <n v="100003630"/>
    <s v="Joanne"/>
    <s v="Randall"/>
    <x v="1"/>
    <x v="13"/>
    <x v="0"/>
    <s v="White Collar"/>
    <x v="286"/>
    <n v="25012.17"/>
  </r>
  <r>
    <n v="100003631"/>
    <s v="Elizabeth"/>
    <s v="Tucker"/>
    <x v="1"/>
    <x v="32"/>
    <x v="0"/>
    <s v="White Collar"/>
    <x v="286"/>
    <n v="55352.18"/>
  </r>
  <r>
    <n v="100003632"/>
    <s v="Justin"/>
    <s v="Marshall"/>
    <x v="0"/>
    <x v="4"/>
    <x v="0"/>
    <s v="White Collar"/>
    <x v="286"/>
    <n v="27303.89"/>
  </r>
  <r>
    <n v="100003633"/>
    <s v="Dominic"/>
    <s v="Randall"/>
    <x v="0"/>
    <x v="6"/>
    <x v="0"/>
    <s v="White Collar"/>
    <x v="286"/>
    <n v="21250.29"/>
  </r>
  <r>
    <n v="100003634"/>
    <s v="Diane"/>
    <s v="Pullman"/>
    <x v="1"/>
    <x v="25"/>
    <x v="0"/>
    <s v="White Collar"/>
    <x v="286"/>
    <n v="34375.08"/>
  </r>
  <r>
    <n v="100003635"/>
    <s v="Grace"/>
    <s v="Rees"/>
    <x v="1"/>
    <x v="31"/>
    <x v="0"/>
    <s v="White Collar"/>
    <x v="286"/>
    <n v="49219.74"/>
  </r>
  <r>
    <n v="100003636"/>
    <s v="Anna"/>
    <s v="King"/>
    <x v="1"/>
    <x v="36"/>
    <x v="0"/>
    <s v="White Collar"/>
    <x v="286"/>
    <n v="44620.56"/>
  </r>
  <r>
    <n v="100003637"/>
    <s v="Fiona"/>
    <s v="Manning"/>
    <x v="1"/>
    <x v="13"/>
    <x v="0"/>
    <s v="White Collar"/>
    <x v="286"/>
    <n v="92983.44"/>
  </r>
  <r>
    <n v="100003638"/>
    <s v="Vanessa"/>
    <s v="Hunter"/>
    <x v="1"/>
    <x v="9"/>
    <x v="0"/>
    <s v="White Collar"/>
    <x v="286"/>
    <n v="10266.950000000001"/>
  </r>
  <r>
    <n v="100003639"/>
    <s v="Ryan"/>
    <s v="Sutherland"/>
    <x v="0"/>
    <x v="13"/>
    <x v="0"/>
    <s v="Other"/>
    <x v="286"/>
    <n v="55173.03"/>
  </r>
  <r>
    <n v="100003640"/>
    <s v="Adam"/>
    <s v="Short"/>
    <x v="0"/>
    <x v="22"/>
    <x v="0"/>
    <s v="Blue Collar"/>
    <x v="286"/>
    <n v="51009.01"/>
  </r>
  <r>
    <n v="100003641"/>
    <s v="Gordon"/>
    <s v="Hill"/>
    <x v="0"/>
    <x v="1"/>
    <x v="0"/>
    <s v="White Collar"/>
    <x v="286"/>
    <n v="41640.879999999997"/>
  </r>
  <r>
    <n v="100003642"/>
    <s v="Katherine"/>
    <s v="Dowd"/>
    <x v="1"/>
    <x v="21"/>
    <x v="0"/>
    <s v="Other"/>
    <x v="286"/>
    <n v="4212.3599999999997"/>
  </r>
  <r>
    <n v="100003643"/>
    <s v="Luke"/>
    <s v="Lawrence"/>
    <x v="0"/>
    <x v="24"/>
    <x v="0"/>
    <s v="White Collar"/>
    <x v="286"/>
    <n v="92610.22"/>
  </r>
  <r>
    <n v="100003644"/>
    <s v="Joanne"/>
    <s v="Davies"/>
    <x v="1"/>
    <x v="13"/>
    <x v="0"/>
    <s v="White Collar"/>
    <x v="286"/>
    <n v="29053.97"/>
  </r>
  <r>
    <n v="200003645"/>
    <s v="Adrian"/>
    <s v="Forsyth"/>
    <x v="0"/>
    <x v="17"/>
    <x v="3"/>
    <s v="Blue Collar"/>
    <x v="286"/>
    <n v="69036.02"/>
  </r>
  <r>
    <n v="200003646"/>
    <s v="Keith"/>
    <s v="Young"/>
    <x v="0"/>
    <x v="15"/>
    <x v="3"/>
    <s v="Other"/>
    <x v="286"/>
    <n v="28310.16"/>
  </r>
  <r>
    <n v="200003647"/>
    <s v="James"/>
    <s v="Wallace"/>
    <x v="0"/>
    <x v="28"/>
    <x v="3"/>
    <s v="Other"/>
    <x v="286"/>
    <n v="54547.24"/>
  </r>
  <r>
    <n v="200003648"/>
    <s v="Jason"/>
    <s v="Young"/>
    <x v="0"/>
    <x v="9"/>
    <x v="3"/>
    <s v="Other"/>
    <x v="286"/>
    <n v="9554.52"/>
  </r>
  <r>
    <n v="200003649"/>
    <s v="Lillian"/>
    <s v="Vaughan"/>
    <x v="1"/>
    <x v="27"/>
    <x v="3"/>
    <s v="Other"/>
    <x v="286"/>
    <n v="81863.360000000001"/>
  </r>
  <r>
    <n v="200003650"/>
    <s v="Thomas"/>
    <s v="Fraser"/>
    <x v="0"/>
    <x v="35"/>
    <x v="3"/>
    <s v="Blue Collar"/>
    <x v="286"/>
    <n v="5018.3100000000004"/>
  </r>
  <r>
    <n v="200003651"/>
    <s v="Blake"/>
    <s v="Jackson"/>
    <x v="0"/>
    <x v="42"/>
    <x v="3"/>
    <s v="Blue Collar"/>
    <x v="286"/>
    <n v="36281.440000000002"/>
  </r>
  <r>
    <n v="200003652"/>
    <s v="Kylie"/>
    <s v="Quinn"/>
    <x v="1"/>
    <x v="25"/>
    <x v="3"/>
    <s v="Other"/>
    <x v="286"/>
    <n v="49277"/>
  </r>
  <r>
    <n v="200003653"/>
    <s v="Connor"/>
    <s v="Gray"/>
    <x v="0"/>
    <x v="41"/>
    <x v="3"/>
    <s v="Blue Collar"/>
    <x v="286"/>
    <n v="108968.26"/>
  </r>
  <r>
    <n v="300003654"/>
    <s v="Melanie"/>
    <s v="Short"/>
    <x v="1"/>
    <x v="8"/>
    <x v="2"/>
    <s v="White Collar"/>
    <x v="286"/>
    <n v="9904.77"/>
  </r>
  <r>
    <n v="300003655"/>
    <s v="Faith"/>
    <s v="Parsons"/>
    <x v="1"/>
    <x v="16"/>
    <x v="2"/>
    <s v="Other"/>
    <x v="286"/>
    <n v="19485.71"/>
  </r>
  <r>
    <n v="300003656"/>
    <s v="Samantha"/>
    <s v="Edmunds"/>
    <x v="1"/>
    <x v="30"/>
    <x v="2"/>
    <s v="White Collar"/>
    <x v="286"/>
    <n v="9471.18"/>
  </r>
  <r>
    <n v="300003657"/>
    <s v="Emily"/>
    <s v="Miller"/>
    <x v="1"/>
    <x v="4"/>
    <x v="2"/>
    <s v="Other"/>
    <x v="286"/>
    <n v="94773.07"/>
  </r>
  <r>
    <n v="100003658"/>
    <s v="Ruth"/>
    <s v="MacDonald"/>
    <x v="1"/>
    <x v="22"/>
    <x v="0"/>
    <s v="White Collar"/>
    <x v="287"/>
    <n v="123357.17"/>
  </r>
  <r>
    <n v="100003659"/>
    <s v="Andrea"/>
    <s v="Wallace"/>
    <x v="1"/>
    <x v="31"/>
    <x v="0"/>
    <s v="Other"/>
    <x v="287"/>
    <n v="32865.620000000003"/>
  </r>
  <r>
    <n v="100003660"/>
    <s v="Jason"/>
    <s v="Coleman"/>
    <x v="0"/>
    <x v="11"/>
    <x v="0"/>
    <s v="Blue Collar"/>
    <x v="287"/>
    <n v="123346.44"/>
  </r>
  <r>
    <n v="200003661"/>
    <s v="Keith"/>
    <s v="Reid"/>
    <x v="0"/>
    <x v="37"/>
    <x v="3"/>
    <s v="Blue Collar"/>
    <x v="287"/>
    <n v="3715.81"/>
  </r>
  <r>
    <n v="200003662"/>
    <s v="Mary"/>
    <s v="Young"/>
    <x v="1"/>
    <x v="19"/>
    <x v="3"/>
    <s v="Other"/>
    <x v="287"/>
    <n v="67803.350000000006"/>
  </r>
  <r>
    <n v="200003663"/>
    <s v="Kevin"/>
    <s v="Hill"/>
    <x v="0"/>
    <x v="28"/>
    <x v="3"/>
    <s v="Blue Collar"/>
    <x v="287"/>
    <n v="11644.61"/>
  </r>
  <r>
    <n v="300003664"/>
    <s v="Victor"/>
    <s v="Lee"/>
    <x v="0"/>
    <x v="16"/>
    <x v="2"/>
    <s v="White Collar"/>
    <x v="287"/>
    <n v="17160.060000000001"/>
  </r>
  <r>
    <n v="100003665"/>
    <s v="Paul"/>
    <s v="Baker"/>
    <x v="0"/>
    <x v="2"/>
    <x v="0"/>
    <s v="White Collar"/>
    <x v="288"/>
    <n v="29931.26"/>
  </r>
  <r>
    <n v="100003666"/>
    <s v="Pippa"/>
    <s v="Lee"/>
    <x v="1"/>
    <x v="16"/>
    <x v="0"/>
    <s v="Other"/>
    <x v="288"/>
    <n v="18206.830000000002"/>
  </r>
  <r>
    <n v="100003667"/>
    <s v="Diane"/>
    <s v="Slater"/>
    <x v="1"/>
    <x v="8"/>
    <x v="0"/>
    <s v="White Collar"/>
    <x v="288"/>
    <n v="72596.02"/>
  </r>
  <r>
    <n v="100003668"/>
    <s v="Abigail"/>
    <s v="Smith"/>
    <x v="1"/>
    <x v="12"/>
    <x v="0"/>
    <s v="White Collar"/>
    <x v="288"/>
    <n v="14544.43"/>
  </r>
  <r>
    <n v="100003669"/>
    <s v="Pippa"/>
    <s v="Newman"/>
    <x v="1"/>
    <x v="12"/>
    <x v="0"/>
    <s v="White Collar"/>
    <x v="288"/>
    <n v="72042.13"/>
  </r>
  <r>
    <n v="100003670"/>
    <s v="Lisa"/>
    <s v="Black"/>
    <x v="1"/>
    <x v="14"/>
    <x v="0"/>
    <s v="White Collar"/>
    <x v="288"/>
    <n v="49587.199999999997"/>
  </r>
  <r>
    <n v="100003671"/>
    <s v="Melanie"/>
    <s v="Clark"/>
    <x v="1"/>
    <x v="3"/>
    <x v="0"/>
    <s v="Blue Collar"/>
    <x v="288"/>
    <n v="28086.32"/>
  </r>
  <r>
    <n v="100003672"/>
    <s v="Anna"/>
    <s v="Poole"/>
    <x v="1"/>
    <x v="11"/>
    <x v="0"/>
    <s v="Other"/>
    <x v="288"/>
    <n v="17946.830000000002"/>
  </r>
  <r>
    <n v="100003673"/>
    <s v="Natalie"/>
    <s v="Forsyth"/>
    <x v="1"/>
    <x v="1"/>
    <x v="0"/>
    <s v="White Collar"/>
    <x v="288"/>
    <n v="77383.45"/>
  </r>
  <r>
    <n v="200003674"/>
    <s v="Emily"/>
    <s v="Russell"/>
    <x v="1"/>
    <x v="41"/>
    <x v="3"/>
    <s v="Other"/>
    <x v="288"/>
    <n v="34767.58"/>
  </r>
  <r>
    <n v="200003675"/>
    <s v="Lucas"/>
    <s v="Wright"/>
    <x v="0"/>
    <x v="31"/>
    <x v="3"/>
    <s v="Blue Collar"/>
    <x v="288"/>
    <n v="60052.58"/>
  </r>
  <r>
    <n v="200003676"/>
    <s v="Christopher"/>
    <s v="Mitchell"/>
    <x v="0"/>
    <x v="40"/>
    <x v="3"/>
    <s v="Blue Collar"/>
    <x v="288"/>
    <n v="78221.89"/>
  </r>
  <r>
    <n v="200003677"/>
    <s v="Anthony"/>
    <s v="Lewis"/>
    <x v="0"/>
    <x v="47"/>
    <x v="3"/>
    <s v="Blue Collar"/>
    <x v="288"/>
    <n v="48456.480000000003"/>
  </r>
  <r>
    <n v="300003678"/>
    <s v="Edward"/>
    <s v="Scott"/>
    <x v="0"/>
    <x v="1"/>
    <x v="2"/>
    <s v="White Collar"/>
    <x v="288"/>
    <n v="25458.38"/>
  </r>
  <r>
    <n v="300003679"/>
    <s v="Andrea"/>
    <s v="Ross"/>
    <x v="1"/>
    <x v="10"/>
    <x v="2"/>
    <s v="Other"/>
    <x v="288"/>
    <n v="25974.49"/>
  </r>
  <r>
    <n v="100003680"/>
    <s v="Ruth"/>
    <s v="Rees"/>
    <x v="1"/>
    <x v="8"/>
    <x v="0"/>
    <s v="White Collar"/>
    <x v="289"/>
    <n v="22087.64"/>
  </r>
  <r>
    <n v="100003681"/>
    <s v="Leah"/>
    <s v="Roberts"/>
    <x v="1"/>
    <x v="22"/>
    <x v="0"/>
    <s v="Other"/>
    <x v="289"/>
    <n v="16482.84"/>
  </r>
  <r>
    <n v="100003682"/>
    <s v="David"/>
    <s v="Watson"/>
    <x v="0"/>
    <x v="38"/>
    <x v="0"/>
    <s v="White Collar"/>
    <x v="289"/>
    <n v="40037.599999999999"/>
  </r>
  <r>
    <n v="100003683"/>
    <s v="David"/>
    <s v="Rampling"/>
    <x v="0"/>
    <x v="7"/>
    <x v="0"/>
    <s v="White Collar"/>
    <x v="289"/>
    <n v="53759.34"/>
  </r>
  <r>
    <n v="100003684"/>
    <s v="Dan"/>
    <s v="Lawrence"/>
    <x v="0"/>
    <x v="12"/>
    <x v="0"/>
    <s v="Other"/>
    <x v="289"/>
    <n v="13698.63"/>
  </r>
  <r>
    <n v="100003685"/>
    <s v="Brian"/>
    <s v="Abraham"/>
    <x v="0"/>
    <x v="24"/>
    <x v="0"/>
    <s v="White Collar"/>
    <x v="289"/>
    <n v="77898.09"/>
  </r>
  <r>
    <n v="100003686"/>
    <s v="Audrey"/>
    <s v="Cameron"/>
    <x v="1"/>
    <x v="38"/>
    <x v="0"/>
    <s v="Blue Collar"/>
    <x v="289"/>
    <n v="16210.13"/>
  </r>
  <r>
    <n v="100003687"/>
    <s v="Ruth"/>
    <s v="Avery"/>
    <x v="1"/>
    <x v="7"/>
    <x v="0"/>
    <s v="White Collar"/>
    <x v="289"/>
    <n v="60116.4"/>
  </r>
  <r>
    <n v="100003688"/>
    <s v="Penelope"/>
    <s v="Anderson"/>
    <x v="1"/>
    <x v="13"/>
    <x v="0"/>
    <s v="Blue Collar"/>
    <x v="289"/>
    <n v="29943.33"/>
  </r>
  <r>
    <n v="100003689"/>
    <s v="Ryan"/>
    <s v="Oliver"/>
    <x v="0"/>
    <x v="12"/>
    <x v="0"/>
    <s v="White Collar"/>
    <x v="289"/>
    <n v="3629.45"/>
  </r>
  <r>
    <n v="100003690"/>
    <s v="Anne"/>
    <s v="Fraser"/>
    <x v="1"/>
    <x v="30"/>
    <x v="0"/>
    <s v="Blue Collar"/>
    <x v="289"/>
    <n v="18800.25"/>
  </r>
  <r>
    <n v="200003691"/>
    <s v="Una"/>
    <s v="McDonald"/>
    <x v="1"/>
    <x v="27"/>
    <x v="3"/>
    <s v="Other"/>
    <x v="289"/>
    <n v="47265.41"/>
  </r>
  <r>
    <n v="200003692"/>
    <s v="Edward"/>
    <s v="Pullman"/>
    <x v="0"/>
    <x v="17"/>
    <x v="3"/>
    <s v="White Collar"/>
    <x v="289"/>
    <n v="14788.77"/>
  </r>
  <r>
    <n v="200003693"/>
    <s v="Christopher"/>
    <s v="Churchill"/>
    <x v="0"/>
    <x v="14"/>
    <x v="3"/>
    <s v="Blue Collar"/>
    <x v="289"/>
    <n v="4368.71"/>
  </r>
  <r>
    <n v="200003694"/>
    <s v="Christopher"/>
    <s v="Graham"/>
    <x v="0"/>
    <x v="10"/>
    <x v="3"/>
    <s v="Blue Collar"/>
    <x v="289"/>
    <n v="37602.39"/>
  </r>
  <r>
    <n v="200003695"/>
    <s v="Dylan"/>
    <s v="Parr"/>
    <x v="0"/>
    <x v="25"/>
    <x v="3"/>
    <s v="Other"/>
    <x v="289"/>
    <n v="40878.43"/>
  </r>
  <r>
    <n v="200003696"/>
    <s v="Ian"/>
    <s v="Hamilton"/>
    <x v="0"/>
    <x v="6"/>
    <x v="3"/>
    <s v="Other"/>
    <x v="289"/>
    <n v="46551.519999999997"/>
  </r>
  <r>
    <n v="200003697"/>
    <s v="Adrian"/>
    <s v="Alsop"/>
    <x v="0"/>
    <x v="17"/>
    <x v="3"/>
    <s v="Blue Collar"/>
    <x v="289"/>
    <n v="19297.55"/>
  </r>
  <r>
    <n v="200003698"/>
    <s v="Harry"/>
    <s v="Martin"/>
    <x v="0"/>
    <x v="19"/>
    <x v="3"/>
    <s v="Blue Collar"/>
    <x v="289"/>
    <n v="20655.580000000002"/>
  </r>
  <r>
    <n v="200003699"/>
    <s v="Phil"/>
    <s v="Carr"/>
    <x v="0"/>
    <x v="6"/>
    <x v="3"/>
    <s v="Blue Collar"/>
    <x v="289"/>
    <n v="11035"/>
  </r>
  <r>
    <n v="200003700"/>
    <s v="Lucas"/>
    <s v="Cornish"/>
    <x v="0"/>
    <x v="41"/>
    <x v="3"/>
    <s v="Blue Collar"/>
    <x v="289"/>
    <n v="26905.37"/>
  </r>
  <r>
    <n v="200003701"/>
    <s v="Donna"/>
    <s v="Powell"/>
    <x v="1"/>
    <x v="27"/>
    <x v="3"/>
    <s v="Other"/>
    <x v="289"/>
    <n v="71809.45"/>
  </r>
  <r>
    <n v="200003702"/>
    <s v="Jake"/>
    <s v="Alsop"/>
    <x v="0"/>
    <x v="28"/>
    <x v="3"/>
    <s v="Other"/>
    <x v="289"/>
    <n v="37150.04"/>
  </r>
  <r>
    <n v="200003703"/>
    <s v="Deirdre"/>
    <s v="Mitchell"/>
    <x v="1"/>
    <x v="38"/>
    <x v="3"/>
    <s v="Other"/>
    <x v="289"/>
    <n v="33797.54"/>
  </r>
  <r>
    <n v="300003704"/>
    <s v="Liam"/>
    <s v="Paterson"/>
    <x v="0"/>
    <x v="22"/>
    <x v="2"/>
    <s v="Blue Collar"/>
    <x v="289"/>
    <n v="12738.86"/>
  </r>
  <r>
    <n v="300003705"/>
    <s v="Julia"/>
    <s v="Abraham"/>
    <x v="1"/>
    <x v="10"/>
    <x v="2"/>
    <s v="White Collar"/>
    <x v="289"/>
    <n v="3810.47"/>
  </r>
  <r>
    <n v="300003706"/>
    <s v="Gordon"/>
    <s v="Ross"/>
    <x v="0"/>
    <x v="1"/>
    <x v="2"/>
    <s v="Other"/>
    <x v="289"/>
    <n v="15746.62"/>
  </r>
  <r>
    <n v="300003707"/>
    <s v="Dominic"/>
    <s v="McLean"/>
    <x v="0"/>
    <x v="22"/>
    <x v="2"/>
    <s v="Other"/>
    <x v="289"/>
    <n v="104813.21"/>
  </r>
  <r>
    <n v="100003708"/>
    <s v="Yvonne"/>
    <s v="Hardacre"/>
    <x v="1"/>
    <x v="28"/>
    <x v="0"/>
    <s v="White Collar"/>
    <x v="290"/>
    <n v="64712.17"/>
  </r>
  <r>
    <n v="100003709"/>
    <s v="Matt"/>
    <s v="Hamilton"/>
    <x v="0"/>
    <x v="11"/>
    <x v="0"/>
    <s v="White Collar"/>
    <x v="290"/>
    <n v="25781.13"/>
  </r>
  <r>
    <n v="100003710"/>
    <s v="Sarah"/>
    <s v="Lawrence"/>
    <x v="1"/>
    <x v="20"/>
    <x v="0"/>
    <s v="Other"/>
    <x v="290"/>
    <n v="39374.75"/>
  </r>
  <r>
    <n v="100003711"/>
    <s v="Kimberly"/>
    <s v="Oliver"/>
    <x v="1"/>
    <x v="10"/>
    <x v="0"/>
    <s v="White Collar"/>
    <x v="290"/>
    <n v="27715.599999999999"/>
  </r>
  <r>
    <n v="100003712"/>
    <s v="Amelia"/>
    <s v="Arnold"/>
    <x v="1"/>
    <x v="16"/>
    <x v="0"/>
    <s v="White Collar"/>
    <x v="290"/>
    <n v="916.89"/>
  </r>
  <r>
    <n v="100003713"/>
    <s v="Yvonne"/>
    <s v="Mathis"/>
    <x v="1"/>
    <x v="22"/>
    <x v="0"/>
    <s v="White Collar"/>
    <x v="290"/>
    <n v="19857.59"/>
  </r>
  <r>
    <n v="100003714"/>
    <s v="William"/>
    <s v="Clark"/>
    <x v="0"/>
    <x v="38"/>
    <x v="0"/>
    <s v="White Collar"/>
    <x v="290"/>
    <n v="51953.67"/>
  </r>
  <r>
    <n v="100003715"/>
    <s v="Molly"/>
    <s v="Young"/>
    <x v="1"/>
    <x v="12"/>
    <x v="0"/>
    <s v="White Collar"/>
    <x v="290"/>
    <n v="125690.43"/>
  </r>
  <r>
    <n v="100003716"/>
    <s v="Andrew"/>
    <s v="Parr"/>
    <x v="0"/>
    <x v="12"/>
    <x v="0"/>
    <s v="Blue Collar"/>
    <x v="290"/>
    <n v="46983.45"/>
  </r>
  <r>
    <n v="200003717"/>
    <s v="Austin"/>
    <s v="Blake"/>
    <x v="0"/>
    <x v="4"/>
    <x v="3"/>
    <s v="Other"/>
    <x v="290"/>
    <n v="7218.79"/>
  </r>
  <r>
    <n v="200003718"/>
    <s v="Boris"/>
    <s v="Russell"/>
    <x v="0"/>
    <x v="4"/>
    <x v="3"/>
    <s v="Other"/>
    <x v="290"/>
    <n v="54828.36"/>
  </r>
  <r>
    <n v="200003719"/>
    <s v="Michael"/>
    <s v="Sanderson"/>
    <x v="0"/>
    <x v="6"/>
    <x v="3"/>
    <s v="Blue Collar"/>
    <x v="290"/>
    <n v="32412.76"/>
  </r>
  <r>
    <n v="200003720"/>
    <s v="Owen"/>
    <s v="Slater"/>
    <x v="0"/>
    <x v="25"/>
    <x v="3"/>
    <s v="Other"/>
    <x v="290"/>
    <n v="19921.89"/>
  </r>
  <r>
    <n v="200003721"/>
    <s v="Victor"/>
    <s v="Arnold"/>
    <x v="0"/>
    <x v="40"/>
    <x v="3"/>
    <s v="Blue Collar"/>
    <x v="290"/>
    <n v="12857.71"/>
  </r>
  <r>
    <n v="200003722"/>
    <s v="Joseph"/>
    <s v="Watson"/>
    <x v="0"/>
    <x v="14"/>
    <x v="3"/>
    <s v="Blue Collar"/>
    <x v="290"/>
    <n v="9217.66"/>
  </r>
  <r>
    <n v="200003723"/>
    <s v="Blake"/>
    <s v="Watson"/>
    <x v="0"/>
    <x v="33"/>
    <x v="3"/>
    <s v="Blue Collar"/>
    <x v="290"/>
    <n v="42052.1"/>
  </r>
  <r>
    <n v="300003724"/>
    <s v="Sebastian"/>
    <s v="White"/>
    <x v="0"/>
    <x v="2"/>
    <x v="2"/>
    <s v="Blue Collar"/>
    <x v="290"/>
    <n v="3002.2"/>
  </r>
  <r>
    <n v="300003725"/>
    <s v="Lily"/>
    <s v="Vaughan"/>
    <x v="1"/>
    <x v="12"/>
    <x v="2"/>
    <s v="White Collar"/>
    <x v="290"/>
    <n v="24781.08"/>
  </r>
  <r>
    <n v="300003726"/>
    <s v="Donna"/>
    <s v="Hart"/>
    <x v="1"/>
    <x v="4"/>
    <x v="2"/>
    <s v="White Collar"/>
    <x v="290"/>
    <n v="30894.97"/>
  </r>
  <r>
    <n v="100003727"/>
    <s v="Nathan"/>
    <s v="Bailey"/>
    <x v="0"/>
    <x v="13"/>
    <x v="0"/>
    <s v="White Collar"/>
    <x v="291"/>
    <n v="42049.89"/>
  </r>
  <r>
    <n v="100003728"/>
    <s v="Michael"/>
    <s v="Abraham"/>
    <x v="0"/>
    <x v="22"/>
    <x v="0"/>
    <s v="Other"/>
    <x v="291"/>
    <n v="26728"/>
  </r>
  <r>
    <n v="100003729"/>
    <s v="Joshua"/>
    <s v="Hart"/>
    <x v="0"/>
    <x v="7"/>
    <x v="0"/>
    <s v="White Collar"/>
    <x v="291"/>
    <n v="22448.82"/>
  </r>
  <r>
    <n v="100003730"/>
    <s v="Anna"/>
    <s v="Berry"/>
    <x v="1"/>
    <x v="9"/>
    <x v="0"/>
    <s v="White Collar"/>
    <x v="291"/>
    <n v="30815.39"/>
  </r>
  <r>
    <n v="100003731"/>
    <s v="Anna"/>
    <s v="McDonald"/>
    <x v="1"/>
    <x v="8"/>
    <x v="0"/>
    <s v="White Collar"/>
    <x v="291"/>
    <n v="85207.93"/>
  </r>
  <r>
    <n v="100003732"/>
    <s v="Faith"/>
    <s v="Ince"/>
    <x v="1"/>
    <x v="1"/>
    <x v="0"/>
    <s v="White Collar"/>
    <x v="291"/>
    <n v="143879.62"/>
  </r>
  <r>
    <n v="100003733"/>
    <s v="Wendy"/>
    <s v="Mitchell"/>
    <x v="1"/>
    <x v="38"/>
    <x v="0"/>
    <s v="Blue Collar"/>
    <x v="291"/>
    <n v="13618.72"/>
  </r>
  <r>
    <n v="100003734"/>
    <s v="Joseph"/>
    <s v="Cameron"/>
    <x v="0"/>
    <x v="32"/>
    <x v="0"/>
    <s v="White Collar"/>
    <x v="291"/>
    <n v="91470.56"/>
  </r>
  <r>
    <n v="100003735"/>
    <s v="James"/>
    <s v="Jackson"/>
    <x v="0"/>
    <x v="3"/>
    <x v="0"/>
    <s v="White Collar"/>
    <x v="291"/>
    <n v="63106.43"/>
  </r>
  <r>
    <n v="100003736"/>
    <s v="Piers"/>
    <s v="Scott"/>
    <x v="0"/>
    <x v="7"/>
    <x v="0"/>
    <s v="White Collar"/>
    <x v="291"/>
    <n v="66452.639999999999"/>
  </r>
  <r>
    <n v="100003737"/>
    <s v="Sean"/>
    <s v="Gray"/>
    <x v="0"/>
    <x v="1"/>
    <x v="0"/>
    <s v="White Collar"/>
    <x v="291"/>
    <n v="3531.34"/>
  </r>
  <r>
    <n v="100003738"/>
    <s v="David"/>
    <s v="Brew"/>
    <x v="0"/>
    <x v="11"/>
    <x v="0"/>
    <s v="White Collar"/>
    <x v="291"/>
    <n v="65072.93"/>
  </r>
  <r>
    <n v="200003739"/>
    <s v="Victor"/>
    <s v="Robertson"/>
    <x v="0"/>
    <x v="40"/>
    <x v="3"/>
    <s v="Blue Collar"/>
    <x v="291"/>
    <n v="63027.96"/>
  </r>
  <r>
    <n v="200003740"/>
    <s v="Chloe"/>
    <s v="Robertson"/>
    <x v="1"/>
    <x v="8"/>
    <x v="3"/>
    <s v="Blue Collar"/>
    <x v="291"/>
    <n v="15178.11"/>
  </r>
  <r>
    <n v="200003741"/>
    <s v="James"/>
    <s v="Reid"/>
    <x v="0"/>
    <x v="25"/>
    <x v="3"/>
    <s v="Other"/>
    <x v="291"/>
    <n v="85903.66"/>
  </r>
  <r>
    <n v="300003742"/>
    <s v="Neil"/>
    <s v="Marshall"/>
    <x v="0"/>
    <x v="26"/>
    <x v="2"/>
    <s v="White Collar"/>
    <x v="291"/>
    <n v="40668.9"/>
  </r>
  <r>
    <n v="400003743"/>
    <s v="Keith"/>
    <s v="Davies"/>
    <x v="0"/>
    <x v="29"/>
    <x v="1"/>
    <s v="Other"/>
    <x v="291"/>
    <n v="50562.98"/>
  </r>
  <r>
    <n v="100003744"/>
    <s v="Christian"/>
    <s v="Brown"/>
    <x v="0"/>
    <x v="12"/>
    <x v="0"/>
    <s v="White Collar"/>
    <x v="292"/>
    <n v="61027.02"/>
  </r>
  <r>
    <n v="100003745"/>
    <s v="Caroline"/>
    <s v="Nash"/>
    <x v="1"/>
    <x v="21"/>
    <x v="0"/>
    <s v="White Collar"/>
    <x v="292"/>
    <n v="3974.04"/>
  </r>
  <r>
    <n v="100003746"/>
    <s v="Kylie"/>
    <s v="Chapman"/>
    <x v="1"/>
    <x v="22"/>
    <x v="0"/>
    <s v="White Collar"/>
    <x v="292"/>
    <n v="28148.92"/>
  </r>
  <r>
    <n v="100003747"/>
    <s v="Andrea"/>
    <s v="Howard"/>
    <x v="1"/>
    <x v="14"/>
    <x v="0"/>
    <s v="Blue Collar"/>
    <x v="292"/>
    <n v="61138.64"/>
  </r>
  <r>
    <n v="100003748"/>
    <s v="Gavin"/>
    <s v="Avery"/>
    <x v="0"/>
    <x v="4"/>
    <x v="0"/>
    <s v="Other"/>
    <x v="292"/>
    <n v="56516.639999999999"/>
  </r>
  <r>
    <n v="100003749"/>
    <s v="Jan"/>
    <s v="Powell"/>
    <x v="1"/>
    <x v="34"/>
    <x v="0"/>
    <s v="Other"/>
    <x v="292"/>
    <n v="62529.53"/>
  </r>
  <r>
    <n v="100003750"/>
    <s v="Lucas"/>
    <s v="Mackay"/>
    <x v="0"/>
    <x v="30"/>
    <x v="0"/>
    <s v="White Collar"/>
    <x v="292"/>
    <n v="27985.16"/>
  </r>
  <r>
    <n v="100003751"/>
    <s v="Heather"/>
    <s v="Vaughan"/>
    <x v="1"/>
    <x v="14"/>
    <x v="0"/>
    <s v="White Collar"/>
    <x v="292"/>
    <n v="81383.210000000006"/>
  </r>
  <r>
    <n v="100003752"/>
    <s v="Audrey"/>
    <s v="Lawrence"/>
    <x v="1"/>
    <x v="7"/>
    <x v="0"/>
    <s v="White Collar"/>
    <x v="292"/>
    <n v="48715.23"/>
  </r>
  <r>
    <n v="100003753"/>
    <s v="Julian"/>
    <s v="Mitchell"/>
    <x v="0"/>
    <x v="5"/>
    <x v="0"/>
    <s v="Blue Collar"/>
    <x v="292"/>
    <n v="6983.32"/>
  </r>
  <r>
    <n v="100003754"/>
    <s v="William"/>
    <s v="Dowd"/>
    <x v="0"/>
    <x v="12"/>
    <x v="0"/>
    <s v="White Collar"/>
    <x v="292"/>
    <n v="66519.95"/>
  </r>
  <r>
    <n v="100003755"/>
    <s v="Carol"/>
    <s v="Henderson"/>
    <x v="1"/>
    <x v="34"/>
    <x v="0"/>
    <s v="White Collar"/>
    <x v="292"/>
    <n v="69805.45"/>
  </r>
  <r>
    <n v="100003756"/>
    <s v="Lillian"/>
    <s v="Black"/>
    <x v="1"/>
    <x v="34"/>
    <x v="0"/>
    <s v="White Collar"/>
    <x v="292"/>
    <n v="1439.15"/>
  </r>
  <r>
    <n v="100003757"/>
    <s v="Kylie"/>
    <s v="Powell"/>
    <x v="1"/>
    <x v="4"/>
    <x v="0"/>
    <s v="White Collar"/>
    <x v="292"/>
    <n v="3876.27"/>
  </r>
  <r>
    <n v="100003758"/>
    <s v="Joshua"/>
    <s v="Peake"/>
    <x v="0"/>
    <x v="5"/>
    <x v="0"/>
    <s v="White Collar"/>
    <x v="292"/>
    <n v="29433.64"/>
  </r>
  <r>
    <n v="100003759"/>
    <s v="Alison"/>
    <s v="Hodges"/>
    <x v="1"/>
    <x v="1"/>
    <x v="0"/>
    <s v="Blue Collar"/>
    <x v="292"/>
    <n v="91324.46"/>
  </r>
  <r>
    <n v="100003760"/>
    <s v="Olivia"/>
    <s v="Skinner"/>
    <x v="1"/>
    <x v="24"/>
    <x v="0"/>
    <s v="White Collar"/>
    <x v="292"/>
    <n v="42901.77"/>
  </r>
  <r>
    <n v="100003761"/>
    <s v="Kevin"/>
    <s v="Hunter"/>
    <x v="0"/>
    <x v="7"/>
    <x v="0"/>
    <s v="White Collar"/>
    <x v="292"/>
    <n v="116577.61"/>
  </r>
  <r>
    <n v="100003762"/>
    <s v="Ryan"/>
    <s v="McLean"/>
    <x v="0"/>
    <x v="22"/>
    <x v="0"/>
    <s v="White Collar"/>
    <x v="292"/>
    <n v="34377.4"/>
  </r>
  <r>
    <n v="100003763"/>
    <s v="Alexandra"/>
    <s v="Hill"/>
    <x v="1"/>
    <x v="31"/>
    <x v="0"/>
    <s v="Other"/>
    <x v="292"/>
    <n v="14563.87"/>
  </r>
  <r>
    <n v="100003764"/>
    <s v="Anna"/>
    <s v="Roberts"/>
    <x v="1"/>
    <x v="1"/>
    <x v="0"/>
    <s v="Blue Collar"/>
    <x v="292"/>
    <n v="41064.35"/>
  </r>
  <r>
    <n v="100003765"/>
    <s v="Alberto"/>
    <s v="Mathis"/>
    <x v="0"/>
    <x v="7"/>
    <x v="0"/>
    <s v="White Collar"/>
    <x v="292"/>
    <n v="69416.179999999993"/>
  </r>
  <r>
    <n v="200003766"/>
    <s v="Olivia"/>
    <s v="Mackay"/>
    <x v="1"/>
    <x v="46"/>
    <x v="3"/>
    <s v="Other"/>
    <x v="292"/>
    <n v="67913.86"/>
  </r>
  <r>
    <n v="200003767"/>
    <s v="Alexandra"/>
    <s v="Powell"/>
    <x v="1"/>
    <x v="9"/>
    <x v="3"/>
    <s v="Other"/>
    <x v="292"/>
    <n v="16469.27"/>
  </r>
  <r>
    <n v="200003768"/>
    <s v="Isaac"/>
    <s v="McGrath"/>
    <x v="0"/>
    <x v="39"/>
    <x v="3"/>
    <s v="Blue Collar"/>
    <x v="292"/>
    <n v="93164.29"/>
  </r>
  <r>
    <n v="200003769"/>
    <s v="Leonard"/>
    <s v="Carr"/>
    <x v="0"/>
    <x v="33"/>
    <x v="3"/>
    <s v="Other"/>
    <x v="292"/>
    <n v="55421.45"/>
  </r>
  <r>
    <n v="200003770"/>
    <s v="Kimberly"/>
    <s v="Thomson"/>
    <x v="1"/>
    <x v="18"/>
    <x v="3"/>
    <s v="Blue Collar"/>
    <x v="292"/>
    <n v="33460.57"/>
  </r>
  <r>
    <n v="200003771"/>
    <s v="Dylan"/>
    <s v="Lee"/>
    <x v="0"/>
    <x v="20"/>
    <x v="3"/>
    <s v="Blue Collar"/>
    <x v="292"/>
    <n v="12294.54"/>
  </r>
  <r>
    <n v="200003772"/>
    <s v="Leonard"/>
    <s v="Miller"/>
    <x v="0"/>
    <x v="27"/>
    <x v="3"/>
    <s v="Blue Collar"/>
    <x v="292"/>
    <n v="114059.89"/>
  </r>
  <r>
    <n v="200003773"/>
    <s v="Trevor"/>
    <s v="Tucker"/>
    <x v="0"/>
    <x v="32"/>
    <x v="3"/>
    <s v="Blue Collar"/>
    <x v="292"/>
    <n v="44371.75"/>
  </r>
  <r>
    <n v="200003774"/>
    <s v="Dylan"/>
    <s v="Walker"/>
    <x v="0"/>
    <x v="35"/>
    <x v="3"/>
    <s v="Blue Collar"/>
    <x v="292"/>
    <n v="54174.879999999997"/>
  </r>
  <r>
    <n v="300003775"/>
    <s v="Sean"/>
    <s v="Abraham"/>
    <x v="0"/>
    <x v="30"/>
    <x v="2"/>
    <s v="Blue Collar"/>
    <x v="292"/>
    <n v="29909.03"/>
  </r>
  <r>
    <n v="300003776"/>
    <s v="Olivia"/>
    <s v="Watson"/>
    <x v="1"/>
    <x v="14"/>
    <x v="2"/>
    <s v="White Collar"/>
    <x v="292"/>
    <n v="92953.31"/>
  </r>
  <r>
    <n v="300003777"/>
    <s v="Rachel"/>
    <s v="Dickens"/>
    <x v="1"/>
    <x v="12"/>
    <x v="2"/>
    <s v="Other"/>
    <x v="292"/>
    <n v="60441.82"/>
  </r>
  <r>
    <n v="300003778"/>
    <s v="Lillian"/>
    <s v="Russell"/>
    <x v="1"/>
    <x v="34"/>
    <x v="2"/>
    <s v="Other"/>
    <x v="292"/>
    <n v="86475.8"/>
  </r>
  <r>
    <n v="300003779"/>
    <s v="Lisa"/>
    <s v="Mackay"/>
    <x v="1"/>
    <x v="3"/>
    <x v="2"/>
    <s v="White Collar"/>
    <x v="292"/>
    <n v="27274.97"/>
  </r>
  <r>
    <n v="100003780"/>
    <s v="Phil"/>
    <s v="Greene"/>
    <x v="0"/>
    <x v="12"/>
    <x v="0"/>
    <s v="Blue Collar"/>
    <x v="293"/>
    <n v="40728.660000000003"/>
  </r>
  <r>
    <n v="100003781"/>
    <s v="Jason"/>
    <s v="MacDonald"/>
    <x v="0"/>
    <x v="3"/>
    <x v="0"/>
    <s v="White Collar"/>
    <x v="293"/>
    <n v="42956.77"/>
  </r>
  <r>
    <n v="100003782"/>
    <s v="Stephanie"/>
    <s v="Forsyth"/>
    <x v="1"/>
    <x v="3"/>
    <x v="0"/>
    <s v="White Collar"/>
    <x v="293"/>
    <n v="51475.16"/>
  </r>
  <r>
    <n v="100003783"/>
    <s v="Christopher"/>
    <s v="Rampling"/>
    <x v="0"/>
    <x v="3"/>
    <x v="0"/>
    <s v="White Collar"/>
    <x v="293"/>
    <n v="36780.870000000003"/>
  </r>
  <r>
    <n v="100003784"/>
    <s v="Victor"/>
    <s v="King"/>
    <x v="0"/>
    <x v="9"/>
    <x v="0"/>
    <s v="White Collar"/>
    <x v="293"/>
    <n v="3890.53"/>
  </r>
  <r>
    <n v="100003785"/>
    <s v="Una"/>
    <s v="Newman"/>
    <x v="1"/>
    <x v="21"/>
    <x v="0"/>
    <s v="White Collar"/>
    <x v="293"/>
    <n v="83372.36"/>
  </r>
  <r>
    <n v="100003786"/>
    <s v="Gavin"/>
    <s v="Hart"/>
    <x v="0"/>
    <x v="22"/>
    <x v="0"/>
    <s v="White Collar"/>
    <x v="293"/>
    <n v="137981.62"/>
  </r>
  <r>
    <n v="100003787"/>
    <s v="Jonathan"/>
    <s v="Allan"/>
    <x v="0"/>
    <x v="3"/>
    <x v="0"/>
    <s v="Blue Collar"/>
    <x v="293"/>
    <n v="17056.8"/>
  </r>
  <r>
    <n v="100003788"/>
    <s v="Jane"/>
    <s v="Short"/>
    <x v="1"/>
    <x v="30"/>
    <x v="0"/>
    <s v="White Collar"/>
    <x v="293"/>
    <n v="5312.07"/>
  </r>
  <r>
    <n v="100003789"/>
    <s v="Alberto"/>
    <s v="Langdon"/>
    <x v="0"/>
    <x v="20"/>
    <x v="0"/>
    <s v="Other"/>
    <x v="293"/>
    <n v="44515.32"/>
  </r>
  <r>
    <n v="200003790"/>
    <s v="Mary"/>
    <s v="White"/>
    <x v="1"/>
    <x v="25"/>
    <x v="3"/>
    <s v="Other"/>
    <x v="293"/>
    <n v="7873.92"/>
  </r>
  <r>
    <n v="200003791"/>
    <s v="Bernadette"/>
    <s v="Davidson"/>
    <x v="1"/>
    <x v="25"/>
    <x v="3"/>
    <s v="Other"/>
    <x v="293"/>
    <n v="5981.41"/>
  </r>
  <r>
    <n v="200003792"/>
    <s v="Michael"/>
    <s v="Forsyth"/>
    <x v="0"/>
    <x v="41"/>
    <x v="3"/>
    <s v="Blue Collar"/>
    <x v="293"/>
    <n v="25766.83"/>
  </r>
  <r>
    <n v="200003793"/>
    <s v="Sophie"/>
    <s v="Glover"/>
    <x v="1"/>
    <x v="18"/>
    <x v="3"/>
    <s v="Other"/>
    <x v="293"/>
    <n v="100995.05"/>
  </r>
  <r>
    <n v="200003794"/>
    <s v="Carl"/>
    <s v="Kerr"/>
    <x v="0"/>
    <x v="46"/>
    <x v="3"/>
    <s v="Blue Collar"/>
    <x v="293"/>
    <n v="22118.93"/>
  </r>
  <r>
    <n v="200003795"/>
    <s v="Richard"/>
    <s v="Mills"/>
    <x v="0"/>
    <x v="6"/>
    <x v="3"/>
    <s v="Blue Collar"/>
    <x v="293"/>
    <n v="2840.77"/>
  </r>
  <r>
    <n v="200003796"/>
    <s v="Anthony"/>
    <s v="Anderson"/>
    <x v="0"/>
    <x v="6"/>
    <x v="3"/>
    <s v="Other"/>
    <x v="293"/>
    <n v="54607.76"/>
  </r>
  <r>
    <n v="100003797"/>
    <s v="Adam"/>
    <s v="Henderson"/>
    <x v="0"/>
    <x v="10"/>
    <x v="0"/>
    <s v="White Collar"/>
    <x v="294"/>
    <n v="55454.96"/>
  </r>
  <r>
    <n v="100003798"/>
    <s v="Victor"/>
    <s v="White"/>
    <x v="0"/>
    <x v="13"/>
    <x v="0"/>
    <s v="White Collar"/>
    <x v="294"/>
    <n v="32293.11"/>
  </r>
  <r>
    <n v="100003799"/>
    <s v="Melanie"/>
    <s v="Gray"/>
    <x v="1"/>
    <x v="12"/>
    <x v="0"/>
    <s v="White Collar"/>
    <x v="294"/>
    <n v="20254.46"/>
  </r>
  <r>
    <n v="100003800"/>
    <s v="Ludwig"/>
    <s v="Nash"/>
    <x v="0"/>
    <x v="3"/>
    <x v="0"/>
    <s v="Other"/>
    <x v="294"/>
    <n v="4983.93"/>
  </r>
  <r>
    <n v="200003801"/>
    <s v="Jasmine"/>
    <s v="Davies"/>
    <x v="1"/>
    <x v="41"/>
    <x v="3"/>
    <s v="Other"/>
    <x v="294"/>
    <n v="61439.56"/>
  </r>
  <r>
    <n v="200003802"/>
    <s v="Rose"/>
    <s v="McGrath"/>
    <x v="1"/>
    <x v="2"/>
    <x v="3"/>
    <s v="White Collar"/>
    <x v="294"/>
    <n v="10394.280000000001"/>
  </r>
  <r>
    <n v="200003803"/>
    <s v="Wendy"/>
    <s v="Alsop"/>
    <x v="1"/>
    <x v="31"/>
    <x v="3"/>
    <s v="Other"/>
    <x v="294"/>
    <n v="60444.7"/>
  </r>
  <r>
    <n v="300003804"/>
    <s v="David"/>
    <s v="Anderson"/>
    <x v="0"/>
    <x v="1"/>
    <x v="2"/>
    <s v="White Collar"/>
    <x v="294"/>
    <n v="40380.07"/>
  </r>
  <r>
    <n v="100003805"/>
    <s v="Mary"/>
    <s v="MacDonald"/>
    <x v="1"/>
    <x v="12"/>
    <x v="0"/>
    <s v="Blue Collar"/>
    <x v="295"/>
    <n v="88957.46"/>
  </r>
  <r>
    <n v="100003806"/>
    <s v="Sue"/>
    <s v="Rees"/>
    <x v="1"/>
    <x v="26"/>
    <x v="0"/>
    <s v="White Collar"/>
    <x v="295"/>
    <n v="15613.06"/>
  </r>
  <r>
    <n v="100003807"/>
    <s v="Boris"/>
    <s v="Hamilton"/>
    <x v="0"/>
    <x v="36"/>
    <x v="0"/>
    <s v="White Collar"/>
    <x v="295"/>
    <n v="68508.87"/>
  </r>
  <r>
    <n v="100003808"/>
    <s v="Sebastian"/>
    <s v="Robertson"/>
    <x v="0"/>
    <x v="22"/>
    <x v="0"/>
    <s v="White Collar"/>
    <x v="295"/>
    <n v="40309.870000000003"/>
  </r>
  <r>
    <n v="100003809"/>
    <s v="Rose"/>
    <s v="Coleman"/>
    <x v="1"/>
    <x v="14"/>
    <x v="0"/>
    <s v="White Collar"/>
    <x v="295"/>
    <n v="32132.560000000001"/>
  </r>
  <r>
    <n v="100003810"/>
    <s v="Alexandra"/>
    <s v="Davidson"/>
    <x v="1"/>
    <x v="36"/>
    <x v="0"/>
    <s v="White Collar"/>
    <x v="295"/>
    <n v="47114.15"/>
  </r>
  <r>
    <n v="100003811"/>
    <s v="Molly"/>
    <s v="Coleman"/>
    <x v="1"/>
    <x v="5"/>
    <x v="0"/>
    <s v="White Collar"/>
    <x v="295"/>
    <n v="16703.14"/>
  </r>
  <r>
    <n v="100003812"/>
    <s v="Alexander"/>
    <s v="Parsons"/>
    <x v="0"/>
    <x v="3"/>
    <x v="0"/>
    <s v="White Collar"/>
    <x v="295"/>
    <n v="56233.65"/>
  </r>
  <r>
    <n v="100003813"/>
    <s v="Penelope"/>
    <s v="Terry"/>
    <x v="1"/>
    <x v="6"/>
    <x v="0"/>
    <s v="White Collar"/>
    <x v="295"/>
    <n v="45166.76"/>
  </r>
  <r>
    <n v="100003814"/>
    <s v="Lucas"/>
    <s v="Rees"/>
    <x v="0"/>
    <x v="30"/>
    <x v="0"/>
    <s v="White Collar"/>
    <x v="295"/>
    <n v="25665.759999999998"/>
  </r>
  <r>
    <n v="100003815"/>
    <s v="Emily"/>
    <s v="Scott"/>
    <x v="1"/>
    <x v="12"/>
    <x v="0"/>
    <s v="White Collar"/>
    <x v="295"/>
    <n v="30604.28"/>
  </r>
  <r>
    <n v="100003816"/>
    <s v="Diana"/>
    <s v="Payne"/>
    <x v="1"/>
    <x v="14"/>
    <x v="0"/>
    <s v="White Collar"/>
    <x v="295"/>
    <n v="27959.65"/>
  </r>
  <r>
    <n v="100003817"/>
    <s v="Brandon"/>
    <s v="Lewis"/>
    <x v="0"/>
    <x v="30"/>
    <x v="0"/>
    <s v="White Collar"/>
    <x v="295"/>
    <n v="51239.25"/>
  </r>
  <r>
    <n v="100003818"/>
    <s v="Joan"/>
    <s v="Glover"/>
    <x v="1"/>
    <x v="2"/>
    <x v="0"/>
    <s v="Other"/>
    <x v="295"/>
    <n v="71257.039999999994"/>
  </r>
  <r>
    <n v="100003819"/>
    <s v="John"/>
    <s v="Abraham"/>
    <x v="0"/>
    <x v="9"/>
    <x v="0"/>
    <s v="White Collar"/>
    <x v="295"/>
    <n v="9785.44"/>
  </r>
  <r>
    <n v="100003820"/>
    <s v="Hans"/>
    <s v="Dickens"/>
    <x v="0"/>
    <x v="10"/>
    <x v="0"/>
    <s v="White Collar"/>
    <x v="295"/>
    <n v="11024.75"/>
  </r>
  <r>
    <n v="200003821"/>
    <s v="Cameron"/>
    <s v="Parsons"/>
    <x v="0"/>
    <x v="34"/>
    <x v="3"/>
    <s v="Blue Collar"/>
    <x v="295"/>
    <n v="2583.75"/>
  </r>
  <r>
    <n v="200003822"/>
    <s v="Matt"/>
    <s v="Murray"/>
    <x v="0"/>
    <x v="27"/>
    <x v="3"/>
    <s v="White Collar"/>
    <x v="295"/>
    <n v="43361.73"/>
  </r>
  <r>
    <n v="200003823"/>
    <s v="Jason"/>
    <s v="Gibson"/>
    <x v="0"/>
    <x v="8"/>
    <x v="3"/>
    <s v="Other"/>
    <x v="295"/>
    <n v="30923.4"/>
  </r>
  <r>
    <n v="200003824"/>
    <s v="Stephanie"/>
    <s v="Simpson"/>
    <x v="1"/>
    <x v="8"/>
    <x v="3"/>
    <s v="Other"/>
    <x v="295"/>
    <n v="56135.18"/>
  </r>
  <r>
    <n v="200003825"/>
    <s v="Harry"/>
    <s v="Nolan"/>
    <x v="0"/>
    <x v="15"/>
    <x v="3"/>
    <s v="Blue Collar"/>
    <x v="295"/>
    <n v="10235.19"/>
  </r>
  <r>
    <n v="300003826"/>
    <s v="Amy"/>
    <s v="Wallace"/>
    <x v="1"/>
    <x v="7"/>
    <x v="2"/>
    <s v="White Collar"/>
    <x v="295"/>
    <n v="76628.679999999993"/>
  </r>
  <r>
    <n v="300003827"/>
    <s v="Olivia"/>
    <s v="Henderson"/>
    <x v="1"/>
    <x v="38"/>
    <x v="2"/>
    <s v="White Collar"/>
    <x v="295"/>
    <n v="49068.58"/>
  </r>
  <r>
    <n v="100003828"/>
    <s v="Emily"/>
    <s v="Churchill"/>
    <x v="1"/>
    <x v="8"/>
    <x v="0"/>
    <s v="Other"/>
    <x v="296"/>
    <n v="61434.51"/>
  </r>
  <r>
    <n v="100003829"/>
    <s v="Caroline"/>
    <s v="Skinner"/>
    <x v="1"/>
    <x v="1"/>
    <x v="0"/>
    <s v="White Collar"/>
    <x v="296"/>
    <n v="3682.9"/>
  </r>
  <r>
    <n v="100003830"/>
    <s v="Faith"/>
    <s v="Scott"/>
    <x v="1"/>
    <x v="11"/>
    <x v="0"/>
    <s v="White Collar"/>
    <x v="296"/>
    <n v="59597.09"/>
  </r>
  <r>
    <n v="100003831"/>
    <s v="Lily"/>
    <s v="Reid"/>
    <x v="1"/>
    <x v="12"/>
    <x v="0"/>
    <s v="White Collar"/>
    <x v="296"/>
    <n v="15805.36"/>
  </r>
  <r>
    <n v="100003832"/>
    <s v="Sebastian"/>
    <s v="Arnold"/>
    <x v="0"/>
    <x v="31"/>
    <x v="0"/>
    <s v="Blue Collar"/>
    <x v="296"/>
    <n v="161517.82"/>
  </r>
  <r>
    <n v="100003833"/>
    <s v="Tracey"/>
    <s v="Hardacre"/>
    <x v="1"/>
    <x v="1"/>
    <x v="0"/>
    <s v="White Collar"/>
    <x v="296"/>
    <n v="4300.9399999999996"/>
  </r>
  <r>
    <n v="100003834"/>
    <s v="Maria"/>
    <s v="Hill"/>
    <x v="1"/>
    <x v="38"/>
    <x v="0"/>
    <s v="Other"/>
    <x v="296"/>
    <n v="68799.11"/>
  </r>
  <r>
    <n v="100003835"/>
    <s v="Grace"/>
    <s v="Ross"/>
    <x v="1"/>
    <x v="24"/>
    <x v="0"/>
    <s v="White Collar"/>
    <x v="296"/>
    <n v="55631.78"/>
  </r>
  <r>
    <n v="100003836"/>
    <s v="Victoria"/>
    <s v="Arnold"/>
    <x v="1"/>
    <x v="1"/>
    <x v="0"/>
    <s v="Blue Collar"/>
    <x v="296"/>
    <n v="15667.57"/>
  </r>
  <r>
    <n v="100003837"/>
    <s v="Ruth"/>
    <s v="Bailey"/>
    <x v="1"/>
    <x v="13"/>
    <x v="0"/>
    <s v="White Collar"/>
    <x v="296"/>
    <n v="48927.48"/>
  </r>
  <r>
    <n v="100003838"/>
    <s v="Samuel"/>
    <s v="Baker"/>
    <x v="0"/>
    <x v="12"/>
    <x v="0"/>
    <s v="White Collar"/>
    <x v="296"/>
    <n v="42161.49"/>
  </r>
  <r>
    <n v="200003839"/>
    <s v="William"/>
    <s v="Lewis"/>
    <x v="0"/>
    <x v="25"/>
    <x v="3"/>
    <s v="Other"/>
    <x v="296"/>
    <n v="44251.15"/>
  </r>
  <r>
    <n v="200003840"/>
    <s v="Alison"/>
    <s v="Allan"/>
    <x v="1"/>
    <x v="2"/>
    <x v="3"/>
    <s v="Other"/>
    <x v="296"/>
    <n v="15479.42"/>
  </r>
  <r>
    <n v="200003841"/>
    <s v="Trevor"/>
    <s v="Avery"/>
    <x v="0"/>
    <x v="2"/>
    <x v="3"/>
    <s v="Blue Collar"/>
    <x v="296"/>
    <n v="87484.96"/>
  </r>
  <r>
    <n v="200003842"/>
    <s v="Christopher"/>
    <s v="Hart"/>
    <x v="0"/>
    <x v="41"/>
    <x v="3"/>
    <s v="Blue Collar"/>
    <x v="296"/>
    <n v="8216.23"/>
  </r>
  <r>
    <n v="200003843"/>
    <s v="Colin"/>
    <s v="Mackenzie"/>
    <x v="0"/>
    <x v="10"/>
    <x v="3"/>
    <s v="Blue Collar"/>
    <x v="296"/>
    <n v="177.28"/>
  </r>
  <r>
    <n v="200003844"/>
    <s v="Penelope"/>
    <s v="Langdon"/>
    <x v="1"/>
    <x v="8"/>
    <x v="3"/>
    <s v="Other"/>
    <x v="296"/>
    <n v="1063.2"/>
  </r>
  <r>
    <n v="300003845"/>
    <s v="Jonathan"/>
    <s v="MacLeod"/>
    <x v="0"/>
    <x v="1"/>
    <x v="2"/>
    <s v="White Collar"/>
    <x v="296"/>
    <n v="62326.7"/>
  </r>
  <r>
    <n v="300003846"/>
    <s v="Elizabeth"/>
    <s v="Payne"/>
    <x v="1"/>
    <x v="22"/>
    <x v="2"/>
    <s v="Other"/>
    <x v="296"/>
    <n v="42743"/>
  </r>
  <r>
    <n v="400003847"/>
    <s v="Donna"/>
    <s v="Lambert"/>
    <x v="1"/>
    <x v="1"/>
    <x v="1"/>
    <s v="White Collar"/>
    <x v="296"/>
    <n v="87664.15"/>
  </r>
  <r>
    <n v="400003848"/>
    <s v="Carolyn"/>
    <s v="Dowd"/>
    <x v="1"/>
    <x v="17"/>
    <x v="1"/>
    <s v="Other"/>
    <x v="296"/>
    <n v="118676.95"/>
  </r>
  <r>
    <n v="100003849"/>
    <s v="Katherine"/>
    <s v="Avery"/>
    <x v="1"/>
    <x v="3"/>
    <x v="0"/>
    <s v="Blue Collar"/>
    <x v="297"/>
    <n v="10488.42"/>
  </r>
  <r>
    <n v="100003850"/>
    <s v="Angela"/>
    <s v="Bond"/>
    <x v="1"/>
    <x v="4"/>
    <x v="0"/>
    <s v="White Collar"/>
    <x v="297"/>
    <n v="2845.03"/>
  </r>
  <r>
    <n v="100003851"/>
    <s v="Audrey"/>
    <s v="Burgess"/>
    <x v="1"/>
    <x v="21"/>
    <x v="0"/>
    <s v="White Collar"/>
    <x v="297"/>
    <n v="54926.14"/>
  </r>
  <r>
    <n v="100003852"/>
    <s v="Julian"/>
    <s v="MacLeod"/>
    <x v="0"/>
    <x v="1"/>
    <x v="0"/>
    <s v="Blue Collar"/>
    <x v="297"/>
    <n v="36020.519999999997"/>
  </r>
  <r>
    <n v="100003853"/>
    <s v="Jack"/>
    <s v="Allan"/>
    <x v="0"/>
    <x v="38"/>
    <x v="0"/>
    <s v="Blue Collar"/>
    <x v="297"/>
    <n v="54458.54"/>
  </r>
  <r>
    <n v="100003854"/>
    <s v="Wanda"/>
    <s v="Howard"/>
    <x v="1"/>
    <x v="26"/>
    <x v="0"/>
    <s v="White Collar"/>
    <x v="297"/>
    <n v="80667.649999999994"/>
  </r>
  <r>
    <n v="100003855"/>
    <s v="Frank"/>
    <s v="Simpson"/>
    <x v="0"/>
    <x v="24"/>
    <x v="0"/>
    <s v="White Collar"/>
    <x v="297"/>
    <n v="22525.46"/>
  </r>
  <r>
    <n v="100003856"/>
    <s v="Samson"/>
    <s v="James"/>
    <x v="0"/>
    <x v="14"/>
    <x v="0"/>
    <s v="Blue Collar"/>
    <x v="297"/>
    <n v="23108.880000000001"/>
  </r>
  <r>
    <n v="200003857"/>
    <s v="Joshua"/>
    <s v="Morrison"/>
    <x v="0"/>
    <x v="19"/>
    <x v="3"/>
    <s v="Blue Collar"/>
    <x v="297"/>
    <n v="37788.14"/>
  </r>
  <r>
    <n v="200003858"/>
    <s v="Ruth"/>
    <s v="Carr"/>
    <x v="1"/>
    <x v="32"/>
    <x v="3"/>
    <s v="Other"/>
    <x v="297"/>
    <n v="3297.32"/>
  </r>
  <r>
    <n v="200003859"/>
    <s v="Jonathan"/>
    <s v="Cornish"/>
    <x v="0"/>
    <x v="7"/>
    <x v="3"/>
    <s v="White Collar"/>
    <x v="297"/>
    <n v="655.36"/>
  </r>
  <r>
    <n v="200003860"/>
    <s v="Joe"/>
    <s v="Welch"/>
    <x v="0"/>
    <x v="33"/>
    <x v="3"/>
    <s v="Blue Collar"/>
    <x v="297"/>
    <n v="36149.33"/>
  </r>
  <r>
    <n v="200003861"/>
    <s v="Eric"/>
    <s v="Hamilton"/>
    <x v="0"/>
    <x v="39"/>
    <x v="3"/>
    <s v="Blue Collar"/>
    <x v="297"/>
    <n v="740.2"/>
  </r>
  <r>
    <n v="200003862"/>
    <s v="Nathan"/>
    <s v="Turner"/>
    <x v="0"/>
    <x v="8"/>
    <x v="3"/>
    <s v="Blue Collar"/>
    <x v="297"/>
    <n v="41989.440000000002"/>
  </r>
  <r>
    <n v="200003863"/>
    <s v="Owen"/>
    <s v="Ball"/>
    <x v="0"/>
    <x v="41"/>
    <x v="3"/>
    <s v="Blue Collar"/>
    <x v="297"/>
    <n v="29769.98"/>
  </r>
  <r>
    <n v="300003864"/>
    <s v="Bernadette"/>
    <s v="Hughes"/>
    <x v="1"/>
    <x v="14"/>
    <x v="2"/>
    <s v="Blue Collar"/>
    <x v="297"/>
    <n v="101532.72"/>
  </r>
  <r>
    <n v="100003865"/>
    <s v="Carl"/>
    <s v="Hemmings"/>
    <x v="0"/>
    <x v="12"/>
    <x v="0"/>
    <s v="White Collar"/>
    <x v="298"/>
    <n v="7729.82"/>
  </r>
  <r>
    <n v="100003866"/>
    <s v="Sally"/>
    <s v="Campbell"/>
    <x v="1"/>
    <x v="4"/>
    <x v="0"/>
    <s v="Blue Collar"/>
    <x v="298"/>
    <n v="94159.679999999993"/>
  </r>
  <r>
    <n v="100003867"/>
    <s v="Jonathan"/>
    <s v="Peters"/>
    <x v="0"/>
    <x v="5"/>
    <x v="0"/>
    <s v="Blue Collar"/>
    <x v="298"/>
    <n v="108224.88"/>
  </r>
  <r>
    <n v="100003868"/>
    <s v="Joshua"/>
    <s v="Stewart"/>
    <x v="0"/>
    <x v="14"/>
    <x v="0"/>
    <s v="Blue Collar"/>
    <x v="298"/>
    <n v="17331.37"/>
  </r>
  <r>
    <n v="100003869"/>
    <s v="Ivan"/>
    <s v="Taylor"/>
    <x v="0"/>
    <x v="24"/>
    <x v="0"/>
    <s v="White Collar"/>
    <x v="298"/>
    <n v="35451.370000000003"/>
  </r>
  <r>
    <n v="200003870"/>
    <s v="Diana"/>
    <s v="MacLeod"/>
    <x v="1"/>
    <x v="46"/>
    <x v="3"/>
    <s v="Other"/>
    <x v="298"/>
    <n v="28541.14"/>
  </r>
  <r>
    <n v="200003871"/>
    <s v="Mary"/>
    <s v="Robertson"/>
    <x v="1"/>
    <x v="31"/>
    <x v="3"/>
    <s v="Other"/>
    <x v="298"/>
    <n v="14635.36"/>
  </r>
  <r>
    <n v="300003872"/>
    <s v="Gavin"/>
    <s v="Young"/>
    <x v="0"/>
    <x v="34"/>
    <x v="2"/>
    <s v="White Collar"/>
    <x v="298"/>
    <n v="28483.25"/>
  </r>
  <r>
    <n v="100003873"/>
    <s v="Victor"/>
    <s v="Stewart"/>
    <x v="0"/>
    <x v="4"/>
    <x v="0"/>
    <s v="White Collar"/>
    <x v="299"/>
    <n v="72352.009999999995"/>
  </r>
  <r>
    <n v="100003874"/>
    <s v="Yvonne"/>
    <s v="Simpson"/>
    <x v="1"/>
    <x v="1"/>
    <x v="0"/>
    <s v="Blue Collar"/>
    <x v="299"/>
    <n v="32700.03"/>
  </r>
  <r>
    <n v="100003875"/>
    <s v="Samantha"/>
    <s v="King"/>
    <x v="1"/>
    <x v="14"/>
    <x v="0"/>
    <s v="White Collar"/>
    <x v="299"/>
    <n v="6110.25"/>
  </r>
  <r>
    <n v="100003876"/>
    <s v="Trevor"/>
    <s v="Watson"/>
    <x v="0"/>
    <x v="21"/>
    <x v="0"/>
    <s v="Other"/>
    <x v="299"/>
    <n v="99642.13"/>
  </r>
  <r>
    <n v="100003877"/>
    <s v="Sebastian"/>
    <s v="Greene"/>
    <x v="0"/>
    <x v="30"/>
    <x v="0"/>
    <s v="White Collar"/>
    <x v="299"/>
    <n v="23963.27"/>
  </r>
  <r>
    <n v="100003878"/>
    <s v="Lauren"/>
    <s v="Churchill"/>
    <x v="1"/>
    <x v="20"/>
    <x v="0"/>
    <s v="White Collar"/>
    <x v="299"/>
    <n v="5121.17"/>
  </r>
  <r>
    <n v="100003879"/>
    <s v="Wendy"/>
    <s v="Stewart"/>
    <x v="1"/>
    <x v="12"/>
    <x v="0"/>
    <s v="White Collar"/>
    <x v="299"/>
    <n v="37684.71"/>
  </r>
  <r>
    <n v="100003880"/>
    <s v="Boris"/>
    <s v="Rees"/>
    <x v="0"/>
    <x v="0"/>
    <x v="0"/>
    <s v="White Collar"/>
    <x v="299"/>
    <n v="18508.11"/>
  </r>
  <r>
    <n v="100003881"/>
    <s v="Abigail"/>
    <s v="Buckland"/>
    <x v="1"/>
    <x v="12"/>
    <x v="0"/>
    <s v="White Collar"/>
    <x v="299"/>
    <n v="47392.56"/>
  </r>
  <r>
    <n v="100003882"/>
    <s v="Lauren"/>
    <s v="Slater"/>
    <x v="1"/>
    <x v="22"/>
    <x v="0"/>
    <s v="Blue Collar"/>
    <x v="299"/>
    <n v="168.18"/>
  </r>
  <r>
    <n v="100003883"/>
    <s v="Joseph"/>
    <s v="Mills"/>
    <x v="0"/>
    <x v="4"/>
    <x v="0"/>
    <s v="White Collar"/>
    <x v="299"/>
    <n v="27984.32"/>
  </r>
  <r>
    <n v="100003884"/>
    <s v="Claire"/>
    <s v="Kerr"/>
    <x v="1"/>
    <x v="5"/>
    <x v="0"/>
    <s v="White Collar"/>
    <x v="299"/>
    <n v="17188.21"/>
  </r>
  <r>
    <n v="100003885"/>
    <s v="Abigail"/>
    <s v="Mills"/>
    <x v="1"/>
    <x v="30"/>
    <x v="0"/>
    <s v="White Collar"/>
    <x v="299"/>
    <n v="98.68"/>
  </r>
  <r>
    <n v="100003886"/>
    <s v="Theresa"/>
    <s v="Ellison"/>
    <x v="1"/>
    <x v="7"/>
    <x v="0"/>
    <s v="Blue Collar"/>
    <x v="299"/>
    <n v="45536.82"/>
  </r>
  <r>
    <n v="100003887"/>
    <s v="Irene"/>
    <s v="Piper"/>
    <x v="1"/>
    <x v="4"/>
    <x v="0"/>
    <s v="White Collar"/>
    <x v="299"/>
    <n v="30701.78"/>
  </r>
  <r>
    <n v="100003888"/>
    <s v="Carl"/>
    <s v="Hudson"/>
    <x v="0"/>
    <x v="13"/>
    <x v="0"/>
    <s v="White Collar"/>
    <x v="299"/>
    <n v="48932.49"/>
  </r>
  <r>
    <n v="100003889"/>
    <s v="Jane"/>
    <s v="Martin"/>
    <x v="1"/>
    <x v="12"/>
    <x v="0"/>
    <s v="White Collar"/>
    <x v="299"/>
    <n v="4867.07"/>
  </r>
  <r>
    <n v="100003890"/>
    <s v="Isaac"/>
    <s v="Berry"/>
    <x v="0"/>
    <x v="9"/>
    <x v="0"/>
    <s v="White Collar"/>
    <x v="299"/>
    <n v="63320.75"/>
  </r>
  <r>
    <n v="100003891"/>
    <s v="Kylie"/>
    <s v="Roberts"/>
    <x v="1"/>
    <x v="14"/>
    <x v="0"/>
    <s v="White Collar"/>
    <x v="299"/>
    <n v="39673.839999999997"/>
  </r>
  <r>
    <n v="100003892"/>
    <s v="Virginia"/>
    <s v="Clark"/>
    <x v="1"/>
    <x v="22"/>
    <x v="0"/>
    <s v="White Collar"/>
    <x v="299"/>
    <n v="26111.439999999999"/>
  </r>
  <r>
    <n v="100003893"/>
    <s v="Lisa"/>
    <s v="Terry"/>
    <x v="1"/>
    <x v="37"/>
    <x v="0"/>
    <s v="White Collar"/>
    <x v="299"/>
    <n v="34528.03"/>
  </r>
  <r>
    <n v="100003894"/>
    <s v="Tim"/>
    <s v="Chapman"/>
    <x v="0"/>
    <x v="4"/>
    <x v="0"/>
    <s v="White Collar"/>
    <x v="299"/>
    <n v="46663.19"/>
  </r>
  <r>
    <n v="100003895"/>
    <s v="Isaac"/>
    <s v="Mitchell"/>
    <x v="0"/>
    <x v="4"/>
    <x v="0"/>
    <s v="White Collar"/>
    <x v="299"/>
    <n v="31323.94"/>
  </r>
  <r>
    <n v="100003896"/>
    <s v="Ludwig"/>
    <s v="Ross"/>
    <x v="0"/>
    <x v="13"/>
    <x v="0"/>
    <s v="White Collar"/>
    <x v="299"/>
    <n v="76429.81"/>
  </r>
  <r>
    <n v="200003897"/>
    <s v="Paul"/>
    <s v="Abraham"/>
    <x v="0"/>
    <x v="6"/>
    <x v="3"/>
    <s v="Blue Collar"/>
    <x v="299"/>
    <n v="2991.66"/>
  </r>
  <r>
    <n v="200003898"/>
    <s v="William"/>
    <s v="Vance"/>
    <x v="0"/>
    <x v="15"/>
    <x v="3"/>
    <s v="Blue Collar"/>
    <x v="299"/>
    <n v="11925.05"/>
  </r>
  <r>
    <n v="200003899"/>
    <s v="Liam"/>
    <s v="Duncan"/>
    <x v="0"/>
    <x v="27"/>
    <x v="3"/>
    <s v="Blue Collar"/>
    <x v="299"/>
    <n v="680.55"/>
  </r>
  <r>
    <n v="200003900"/>
    <s v="Victor"/>
    <s v="Gray"/>
    <x v="0"/>
    <x v="5"/>
    <x v="3"/>
    <s v="Other"/>
    <x v="299"/>
    <n v="26818.45"/>
  </r>
  <r>
    <n v="200003901"/>
    <s v="Paul"/>
    <s v="Ince"/>
    <x v="0"/>
    <x v="34"/>
    <x v="3"/>
    <s v="Blue Collar"/>
    <x v="299"/>
    <n v="3052.4"/>
  </r>
  <r>
    <n v="200003902"/>
    <s v="Sally"/>
    <s v="Springer"/>
    <x v="1"/>
    <x v="39"/>
    <x v="3"/>
    <s v="Other"/>
    <x v="299"/>
    <n v="66211.28"/>
  </r>
  <r>
    <n v="200003903"/>
    <s v="Lily"/>
    <s v="Mackay"/>
    <x v="1"/>
    <x v="14"/>
    <x v="3"/>
    <s v="Other"/>
    <x v="299"/>
    <n v="59655.79"/>
  </r>
  <r>
    <n v="200003904"/>
    <s v="Dorothy"/>
    <s v="Davidson"/>
    <x v="1"/>
    <x v="40"/>
    <x v="3"/>
    <s v="Other"/>
    <x v="299"/>
    <n v="38534.15"/>
  </r>
  <r>
    <n v="200003905"/>
    <s v="Joshua"/>
    <s v="Rutherford"/>
    <x v="0"/>
    <x v="31"/>
    <x v="3"/>
    <s v="Blue Collar"/>
    <x v="299"/>
    <n v="4611.45"/>
  </r>
  <r>
    <n v="200003906"/>
    <s v="Donna"/>
    <s v="Baker"/>
    <x v="1"/>
    <x v="15"/>
    <x v="3"/>
    <s v="Other"/>
    <x v="299"/>
    <n v="59941.68"/>
  </r>
  <r>
    <n v="200003907"/>
    <s v="Evan"/>
    <s v="Welch"/>
    <x v="0"/>
    <x v="39"/>
    <x v="3"/>
    <s v="Other"/>
    <x v="299"/>
    <n v="76278.37"/>
  </r>
  <r>
    <n v="300003908"/>
    <s v="Angela"/>
    <s v="Walsh"/>
    <x v="1"/>
    <x v="38"/>
    <x v="2"/>
    <s v="White Collar"/>
    <x v="299"/>
    <n v="35567.660000000003"/>
  </r>
  <r>
    <n v="300003909"/>
    <s v="Matt"/>
    <s v="Clarkson"/>
    <x v="0"/>
    <x v="14"/>
    <x v="2"/>
    <s v="White Collar"/>
    <x v="299"/>
    <n v="37483.99"/>
  </r>
  <r>
    <n v="300003910"/>
    <s v="Joe"/>
    <s v="Gibson"/>
    <x v="0"/>
    <x v="11"/>
    <x v="2"/>
    <s v="Other"/>
    <x v="299"/>
    <n v="7552.5"/>
  </r>
  <r>
    <n v="300003911"/>
    <s v="Anne"/>
    <s v="McDonald"/>
    <x v="1"/>
    <x v="12"/>
    <x v="2"/>
    <s v="Blue Collar"/>
    <x v="299"/>
    <n v="54473.03"/>
  </r>
  <r>
    <n v="300003912"/>
    <s v="Amanda"/>
    <s v="May"/>
    <x v="1"/>
    <x v="4"/>
    <x v="2"/>
    <s v="White Collar"/>
    <x v="299"/>
    <n v="15436.43"/>
  </r>
  <r>
    <n v="100003913"/>
    <s v="Peter"/>
    <s v="Lawrence"/>
    <x v="0"/>
    <x v="30"/>
    <x v="0"/>
    <s v="Other"/>
    <x v="300"/>
    <n v="16997.689999999999"/>
  </r>
  <r>
    <n v="100003914"/>
    <s v="Christian"/>
    <s v="Marshall"/>
    <x v="0"/>
    <x v="14"/>
    <x v="0"/>
    <s v="White Collar"/>
    <x v="300"/>
    <n v="74633.009999999995"/>
  </r>
  <r>
    <n v="100003915"/>
    <s v="Theresa"/>
    <s v="Tucker"/>
    <x v="1"/>
    <x v="30"/>
    <x v="0"/>
    <s v="White Collar"/>
    <x v="300"/>
    <n v="26802.82"/>
  </r>
  <r>
    <n v="100003916"/>
    <s v="Samantha"/>
    <s v="Clarkson"/>
    <x v="1"/>
    <x v="10"/>
    <x v="0"/>
    <s v="Blue Collar"/>
    <x v="300"/>
    <n v="23208.75"/>
  </r>
  <r>
    <n v="100003917"/>
    <s v="Audrey"/>
    <s v="Walsh"/>
    <x v="1"/>
    <x v="30"/>
    <x v="0"/>
    <s v="White Collar"/>
    <x v="300"/>
    <n v="37466.44"/>
  </r>
  <r>
    <n v="100003918"/>
    <s v="Anne"/>
    <s v="Edmunds"/>
    <x v="1"/>
    <x v="7"/>
    <x v="0"/>
    <s v="White Collar"/>
    <x v="300"/>
    <n v="19092.990000000002"/>
  </r>
  <r>
    <n v="100003919"/>
    <s v="Michael"/>
    <s v="Coleman"/>
    <x v="0"/>
    <x v="7"/>
    <x v="0"/>
    <s v="Blue Collar"/>
    <x v="300"/>
    <n v="614.71"/>
  </r>
  <r>
    <n v="100003920"/>
    <s v="Kylie"/>
    <s v="Watson"/>
    <x v="1"/>
    <x v="8"/>
    <x v="0"/>
    <s v="White Collar"/>
    <x v="300"/>
    <n v="31581.7"/>
  </r>
  <r>
    <n v="100003921"/>
    <s v="Isaac"/>
    <s v="Buckland"/>
    <x v="0"/>
    <x v="14"/>
    <x v="0"/>
    <s v="White Collar"/>
    <x v="300"/>
    <n v="35743.129999999997"/>
  </r>
  <r>
    <n v="100003922"/>
    <s v="Jack"/>
    <s v="Marshall"/>
    <x v="0"/>
    <x v="12"/>
    <x v="0"/>
    <s v="White Collar"/>
    <x v="300"/>
    <n v="43385.17"/>
  </r>
  <r>
    <n v="200003923"/>
    <s v="Benjamin"/>
    <s v="Hodges"/>
    <x v="0"/>
    <x v="27"/>
    <x v="3"/>
    <s v="Blue Collar"/>
    <x v="300"/>
    <n v="31253.69"/>
  </r>
  <r>
    <n v="200003924"/>
    <s v="Liam"/>
    <s v="Ogden"/>
    <x v="0"/>
    <x v="1"/>
    <x v="3"/>
    <s v="Blue Collar"/>
    <x v="300"/>
    <n v="29320.71"/>
  </r>
  <r>
    <n v="200003925"/>
    <s v="Katherine"/>
    <s v="Smith"/>
    <x v="1"/>
    <x v="41"/>
    <x v="3"/>
    <s v="Other"/>
    <x v="300"/>
    <n v="12121.66"/>
  </r>
  <r>
    <n v="200003926"/>
    <s v="Joshua"/>
    <s v="Paige"/>
    <x v="0"/>
    <x v="16"/>
    <x v="3"/>
    <s v="Blue Collar"/>
    <x v="300"/>
    <n v="87116.58"/>
  </r>
  <r>
    <n v="100003927"/>
    <s v="Pippa"/>
    <s v="Dowd"/>
    <x v="1"/>
    <x v="9"/>
    <x v="0"/>
    <s v="White Collar"/>
    <x v="301"/>
    <n v="31436.85"/>
  </r>
  <r>
    <n v="100003928"/>
    <s v="Brian"/>
    <s v="Gibson"/>
    <x v="0"/>
    <x v="25"/>
    <x v="0"/>
    <s v="White Collar"/>
    <x v="301"/>
    <n v="21066.89"/>
  </r>
  <r>
    <n v="100003929"/>
    <s v="Benjamin"/>
    <s v="Arnold"/>
    <x v="0"/>
    <x v="3"/>
    <x v="0"/>
    <s v="White Collar"/>
    <x v="301"/>
    <n v="2096.64"/>
  </r>
  <r>
    <n v="100003930"/>
    <s v="Kimberly"/>
    <s v="Coleman"/>
    <x v="1"/>
    <x v="1"/>
    <x v="0"/>
    <s v="White Collar"/>
    <x v="301"/>
    <n v="21706.73"/>
  </r>
  <r>
    <n v="100003931"/>
    <s v="James"/>
    <s v="Mathis"/>
    <x v="0"/>
    <x v="12"/>
    <x v="0"/>
    <s v="Other"/>
    <x v="301"/>
    <n v="3890.92"/>
  </r>
  <r>
    <n v="100003932"/>
    <s v="Owen"/>
    <s v="Kerr"/>
    <x v="0"/>
    <x v="13"/>
    <x v="0"/>
    <s v="Other"/>
    <x v="301"/>
    <n v="16161.94"/>
  </r>
  <r>
    <n v="100003933"/>
    <s v="Lillian"/>
    <s v="Cornish"/>
    <x v="1"/>
    <x v="1"/>
    <x v="0"/>
    <s v="White Collar"/>
    <x v="301"/>
    <n v="63677.23"/>
  </r>
  <r>
    <n v="100003934"/>
    <s v="Anna"/>
    <s v="Piper"/>
    <x v="1"/>
    <x v="7"/>
    <x v="0"/>
    <s v="White Collar"/>
    <x v="301"/>
    <n v="30045.02"/>
  </r>
  <r>
    <n v="100003935"/>
    <s v="Jackson"/>
    <s v="Poole"/>
    <x v="0"/>
    <x v="12"/>
    <x v="0"/>
    <s v="White Collar"/>
    <x v="301"/>
    <n v="41423.78"/>
  </r>
  <r>
    <n v="200003936"/>
    <s v="Leonard"/>
    <s v="Avery"/>
    <x v="0"/>
    <x v="35"/>
    <x v="3"/>
    <s v="Blue Collar"/>
    <x v="301"/>
    <n v="5038.58"/>
  </r>
  <r>
    <n v="200003937"/>
    <s v="Jake"/>
    <s v="Fisher"/>
    <x v="0"/>
    <x v="25"/>
    <x v="3"/>
    <s v="Blue Collar"/>
    <x v="301"/>
    <n v="342.64"/>
  </r>
  <r>
    <n v="200003938"/>
    <s v="Robert"/>
    <s v="Bond"/>
    <x v="0"/>
    <x v="6"/>
    <x v="3"/>
    <s v="White Collar"/>
    <x v="301"/>
    <n v="3678.99"/>
  </r>
  <r>
    <n v="200003939"/>
    <s v="Angela"/>
    <s v="Davies"/>
    <x v="1"/>
    <x v="10"/>
    <x v="3"/>
    <s v="Other"/>
    <x v="301"/>
    <n v="47002.22"/>
  </r>
  <r>
    <n v="200003940"/>
    <s v="Jason"/>
    <s v="Wilson"/>
    <x v="0"/>
    <x v="23"/>
    <x v="3"/>
    <s v="Blue Collar"/>
    <x v="301"/>
    <n v="17674.349999999999"/>
  </r>
  <r>
    <n v="200003941"/>
    <s v="Joshua"/>
    <s v="Sutherland"/>
    <x v="0"/>
    <x v="23"/>
    <x v="3"/>
    <s v="Other"/>
    <x v="301"/>
    <n v="2114.65"/>
  </r>
  <r>
    <n v="100003942"/>
    <s v="Ruth"/>
    <s v="Rutherford"/>
    <x v="1"/>
    <x v="14"/>
    <x v="0"/>
    <s v="White Collar"/>
    <x v="302"/>
    <n v="36318.15"/>
  </r>
  <r>
    <n v="100003943"/>
    <s v="Una"/>
    <s v="Powell"/>
    <x v="1"/>
    <x v="19"/>
    <x v="0"/>
    <s v="White Collar"/>
    <x v="302"/>
    <n v="16041.11"/>
  </r>
  <r>
    <n v="100003944"/>
    <s v="Dominic"/>
    <s v="Peake"/>
    <x v="0"/>
    <x v="24"/>
    <x v="0"/>
    <s v="White Collar"/>
    <x v="302"/>
    <n v="33463.129999999997"/>
  </r>
  <r>
    <n v="100003945"/>
    <s v="Carolyn"/>
    <s v="Chapman"/>
    <x v="1"/>
    <x v="16"/>
    <x v="0"/>
    <s v="Blue Collar"/>
    <x v="302"/>
    <n v="12434.03"/>
  </r>
  <r>
    <n v="100003946"/>
    <s v="Steven"/>
    <s v="Hodges"/>
    <x v="0"/>
    <x v="32"/>
    <x v="0"/>
    <s v="Other"/>
    <x v="302"/>
    <n v="81498.880000000005"/>
  </r>
  <r>
    <n v="100003947"/>
    <s v="Isaac"/>
    <s v="Peters"/>
    <x v="0"/>
    <x v="2"/>
    <x v="0"/>
    <s v="Blue Collar"/>
    <x v="302"/>
    <n v="35219.879999999997"/>
  </r>
  <r>
    <n v="100003948"/>
    <s v="Owen"/>
    <s v="Baker"/>
    <x v="0"/>
    <x v="43"/>
    <x v="0"/>
    <s v="Blue Collar"/>
    <x v="302"/>
    <n v="3858.9"/>
  </r>
  <r>
    <n v="100003949"/>
    <s v="Harry"/>
    <s v="Poole"/>
    <x v="0"/>
    <x v="36"/>
    <x v="0"/>
    <s v="White Collar"/>
    <x v="302"/>
    <n v="117946.76"/>
  </r>
  <r>
    <n v="100003950"/>
    <s v="Lily"/>
    <s v="White"/>
    <x v="1"/>
    <x v="31"/>
    <x v="0"/>
    <s v="White Collar"/>
    <x v="302"/>
    <n v="24243.83"/>
  </r>
  <r>
    <n v="100003951"/>
    <s v="Dylan"/>
    <s v="Harris"/>
    <x v="0"/>
    <x v="5"/>
    <x v="0"/>
    <s v="Other"/>
    <x v="302"/>
    <n v="62353.77"/>
  </r>
  <r>
    <n v="100003952"/>
    <s v="Nicholas"/>
    <s v="Glover"/>
    <x v="0"/>
    <x v="12"/>
    <x v="0"/>
    <s v="Blue Collar"/>
    <x v="302"/>
    <n v="51263.69"/>
  </r>
  <r>
    <n v="200003953"/>
    <s v="Alexandra"/>
    <s v="Young"/>
    <x v="1"/>
    <x v="17"/>
    <x v="3"/>
    <s v="Other"/>
    <x v="302"/>
    <n v="94197.01"/>
  </r>
  <r>
    <n v="200003954"/>
    <s v="Christopher"/>
    <s v="Langdon"/>
    <x v="0"/>
    <x v="39"/>
    <x v="3"/>
    <s v="Other"/>
    <x v="302"/>
    <n v="35180.1"/>
  </r>
  <r>
    <n v="200003955"/>
    <s v="John"/>
    <s v="Lyman"/>
    <x v="0"/>
    <x v="27"/>
    <x v="3"/>
    <s v="Blue Collar"/>
    <x v="302"/>
    <n v="6989.48"/>
  </r>
  <r>
    <n v="300003956"/>
    <s v="Jane"/>
    <s v="Duncan"/>
    <x v="1"/>
    <x v="1"/>
    <x v="2"/>
    <s v="Blue Collar"/>
    <x v="302"/>
    <n v="4478.46"/>
  </r>
  <r>
    <n v="300003957"/>
    <s v="Stephen"/>
    <s v="Hardacre"/>
    <x v="0"/>
    <x v="5"/>
    <x v="2"/>
    <s v="Blue Collar"/>
    <x v="302"/>
    <n v="15071.69"/>
  </r>
  <r>
    <n v="100003958"/>
    <s v="Piers"/>
    <s v="Carr"/>
    <x v="0"/>
    <x v="8"/>
    <x v="0"/>
    <s v="White Collar"/>
    <x v="303"/>
    <n v="55687.53"/>
  </r>
  <r>
    <n v="100003959"/>
    <s v="Richard"/>
    <s v="Pullman"/>
    <x v="0"/>
    <x v="32"/>
    <x v="0"/>
    <s v="White Collar"/>
    <x v="303"/>
    <n v="24711.61"/>
  </r>
  <r>
    <n v="100003960"/>
    <s v="Michael"/>
    <s v="Poole"/>
    <x v="0"/>
    <x v="7"/>
    <x v="0"/>
    <s v="White Collar"/>
    <x v="303"/>
    <n v="122294.27"/>
  </r>
  <r>
    <n v="100003961"/>
    <s v="Leonard"/>
    <s v="Grant"/>
    <x v="0"/>
    <x v="6"/>
    <x v="0"/>
    <s v="Other"/>
    <x v="303"/>
    <n v="72061.710000000006"/>
  </r>
  <r>
    <n v="100003962"/>
    <s v="Sophie"/>
    <s v="Lewis"/>
    <x v="1"/>
    <x v="3"/>
    <x v="0"/>
    <s v="Blue Collar"/>
    <x v="303"/>
    <n v="50886.35"/>
  </r>
  <r>
    <n v="100003963"/>
    <s v="Alexandra"/>
    <s v="Rutherford"/>
    <x v="1"/>
    <x v="9"/>
    <x v="0"/>
    <s v="White Collar"/>
    <x v="303"/>
    <n v="62802.400000000001"/>
  </r>
  <r>
    <n v="100003964"/>
    <s v="Brian"/>
    <s v="Kerr"/>
    <x v="0"/>
    <x v="32"/>
    <x v="0"/>
    <s v="White Collar"/>
    <x v="303"/>
    <n v="48270.26"/>
  </r>
  <r>
    <n v="100003965"/>
    <s v="Emily"/>
    <s v="Brown"/>
    <x v="1"/>
    <x v="2"/>
    <x v="0"/>
    <s v="White Collar"/>
    <x v="303"/>
    <n v="67009.53"/>
  </r>
  <r>
    <n v="100003966"/>
    <s v="Alison"/>
    <s v="Gill"/>
    <x v="1"/>
    <x v="0"/>
    <x v="0"/>
    <s v="Blue Collar"/>
    <x v="303"/>
    <n v="41703.21"/>
  </r>
  <r>
    <n v="100003967"/>
    <s v="Sean"/>
    <s v="Hudson"/>
    <x v="0"/>
    <x v="36"/>
    <x v="0"/>
    <s v="Blue Collar"/>
    <x v="303"/>
    <n v="7211.67"/>
  </r>
  <r>
    <n v="200003968"/>
    <s v="Joanne"/>
    <s v="Hughes"/>
    <x v="1"/>
    <x v="35"/>
    <x v="3"/>
    <s v="Other"/>
    <x v="303"/>
    <n v="6555.97"/>
  </r>
  <r>
    <n v="200003969"/>
    <s v="Bella"/>
    <s v="Smith"/>
    <x v="1"/>
    <x v="14"/>
    <x v="3"/>
    <s v="Other"/>
    <x v="303"/>
    <n v="29666.2"/>
  </r>
  <r>
    <n v="200003970"/>
    <s v="Jacob"/>
    <s v="Grant"/>
    <x v="0"/>
    <x v="15"/>
    <x v="3"/>
    <s v="Other"/>
    <x v="303"/>
    <n v="18189.63"/>
  </r>
  <r>
    <n v="200003971"/>
    <s v="Jacob"/>
    <s v="Henderson"/>
    <x v="0"/>
    <x v="17"/>
    <x v="3"/>
    <s v="Blue Collar"/>
    <x v="303"/>
    <n v="83783.179999999993"/>
  </r>
  <r>
    <n v="200003972"/>
    <s v="Dylan"/>
    <s v="Taylor"/>
    <x v="0"/>
    <x v="8"/>
    <x v="3"/>
    <s v="Blue Collar"/>
    <x v="303"/>
    <n v="43693.07"/>
  </r>
  <r>
    <n v="300003973"/>
    <s v="Piers"/>
    <s v="Ross"/>
    <x v="0"/>
    <x v="30"/>
    <x v="2"/>
    <s v="Other"/>
    <x v="303"/>
    <n v="13910.24"/>
  </r>
  <r>
    <n v="100003974"/>
    <s v="Chloe"/>
    <s v="Mackenzie"/>
    <x v="1"/>
    <x v="13"/>
    <x v="0"/>
    <s v="White Collar"/>
    <x v="304"/>
    <n v="27031.96"/>
  </r>
  <r>
    <n v="100003975"/>
    <s v="Colin"/>
    <s v="Lambert"/>
    <x v="0"/>
    <x v="14"/>
    <x v="0"/>
    <s v="White Collar"/>
    <x v="304"/>
    <n v="10887.08"/>
  </r>
  <r>
    <n v="100003976"/>
    <s v="Keith"/>
    <s v="Simpson"/>
    <x v="0"/>
    <x v="12"/>
    <x v="0"/>
    <s v="White Collar"/>
    <x v="304"/>
    <n v="24904.09"/>
  </r>
  <r>
    <n v="100003977"/>
    <s v="Brian"/>
    <s v="Hunter"/>
    <x v="0"/>
    <x v="22"/>
    <x v="0"/>
    <s v="White Collar"/>
    <x v="304"/>
    <n v="21753.37"/>
  </r>
  <r>
    <n v="100003978"/>
    <s v="Scott"/>
    <s v="Gibson"/>
    <x v="0"/>
    <x v="22"/>
    <x v="0"/>
    <s v="White Collar"/>
    <x v="304"/>
    <n v="18055.900000000001"/>
  </r>
  <r>
    <n v="200003979"/>
    <s v="Luke"/>
    <s v="Berry"/>
    <x v="0"/>
    <x v="25"/>
    <x v="3"/>
    <s v="Blue Collar"/>
    <x v="304"/>
    <n v="48950"/>
  </r>
  <r>
    <n v="200003980"/>
    <s v="Caroline"/>
    <s v="Churchill"/>
    <x v="1"/>
    <x v="31"/>
    <x v="3"/>
    <s v="Other"/>
    <x v="304"/>
    <n v="10268.99"/>
  </r>
  <r>
    <n v="200003981"/>
    <s v="Elizabeth"/>
    <s v="James"/>
    <x v="1"/>
    <x v="32"/>
    <x v="3"/>
    <s v="Other"/>
    <x v="304"/>
    <n v="19695.66"/>
  </r>
  <r>
    <n v="200003982"/>
    <s v="Sean"/>
    <s v="McDonald"/>
    <x v="0"/>
    <x v="41"/>
    <x v="3"/>
    <s v="Other"/>
    <x v="304"/>
    <n v="28430.19"/>
  </r>
  <r>
    <n v="300003983"/>
    <s v="Bella"/>
    <s v="Ball"/>
    <x v="1"/>
    <x v="30"/>
    <x v="2"/>
    <s v="Blue Collar"/>
    <x v="304"/>
    <n v="25737.94"/>
  </r>
  <r>
    <n v="100003984"/>
    <s v="Tim"/>
    <s v="Nash"/>
    <x v="0"/>
    <x v="20"/>
    <x v="0"/>
    <s v="White Collar"/>
    <x v="305"/>
    <n v="5280.71"/>
  </r>
  <r>
    <n v="100003985"/>
    <s v="Dominic"/>
    <s v="May"/>
    <x v="0"/>
    <x v="4"/>
    <x v="0"/>
    <s v="White Collar"/>
    <x v="305"/>
    <n v="63644.91"/>
  </r>
  <r>
    <n v="100003986"/>
    <s v="Joseph"/>
    <s v="Short"/>
    <x v="0"/>
    <x v="31"/>
    <x v="0"/>
    <s v="Blue Collar"/>
    <x v="305"/>
    <n v="59591.3"/>
  </r>
  <r>
    <n v="100003987"/>
    <s v="Lily"/>
    <s v="Springer"/>
    <x v="1"/>
    <x v="22"/>
    <x v="0"/>
    <s v="Blue Collar"/>
    <x v="305"/>
    <n v="21420.720000000001"/>
  </r>
  <r>
    <n v="100003988"/>
    <s v="Theresa"/>
    <s v="Forsyth"/>
    <x v="1"/>
    <x v="5"/>
    <x v="0"/>
    <s v="White Collar"/>
    <x v="305"/>
    <n v="4570.9799999999996"/>
  </r>
  <r>
    <n v="100003989"/>
    <s v="Tim"/>
    <s v="Berry"/>
    <x v="0"/>
    <x v="21"/>
    <x v="0"/>
    <s v="White Collar"/>
    <x v="305"/>
    <n v="36964.26"/>
  </r>
  <r>
    <n v="100003990"/>
    <s v="Rachel"/>
    <s v="Johnston"/>
    <x v="1"/>
    <x v="16"/>
    <x v="0"/>
    <s v="White Collar"/>
    <x v="305"/>
    <n v="83616.58"/>
  </r>
  <r>
    <n v="100003991"/>
    <s v="Sue"/>
    <s v="Cornish"/>
    <x v="1"/>
    <x v="5"/>
    <x v="0"/>
    <s v="White Collar"/>
    <x v="305"/>
    <n v="139784.01"/>
  </r>
  <r>
    <n v="100003992"/>
    <s v="Andrew"/>
    <s v="Cornish"/>
    <x v="0"/>
    <x v="43"/>
    <x v="0"/>
    <s v="White Collar"/>
    <x v="305"/>
    <n v="23399.53"/>
  </r>
  <r>
    <n v="100003993"/>
    <s v="Joe"/>
    <s v="Terry"/>
    <x v="0"/>
    <x v="30"/>
    <x v="0"/>
    <s v="White Collar"/>
    <x v="305"/>
    <n v="30158.03"/>
  </r>
  <r>
    <n v="100003994"/>
    <s v="Rebecca"/>
    <s v="Poole"/>
    <x v="1"/>
    <x v="16"/>
    <x v="0"/>
    <s v="White Collar"/>
    <x v="305"/>
    <n v="28579.64"/>
  </r>
  <r>
    <n v="100003995"/>
    <s v="Karen"/>
    <s v="McLean"/>
    <x v="1"/>
    <x v="22"/>
    <x v="0"/>
    <s v="White Collar"/>
    <x v="305"/>
    <n v="34046.5"/>
  </r>
  <r>
    <n v="200003996"/>
    <s v="Christopher"/>
    <s v="Clarkson"/>
    <x v="0"/>
    <x v="18"/>
    <x v="3"/>
    <s v="Blue Collar"/>
    <x v="305"/>
    <n v="39834.949999999997"/>
  </r>
  <r>
    <n v="200003997"/>
    <s v="John"/>
    <s v="Lambert"/>
    <x v="0"/>
    <x v="27"/>
    <x v="3"/>
    <s v="Blue Collar"/>
    <x v="305"/>
    <n v="48775.57"/>
  </r>
  <r>
    <n v="200003998"/>
    <s v="Victor"/>
    <s v="Miller"/>
    <x v="0"/>
    <x v="31"/>
    <x v="3"/>
    <s v="Other"/>
    <x v="305"/>
    <n v="25358.91"/>
  </r>
  <r>
    <n v="200003999"/>
    <s v="Robert"/>
    <s v="Johnston"/>
    <x v="0"/>
    <x v="19"/>
    <x v="3"/>
    <s v="Other"/>
    <x v="305"/>
    <n v="76764.62"/>
  </r>
  <r>
    <n v="300004000"/>
    <s v="Benjamin"/>
    <s v="Ellison"/>
    <x v="0"/>
    <x v="9"/>
    <x v="2"/>
    <s v="White Collar"/>
    <x v="305"/>
    <n v="39935.980000000003"/>
  </r>
  <r>
    <n v="300004001"/>
    <s v="Gabrielle"/>
    <s v="Duncan"/>
    <x v="1"/>
    <x v="1"/>
    <x v="2"/>
    <s v="White Collar"/>
    <x v="305"/>
    <n v="92083.79"/>
  </r>
  <r>
    <n v="300004002"/>
    <s v="Austin"/>
    <s v="Paterson"/>
    <x v="0"/>
    <x v="5"/>
    <x v="2"/>
    <s v="White Collar"/>
    <x v="305"/>
    <n v="8250.75"/>
  </r>
  <r>
    <n v="100004003"/>
    <s v="Paul"/>
    <s v="Avery"/>
    <x v="0"/>
    <x v="2"/>
    <x v="0"/>
    <s v="White Collar"/>
    <x v="306"/>
    <n v="85331.69"/>
  </r>
  <r>
    <n v="100004004"/>
    <s v="Jane"/>
    <s v="Hemmings"/>
    <x v="1"/>
    <x v="38"/>
    <x v="0"/>
    <s v="Blue Collar"/>
    <x v="306"/>
    <n v="68518.55"/>
  </r>
  <r>
    <n v="100004005"/>
    <s v="John"/>
    <s v="Hamilton"/>
    <x v="0"/>
    <x v="34"/>
    <x v="0"/>
    <s v="White Collar"/>
    <x v="306"/>
    <n v="8435.91"/>
  </r>
  <r>
    <n v="100004006"/>
    <s v="Kimberly"/>
    <s v="Gray"/>
    <x v="1"/>
    <x v="31"/>
    <x v="0"/>
    <s v="Other"/>
    <x v="306"/>
    <n v="64470.77"/>
  </r>
  <r>
    <n v="100004007"/>
    <s v="Rachel"/>
    <s v="Davies"/>
    <x v="1"/>
    <x v="1"/>
    <x v="0"/>
    <s v="Blue Collar"/>
    <x v="306"/>
    <n v="4561.22"/>
  </r>
  <r>
    <n v="100004008"/>
    <s v="Sam"/>
    <s v="Sanderson"/>
    <x v="0"/>
    <x v="38"/>
    <x v="0"/>
    <s v="Blue Collar"/>
    <x v="306"/>
    <n v="42128.29"/>
  </r>
  <r>
    <n v="200004009"/>
    <s v="Alison"/>
    <s v="Quinn"/>
    <x v="1"/>
    <x v="47"/>
    <x v="3"/>
    <s v="Other"/>
    <x v="306"/>
    <n v="73503.899999999994"/>
  </r>
  <r>
    <n v="200004010"/>
    <s v="Sam"/>
    <s v="Lewis"/>
    <x v="0"/>
    <x v="47"/>
    <x v="3"/>
    <s v="Other"/>
    <x v="306"/>
    <n v="19711.66"/>
  </r>
  <r>
    <n v="200004011"/>
    <s v="Keith"/>
    <s v="Hughes"/>
    <x v="0"/>
    <x v="17"/>
    <x v="3"/>
    <s v="Blue Collar"/>
    <x v="306"/>
    <n v="56069.72"/>
  </r>
  <r>
    <n v="200004012"/>
    <s v="Hannah"/>
    <s v="Springer"/>
    <x v="1"/>
    <x v="19"/>
    <x v="3"/>
    <s v="Other"/>
    <x v="306"/>
    <n v="59477.82"/>
  </r>
  <r>
    <n v="200004013"/>
    <s v="Christian"/>
    <s v="Reid"/>
    <x v="0"/>
    <x v="35"/>
    <x v="3"/>
    <s v="Blue Collar"/>
    <x v="306"/>
    <n v="239.45"/>
  </r>
  <r>
    <n v="300004014"/>
    <s v="Stephen"/>
    <s v="May"/>
    <x v="0"/>
    <x v="7"/>
    <x v="2"/>
    <s v="Blue Collar"/>
    <x v="306"/>
    <n v="30293.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4A207C-A56F-4873-AFD2-C7A9E55DBEE2}" name="PivotTable9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Gender">
  <location ref="Q14:R17" firstHeaderRow="1" firstDataRow="1" firstDataCol="1"/>
  <pivotFields count="10"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3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showAll="0"/>
    <pivotField showAll="0">
      <items count="2">
        <item x="0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Customers" fld="0" subtotal="count" baseField="3" baseItem="0"/>
  </dataFields>
  <formats count="86">
    <format dxfId="123">
      <pivotArea field="3" type="button" dataOnly="0" labelOnly="1" outline="0" axis="axisRow" fieldPosition="0"/>
    </format>
    <format dxfId="122">
      <pivotArea dataOnly="0" labelOnly="1" outline="0" axis="axisValues" fieldPosition="0"/>
    </format>
    <format dxfId="121">
      <pivotArea field="3" type="button" dataOnly="0" labelOnly="1" outline="0" axis="axisRow" fieldPosition="0"/>
    </format>
    <format dxfId="120">
      <pivotArea dataOnly="0" labelOnly="1" outline="0" axis="axisValues" fieldPosition="0"/>
    </format>
    <format dxfId="119">
      <pivotArea grandRow="1" outline="0" collapsedLevelsAreSubtotals="1" fieldPosition="0"/>
    </format>
    <format dxfId="118">
      <pivotArea dataOnly="0" labelOnly="1" grandRow="1" outline="0" fieldPosition="0"/>
    </format>
    <format dxfId="117">
      <pivotArea field="3" type="button" dataOnly="0" labelOnly="1" outline="0" axis="axisRow" fieldPosition="0"/>
    </format>
    <format dxfId="116">
      <pivotArea dataOnly="0" labelOnly="1" outline="0" axis="axisValues" fieldPosition="0"/>
    </format>
    <format dxfId="115">
      <pivotArea field="3" type="button" dataOnly="0" labelOnly="1" outline="0" axis="axisRow" fieldPosition="0"/>
    </format>
    <format dxfId="114">
      <pivotArea dataOnly="0" labelOnly="1" outline="0" axis="axisValues" fieldPosition="0"/>
    </format>
    <format dxfId="113">
      <pivotArea outline="0" collapsedLevelsAreSubtotals="1" fieldPosition="0"/>
    </format>
    <format dxfId="112">
      <pivotArea dataOnly="0" labelOnly="1" fieldPosition="0">
        <references count="1">
          <reference field="3" count="0"/>
        </references>
      </pivotArea>
    </format>
    <format dxfId="111">
      <pivotArea dataOnly="0" labelOnly="1" grandRow="1" outline="0" fieldPosition="0"/>
    </format>
    <format dxfId="110">
      <pivotArea outline="0" collapsedLevelsAreSubtotals="1" fieldPosition="0"/>
    </format>
    <format dxfId="109">
      <pivotArea dataOnly="0" labelOnly="1" fieldPosition="0">
        <references count="1">
          <reference field="3" count="0"/>
        </references>
      </pivotArea>
    </format>
    <format dxfId="108">
      <pivotArea dataOnly="0" labelOnly="1" grandRow="1" outline="0" fieldPosition="0"/>
    </format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3" type="button" dataOnly="0" labelOnly="1" outline="0" axis="axisRow" fieldPosition="0"/>
    </format>
    <format dxfId="104">
      <pivotArea dataOnly="0" labelOnly="1" fieldPosition="0">
        <references count="1">
          <reference field="3" count="0"/>
        </references>
      </pivotArea>
    </format>
    <format dxfId="103">
      <pivotArea dataOnly="0" labelOnly="1" grandRow="1" outline="0" fieldPosition="0"/>
    </format>
    <format dxfId="102">
      <pivotArea dataOnly="0" labelOnly="1" outline="0" axis="axisValues" fieldPosition="0"/>
    </format>
    <format dxfId="101">
      <pivotArea type="all" dataOnly="0" outline="0" fieldPosition="0"/>
    </format>
    <format dxfId="100">
      <pivotArea field="3" type="button" dataOnly="0" labelOnly="1" outline="0" axis="axisRow" fieldPosition="0"/>
    </format>
    <format dxfId="99">
      <pivotArea dataOnly="0" labelOnly="1" grandRow="1" outline="0" fieldPosition="0"/>
    </format>
    <format dxfId="98">
      <pivotArea dataOnly="0" labelOnly="1" outline="0" axis="axisValues" fieldPosition="0"/>
    </format>
    <format dxfId="97">
      <pivotArea collapsedLevelsAreSubtotals="1" fieldPosition="0">
        <references count="1">
          <reference field="3" count="0"/>
        </references>
      </pivotArea>
    </format>
    <format dxfId="96">
      <pivotArea dataOnly="0" labelOnly="1" fieldPosition="0">
        <references count="1">
          <reference field="3" count="0"/>
        </references>
      </pivotArea>
    </format>
    <format dxfId="95">
      <pivotArea type="all" dataOnly="0" outline="0" fieldPosition="0"/>
    </format>
    <format dxfId="94">
      <pivotArea field="3" type="button" dataOnly="0" labelOnly="1" outline="0" axis="axisRow" fieldPosition="0"/>
    </format>
    <format dxfId="93">
      <pivotArea dataOnly="0" labelOnly="1" fieldPosition="0">
        <references count="1">
          <reference field="3" count="0"/>
        </references>
      </pivotArea>
    </format>
    <format dxfId="92">
      <pivotArea dataOnly="0" labelOnly="1" grandRow="1" outline="0" fieldPosition="0"/>
    </format>
    <format dxfId="91">
      <pivotArea dataOnly="0" labelOnly="1" outline="0" axis="axisValues" fieldPosition="0"/>
    </format>
    <format dxfId="90">
      <pivotArea dataOnly="0" labelOnly="1" fieldPosition="0">
        <references count="1">
          <reference field="3" count="0"/>
        </references>
      </pivotArea>
    </format>
    <format dxfId="89">
      <pivotArea dataOnly="0" labelOnly="1" fieldPosition="0">
        <references count="1">
          <reference field="3" count="0"/>
        </references>
      </pivotArea>
    </format>
    <format dxfId="88">
      <pivotArea dataOnly="0" labelOnly="1" grandRow="1" outline="0" fieldPosition="0"/>
    </format>
    <format dxfId="87">
      <pivotArea field="3" type="button" dataOnly="0" labelOnly="1" outline="0" axis="axisRow" fieldPosition="0"/>
    </format>
    <format dxfId="86">
      <pivotArea dataOnly="0" labelOnly="1" outline="0" axis="axisValues" fieldPosition="0"/>
    </format>
    <format dxfId="85">
      <pivotArea grandRow="1" outline="0" collapsedLevelsAreSubtotals="1" fieldPosition="0"/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3" type="button" dataOnly="0" labelOnly="1" outline="0" axis="axisRow" fieldPosition="0"/>
    </format>
    <format dxfId="81">
      <pivotArea dataOnly="0" labelOnly="1" fieldPosition="0">
        <references count="1">
          <reference field="3" count="0"/>
        </references>
      </pivotArea>
    </format>
    <format dxfId="80">
      <pivotArea dataOnly="0" labelOnly="1" grandRow="1" outline="0" fieldPosition="0"/>
    </format>
    <format dxfId="79">
      <pivotArea dataOnly="0" labelOnly="1" outline="0" axis="axisValues" fieldPosition="0"/>
    </format>
    <format dxfId="78">
      <pivotArea field="3" type="button" dataOnly="0" labelOnly="1" outline="0" axis="axisRow" fieldPosition="0"/>
    </format>
    <format dxfId="77">
      <pivotArea field="3" type="button" dataOnly="0" labelOnly="1" outline="0" axis="axisRow" fieldPosition="0"/>
    </format>
    <format dxfId="76">
      <pivotArea dataOnly="0" labelOnly="1" outline="0" axis="axisValues" fieldPosition="0"/>
    </format>
    <format dxfId="75">
      <pivotArea grandRow="1" outline="0" collapsedLevelsAreSubtotals="1" fieldPosition="0"/>
    </format>
    <format dxfId="74">
      <pivotArea dataOnly="0" labelOnly="1" grandRow="1" outline="0" fieldPosition="0"/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3" type="button" dataOnly="0" labelOnly="1" outline="0" axis="axisRow" fieldPosition="0"/>
    </format>
    <format dxfId="70">
      <pivotArea dataOnly="0" labelOnly="1" fieldPosition="0">
        <references count="1">
          <reference field="3" count="0"/>
        </references>
      </pivotArea>
    </format>
    <format dxfId="69">
      <pivotArea dataOnly="0" labelOnly="1" grandRow="1" outline="0" fieldPosition="0"/>
    </format>
    <format dxfId="68">
      <pivotArea dataOnly="0" labelOnly="1" outline="0" axis="axisValues" fieldPosition="0"/>
    </format>
    <format dxfId="67">
      <pivotArea field="3" type="button" dataOnly="0" labelOnly="1" outline="0" axis="axisRow" fieldPosition="0"/>
    </format>
    <format dxfId="66">
      <pivotArea dataOnly="0" labelOnly="1" grandRow="1" outline="0" fieldPosition="0"/>
    </format>
    <format dxfId="65">
      <pivotArea collapsedLevelsAreSubtotals="1" fieldPosition="0">
        <references count="1">
          <reference field="3" count="1">
            <x v="1"/>
          </reference>
        </references>
      </pivotArea>
    </format>
    <format dxfId="64">
      <pivotArea dataOnly="0" labelOnly="1" fieldPosition="0">
        <references count="1">
          <reference field="3" count="1">
            <x v="1"/>
          </reference>
        </references>
      </pivotArea>
    </format>
    <format dxfId="63">
      <pivotArea field="3" type="button" dataOnly="0" labelOnly="1" outline="0" axis="axisRow" fieldPosition="0"/>
    </format>
    <format dxfId="62">
      <pivotArea collapsedLevelsAreSubtotals="1" fieldPosition="0">
        <references count="1">
          <reference field="3" count="1">
            <x v="0"/>
          </reference>
        </references>
      </pivotArea>
    </format>
    <format dxfId="61">
      <pivotArea collapsedLevelsAreSubtotals="1" fieldPosition="0">
        <references count="1">
          <reference field="3" count="0"/>
        </references>
      </pivotArea>
    </format>
    <format dxfId="60">
      <pivotArea grandRow="1" outline="0" collapsedLevelsAreSubtotals="1" fieldPosition="0"/>
    </format>
    <format dxfId="59">
      <pivotArea dataOnly="0" labelOnly="1" grandRow="1" outline="0" fieldPosition="0"/>
    </format>
    <format dxfId="58">
      <pivotArea dataOnly="0" labelOnly="1" fieldPosition="0">
        <references count="1">
          <reference field="3" count="0"/>
        </references>
      </pivotArea>
    </format>
    <format dxfId="57">
      <pivotArea field="3" type="button" dataOnly="0" labelOnly="1" outline="0" axis="axisRow" fieldPosition="0"/>
    </format>
    <format dxfId="56">
      <pivotArea dataOnly="0" labelOnly="1" outline="0" axis="axisValues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3" type="button" dataOnly="0" labelOnly="1" outline="0" axis="axisRow" fieldPosition="0"/>
    </format>
    <format dxfId="52">
      <pivotArea dataOnly="0" labelOnly="1" fieldPosition="0">
        <references count="1">
          <reference field="3" count="0"/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3" type="button" dataOnly="0" labelOnly="1" outline="0" axis="axisRow" fieldPosition="0"/>
    </format>
    <format dxfId="46">
      <pivotArea dataOnly="0" labelOnly="1" fieldPosition="0">
        <references count="1">
          <reference field="3" count="0"/>
        </references>
      </pivotArea>
    </format>
    <format dxfId="45">
      <pivotArea dataOnly="0" labelOnly="1" grandRow="1" outline="0" fieldPosition="0"/>
    </format>
    <format dxfId="44">
      <pivotArea dataOnly="0" labelOnly="1" outline="0" axis="axisValues" fieldPosition="0"/>
    </format>
    <format dxfId="43">
      <pivotArea type="all" dataOnly="0" outline="0" fieldPosition="0"/>
    </format>
    <format dxfId="38">
      <pivotArea outline="0" collapsedLevelsAreSubtotals="1" fieldPosition="0"/>
    </format>
    <format dxfId="37">
      <pivotArea field="3" type="button" dataOnly="0" labelOnly="1" outline="0" axis="axisRow" fieldPosition="0"/>
    </format>
    <format dxfId="36">
      <pivotArea dataOnly="0" labelOnly="1" fieldPosition="0">
        <references count="1">
          <reference field="3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B9B214-6281-44FF-AADD-A318817B585E}" name="PivotTable29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Age Range">
  <location ref="D41:E46" firstHeaderRow="1" firstDataRow="1" firstDataCol="1"/>
  <pivotFields count="10">
    <pivotField showAll="0" defaultSubtotal="0"/>
    <pivotField showAll="0" defaultSubtotal="0"/>
    <pivotField showAll="0" defaultSubtotal="0"/>
    <pivotField showAll="0" defaultSubtotal="0"/>
    <pivotField axis="axisRow" numFmtId="1" showAll="0" defaultSubtotal="0">
      <items count="7">
        <item x="0"/>
        <item x="1"/>
        <item x="2"/>
        <item x="3"/>
        <item x="4"/>
        <item x="5"/>
        <item x="6"/>
      </items>
    </pivotField>
    <pivotField showAll="0" defaultSubtotal="0"/>
    <pivotField showAll="0" defaultSubtotal="0"/>
    <pivotField numFmtId="15" showAll="0" defaultSubtotal="0">
      <items count="3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</items>
    </pivotField>
    <pivotField dataField="1" showAll="0" defaultSubtotal="0"/>
    <pivotField showAll="0" defaultSubtotal="0">
      <items count="1">
        <item x="0"/>
      </items>
    </pivotField>
  </pivotFields>
  <rowFields count="1">
    <field x="4"/>
  </rowFields>
  <rowItems count="5">
    <i>
      <x v="1"/>
    </i>
    <i>
      <x v="2"/>
    </i>
    <i>
      <x v="3"/>
    </i>
    <i>
      <x v="4"/>
    </i>
    <i>
      <x v="5"/>
    </i>
  </rowItems>
  <colItems count="1">
    <i/>
  </colItems>
  <dataFields count="1">
    <dataField name="Average of Balance" fld="8" subtotal="average" baseField="4" baseItem="1"/>
  </dataFields>
  <formats count="41">
    <format dxfId="159">
      <pivotArea collapsedLevelsAreSubtotals="1" fieldPosition="0">
        <references count="1">
          <reference field="4" count="0"/>
        </references>
      </pivotArea>
    </format>
    <format dxfId="158">
      <pivotArea dataOnly="0" labelOnly="1" fieldPosition="0">
        <references count="1">
          <reference field="4" count="0"/>
        </references>
      </pivotArea>
    </format>
    <format dxfId="157">
      <pivotArea collapsedLevelsAreSubtotals="1" fieldPosition="0">
        <references count="1">
          <reference field="4" count="0"/>
        </references>
      </pivotArea>
    </format>
    <format dxfId="156">
      <pivotArea dataOnly="0" labelOnly="1" fieldPosition="0">
        <references count="1">
          <reference field="4" count="0"/>
        </references>
      </pivotArea>
    </format>
    <format dxfId="155">
      <pivotArea grandRow="1" outline="0" collapsedLevelsAreSubtotals="1" fieldPosition="0"/>
    </format>
    <format dxfId="154">
      <pivotArea dataOnly="0" labelOnly="1" grandRow="1" outline="0" fieldPosition="0"/>
    </format>
    <format dxfId="153">
      <pivotArea grandRow="1" outline="0" collapsedLevelsAreSubtotals="1" fieldPosition="0"/>
    </format>
    <format dxfId="152">
      <pivotArea dataOnly="0" labelOnly="1" grandRow="1" outline="0" fieldPosition="0"/>
    </format>
    <format dxfId="151">
      <pivotArea field="4" type="button" dataOnly="0" labelOnly="1" outline="0" axis="axisRow" fieldPosition="0"/>
    </format>
    <format dxfId="150">
      <pivotArea dataOnly="0" labelOnly="1" outline="0" axis="axisValues" fieldPosition="0"/>
    </format>
    <format dxfId="149">
      <pivotArea field="4" type="button" dataOnly="0" labelOnly="1" outline="0" axis="axisRow" fieldPosition="0"/>
    </format>
    <format dxfId="148">
      <pivotArea dataOnly="0" labelOnly="1" outline="0" axis="axisValues" fieldPosition="0"/>
    </format>
    <format dxfId="147">
      <pivotArea type="all" dataOnly="0" outline="0" fieldPosition="0"/>
    </format>
    <format dxfId="146">
      <pivotArea outline="0" collapsedLevelsAreSubtotals="1" fieldPosition="0"/>
    </format>
    <format dxfId="145">
      <pivotArea field="4" type="button" dataOnly="0" labelOnly="1" outline="0" axis="axisRow" fieldPosition="0"/>
    </format>
    <format dxfId="144">
      <pivotArea dataOnly="0" labelOnly="1" fieldPosition="0">
        <references count="1">
          <reference field="4" count="5">
            <x v="1"/>
            <x v="2"/>
            <x v="3"/>
            <x v="4"/>
            <x v="5"/>
          </reference>
        </references>
      </pivotArea>
    </format>
    <format dxfId="143">
      <pivotArea dataOnly="0" labelOnly="1" outline="0" axis="axisValues" fieldPosition="0"/>
    </format>
    <format dxfId="142">
      <pivotArea field="4" type="button" dataOnly="0" labelOnly="1" outline="0" axis="axisRow" fieldPosition="0"/>
    </format>
    <format dxfId="141">
      <pivotArea dataOnly="0" labelOnly="1" outline="0" axis="axisValues" fieldPosition="0"/>
    </format>
    <format dxfId="140">
      <pivotArea collapsedLevelsAreSubtotals="1" fieldPosition="0">
        <references count="1">
          <reference field="4" count="1">
            <x v="4"/>
          </reference>
        </references>
      </pivotArea>
    </format>
    <format dxfId="139">
      <pivotArea collapsedLevelsAreSubtotals="1" fieldPosition="0">
        <references count="1">
          <reference field="4" count="1">
            <x v="4"/>
          </reference>
        </references>
      </pivotArea>
    </format>
    <format dxfId="138">
      <pivotArea dataOnly="0" labelOnly="1" fieldPosition="0">
        <references count="1">
          <reference field="4" count="2">
            <x v="3"/>
            <x v="4"/>
          </reference>
        </references>
      </pivotArea>
    </format>
    <format dxfId="137">
      <pivotArea collapsedLevelsAreSubtotals="1" fieldPosition="0">
        <references count="1">
          <reference field="4" count="1">
            <x v="5"/>
          </reference>
        </references>
      </pivotArea>
    </format>
    <format dxfId="136">
      <pivotArea dataOnly="0" labelOnly="1" fieldPosition="0">
        <references count="1">
          <reference field="4" count="1">
            <x v="5"/>
          </reference>
        </references>
      </pivotArea>
    </format>
    <format dxfId="135">
      <pivotArea dataOnly="0" labelOnly="1" outline="0" axis="axisValues" fieldPosition="0"/>
    </format>
    <format dxfId="134">
      <pivotArea dataOnly="0" labelOnly="1" fieldPosition="0">
        <references count="1">
          <reference field="4" count="5">
            <x v="1"/>
            <x v="2"/>
            <x v="3"/>
            <x v="4"/>
            <x v="5"/>
          </reference>
        </references>
      </pivotArea>
    </format>
    <format dxfId="133">
      <pivotArea type="all" dataOnly="0" outline="0" fieldPosition="0"/>
    </format>
    <format dxfId="132">
      <pivotArea outline="0" collapsedLevelsAreSubtotals="1" fieldPosition="0"/>
    </format>
    <format dxfId="131">
      <pivotArea field="4" type="button" dataOnly="0" labelOnly="1" outline="0" axis="axisRow" fieldPosition="0"/>
    </format>
    <format dxfId="130">
      <pivotArea dataOnly="0" labelOnly="1" fieldPosition="0">
        <references count="1">
          <reference field="4" count="5">
            <x v="1"/>
            <x v="2"/>
            <x v="3"/>
            <x v="4"/>
            <x v="5"/>
          </reference>
        </references>
      </pivotArea>
    </format>
    <format dxfId="129">
      <pivotArea dataOnly="0" labelOnly="1" outline="0" axis="axisValues" fieldPosition="0"/>
    </format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4" type="button" dataOnly="0" labelOnly="1" outline="0" axis="axisRow" fieldPosition="0"/>
    </format>
    <format dxfId="125">
      <pivotArea dataOnly="0" labelOnly="1" fieldPosition="0">
        <references count="1">
          <reference field="4" count="5">
            <x v="1"/>
            <x v="2"/>
            <x v="3"/>
            <x v="4"/>
            <x v="5"/>
          </reference>
        </references>
      </pivotArea>
    </format>
    <format dxfId="124">
      <pivotArea dataOnly="0" labelOnly="1" outline="0" axis="axisValues" fieldPosition="0"/>
    </format>
    <format dxfId="32">
      <pivotArea type="all" dataOnly="0" outline="0" fieldPosition="0"/>
    </format>
    <format dxfId="29">
      <pivotArea outline="0" collapsedLevelsAreSubtotals="1" fieldPosition="0"/>
    </format>
    <format dxfId="28">
      <pivotArea field="4" type="button" dataOnly="0" labelOnly="1" outline="0" axis="axisRow" fieldPosition="0"/>
    </format>
    <format dxfId="27">
      <pivotArea dataOnly="0" labelOnly="1" fieldPosition="0">
        <references count="1">
          <reference field="4" count="5">
            <x v="1"/>
            <x v="2"/>
            <x v="3"/>
            <x v="4"/>
            <x v="5"/>
          </reference>
        </references>
      </pivotArea>
    </format>
    <format dxfId="26">
      <pivotArea dataOnly="0" labelOnly="1" outline="0" axis="axisValues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5B5C7-C56B-413F-B7D0-8BF626A8EAF5}" name="PivotTable2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23:E3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Balance" fld="0" baseField="0" baseItem="0"/>
  </dataFields>
  <formats count="31">
    <format dxfId="184">
      <pivotArea field="1" type="button" dataOnly="0" labelOnly="1" outline="0" axis="axisRow" fieldPosition="0"/>
    </format>
    <format dxfId="183">
      <pivotArea dataOnly="0" labelOnly="1" outline="0" axis="axisValues" fieldPosition="0"/>
    </format>
    <format dxfId="182">
      <pivotArea dataOnly="0" labelOnly="1" fieldPosition="0">
        <references count="1">
          <reference field="1" count="0"/>
        </references>
      </pivotArea>
    </format>
    <format dxfId="181">
      <pivotArea collapsedLevelsAreSubtotals="1" fieldPosition="0">
        <references count="1">
          <reference field="1" count="0"/>
        </references>
      </pivotArea>
    </format>
    <format dxfId="180">
      <pivotArea grandRow="1" outline="0" collapsedLevelsAreSubtotals="1" fieldPosition="0"/>
    </format>
    <format dxfId="179">
      <pivotArea dataOnly="0" labelOnly="1" grandRow="1" outline="0" fieldPosition="0"/>
    </format>
    <format dxfId="178">
      <pivotArea field="1" type="button" dataOnly="0" labelOnly="1" outline="0" axis="axisRow" fieldPosition="0"/>
    </format>
    <format dxfId="177">
      <pivotArea dataOnly="0" labelOnly="1" fieldPosition="0">
        <references count="1">
          <reference field="1" count="0"/>
        </references>
      </pivotArea>
    </format>
    <format dxfId="176">
      <pivotArea dataOnly="0" labelOnly="1" grandRow="1" outline="0" fieldPosition="0"/>
    </format>
    <format dxfId="175">
      <pivotArea outline="0" collapsedLevelsAreSubtotals="1" fieldPosition="0"/>
    </format>
    <format dxfId="174">
      <pivotArea dataOnly="0" labelOnly="1" outline="0" axis="axisValues" fieldPosition="0"/>
    </format>
    <format dxfId="173">
      <pivotArea dataOnly="0" labelOnly="1" fieldPosition="0">
        <references count="1">
          <reference field="1" count="0"/>
        </references>
      </pivotArea>
    </format>
    <format dxfId="172">
      <pivotArea dataOnly="0" labelOnly="1" fieldPosition="0">
        <references count="1">
          <reference field="1" count="0"/>
        </references>
      </pivotArea>
    </format>
    <format dxfId="171">
      <pivotArea type="all" dataOnly="0" outline="0" fieldPosition="0"/>
    </format>
    <format dxfId="170">
      <pivotArea outline="0" collapsedLevelsAreSubtotals="1" fieldPosition="0"/>
    </format>
    <format dxfId="169">
      <pivotArea field="1" type="button" dataOnly="0" labelOnly="1" outline="0" axis="axisRow" fieldPosition="0"/>
    </format>
    <format dxfId="168">
      <pivotArea dataOnly="0" labelOnly="1" fieldPosition="0">
        <references count="1">
          <reference field="1" count="0"/>
        </references>
      </pivotArea>
    </format>
    <format dxfId="167">
      <pivotArea dataOnly="0" labelOnly="1" grandRow="1" outline="0" fieldPosition="0"/>
    </format>
    <format dxfId="166">
      <pivotArea dataOnly="0" labelOnly="1" outline="0" axis="axisValues" fieldPosition="0"/>
    </format>
    <format dxfId="165">
      <pivotArea type="all" dataOnly="0" outline="0" fieldPosition="0"/>
    </format>
    <format dxfId="164">
      <pivotArea outline="0" collapsedLevelsAreSubtotals="1" fieldPosition="0"/>
    </format>
    <format dxfId="163">
      <pivotArea field="1" type="button" dataOnly="0" labelOnly="1" outline="0" axis="axisRow" fieldPosition="0"/>
    </format>
    <format dxfId="162">
      <pivotArea dataOnly="0" labelOnly="1" fieldPosition="0">
        <references count="1">
          <reference field="1" count="0"/>
        </references>
      </pivotArea>
    </format>
    <format dxfId="161">
      <pivotArea dataOnly="0" labelOnly="1" grandRow="1" outline="0" fieldPosition="0"/>
    </format>
    <format dxfId="160">
      <pivotArea dataOnly="0" labelOnly="1" outline="0" axis="axisValues" fieldPosition="0"/>
    </format>
    <format dxfId="24">
      <pivotArea type="all" dataOnly="0" outline="0" fieldPosition="0"/>
    </format>
    <format dxfId="19">
      <pivotArea outline="0" collapsedLevelsAreSubtotals="1" fieldPosition="0"/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6. P1-UK-Bank-Customers.xlsx!Account_Data">
        <x15:activeTabTopLevelEntity name="[Account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00EA04-D4CC-40B7-869A-71B7994179A7}" name="PivotTable17" cacheId="1" applyNumberFormats="0" applyBorderFormats="0" applyFontFormats="0" applyPatternFormats="0" applyAlignmentFormats="0" applyWidthHeightFormats="1" dataCaption="Age Phases" updatedVersion="7" minRefreshableVersion="3" useAutoFormatting="1" rowGrandTotals="0" colGrandTotals="0" itemPrintTitles="1" createdVersion="7" indent="0" outline="1" outlineData="1" multipleFieldFilters="0" rowHeaderCaption="Region">
  <location ref="C14:E18" firstHeaderRow="0" firstDataRow="1" firstDataCol="1"/>
  <pivotFields count="10">
    <pivotField showAll="0"/>
    <pivotField showAll="0"/>
    <pivotField showAll="0"/>
    <pivotField showAll="0"/>
    <pivotField dataField="1" showAll="0"/>
    <pivotField axis="axisRow" showAll="0" measureFilter="1">
      <items count="5">
        <item x="0"/>
        <item x="1"/>
        <item x="3"/>
        <item x="2"/>
        <item t="default"/>
      </items>
    </pivotField>
    <pivotField showAll="0"/>
    <pivotField showAll="0">
      <items count="3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5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Sum of Balance" fld="8" baseField="0" baseItem="0"/>
    <dataField name="Average of Age" fld="4" subtotal="average" baseField="5" baseItem="0" numFmtId="1"/>
  </dataFields>
  <formats count="73">
    <format dxfId="252">
      <pivotArea outline="0" collapsedLevelsAreSubtotals="1" fieldPosition="0"/>
    </format>
    <format dxfId="251">
      <pivotArea dataOnly="0" labelOnly="1" outline="0" axis="axisValues" fieldPosition="0"/>
    </format>
    <format dxfId="250">
      <pivotArea type="all" dataOnly="0" outline="0" fieldPosition="0"/>
    </format>
    <format dxfId="249">
      <pivotArea outline="0" collapsedLevelsAreSubtotals="1" fieldPosition="0"/>
    </format>
    <format dxfId="248">
      <pivotArea field="-2" type="button" dataOnly="0" labelOnly="1" outline="0" axis="axisCol" fieldPosition="0"/>
    </format>
    <format dxfId="247">
      <pivotArea dataOnly="0" labelOnly="1" grandCol="1" outline="0" axis="axisCol" fieldPosition="0"/>
    </format>
    <format dxfId="246">
      <pivotArea type="all" dataOnly="0" outline="0" fieldPosition="0"/>
    </format>
    <format dxfId="245">
      <pivotArea outline="0" collapsedLevelsAreSubtotals="1" fieldPosition="0"/>
    </format>
    <format dxfId="244">
      <pivotArea field="-2" type="button" dataOnly="0" labelOnly="1" outline="0" axis="axisCol" fieldPosition="0"/>
    </format>
    <format dxfId="243">
      <pivotArea dataOnly="0" labelOnly="1" grandCol="1" outline="0" axis="axisCol" fieldPosition="0"/>
    </format>
    <format dxfId="242">
      <pivotArea type="all" dataOnly="0" outline="0" fieldPosition="0"/>
    </format>
    <format dxfId="241">
      <pivotArea outline="0" collapsedLevelsAreSubtotals="1" fieldPosition="0"/>
    </format>
    <format dxfId="240">
      <pivotArea field="-2" type="button" dataOnly="0" labelOnly="1" outline="0" axis="axisCol" fieldPosition="0"/>
    </format>
    <format dxfId="239">
      <pivotArea dataOnly="0" labelOnly="1" grandCol="1" outline="0" axis="axisCol" fieldPosition="0"/>
    </format>
    <format dxfId="238">
      <pivotArea field="-2" type="button" dataOnly="0" labelOnly="1" outline="0" axis="axisCol" fieldPosition="0"/>
    </format>
    <format dxfId="237">
      <pivotArea field="-2" type="button" dataOnly="0" labelOnly="1" outline="0" axis="axisCol" fieldPosition="0"/>
    </format>
    <format dxfId="236">
      <pivotArea type="all" dataOnly="0" outline="0" fieldPosition="0"/>
    </format>
    <format dxfId="235">
      <pivotArea outline="0" collapsedLevelsAreSubtotals="1" fieldPosition="0"/>
    </format>
    <format dxfId="234">
      <pivotArea field="-2" type="button" dataOnly="0" labelOnly="1" outline="0" axis="axisCol" fieldPosition="0"/>
    </format>
    <format dxfId="233">
      <pivotArea dataOnly="0" labelOnly="1" grandCol="1" outline="0" axis="axisCol" fieldPosition="0"/>
    </format>
    <format dxfId="232">
      <pivotArea field="-2" type="button" dataOnly="0" labelOnly="1" outline="0" axis="axisCol" fieldPosition="0"/>
    </format>
    <format dxfId="231">
      <pivotArea dataOnly="0" labelOnly="1" grandCol="1" outline="0" axis="axisCol" fieldPosition="0"/>
    </format>
    <format dxfId="230">
      <pivotArea type="all" dataOnly="0" outline="0" fieldPosition="0"/>
    </format>
    <format dxfId="229">
      <pivotArea outline="0" collapsedLevelsAreSubtotals="1" fieldPosition="0"/>
    </format>
    <format dxfId="228">
      <pivotArea field="-2" type="button" dataOnly="0" labelOnly="1" outline="0" axis="axisCol" fieldPosition="0"/>
    </format>
    <format dxfId="227">
      <pivotArea dataOnly="0" labelOnly="1" grandCol="1" outline="0" axis="axisCol" fieldPosition="0"/>
    </format>
    <format dxfId="226">
      <pivotArea outline="0" collapsedLevelsAreSubtotals="1" fieldPosition="0"/>
    </format>
    <format dxfId="225">
      <pivotArea dataOnly="0" labelOnly="1" grandCol="1" outline="0" axis="axisCol" fieldPosition="0"/>
    </format>
    <format dxfId="224">
      <pivotArea field="-2" type="button" dataOnly="0" labelOnly="1" outline="0" axis="axisCol" fieldPosition="0"/>
    </format>
    <format dxfId="223">
      <pivotArea dataOnly="0" labelOnly="1" grandCol="1" outline="0" axis="axisCol" fieldPosition="0"/>
    </format>
    <format dxfId="222">
      <pivotArea dataOnly="0" labelOnly="1" grandCol="1" outline="0" axis="axisCol" fieldPosition="0"/>
    </format>
    <format dxfId="221">
      <pivotArea field="-2" type="button" dataOnly="0" labelOnly="1" outline="0" axis="axisCol" fieldPosition="0"/>
    </format>
    <format dxfId="220">
      <pivotArea collapsedLevelsAreSubtotals="1" fieldPosition="0">
        <references count="1">
          <reference field="5" count="0"/>
        </references>
      </pivotArea>
    </format>
    <format dxfId="219">
      <pivotArea type="all" dataOnly="0" outline="0" fieldPosition="0"/>
    </format>
    <format dxfId="218">
      <pivotArea outline="0" collapsedLevelsAreSubtotals="1" fieldPosition="0"/>
    </format>
    <format dxfId="217">
      <pivotArea field="5" type="button" dataOnly="0" labelOnly="1" outline="0" axis="axisRow" fieldPosition="0"/>
    </format>
    <format dxfId="216">
      <pivotArea dataOnly="0" labelOnly="1" fieldPosition="0">
        <references count="1">
          <reference field="5" count="0"/>
        </references>
      </pivotArea>
    </format>
    <format dxfId="215">
      <pivotArea dataOnly="0" labelOnly="1" grandRow="1" outline="0" fieldPosition="0"/>
    </format>
    <format dxfId="214">
      <pivotArea dataOnly="0" labelOnly="1" outline="0" axis="axisValues" fieldPosition="0"/>
    </format>
    <format dxfId="213">
      <pivotArea field="5" type="button" dataOnly="0" labelOnly="1" outline="0" axis="axisRow" fieldPosition="0"/>
    </format>
    <format dxfId="212">
      <pivotArea field="5" type="button" dataOnly="0" labelOnly="1" outline="0" axis="axisRow" fieldPosition="0"/>
    </format>
    <format dxfId="211">
      <pivotArea dataOnly="0" labelOnly="1" fieldPosition="0">
        <references count="1">
          <reference field="5" count="1">
            <x v="3"/>
          </reference>
        </references>
      </pivotArea>
    </format>
    <format dxfId="210">
      <pivotArea dataOnly="0" labelOnly="1" outline="0" axis="axisValues" fieldPosition="0"/>
    </format>
    <format dxfId="209">
      <pivotArea dataOnly="0" labelOnly="1" outline="0" axis="axisValues" fieldPosition="0"/>
    </format>
    <format dxfId="208">
      <pivotArea collapsedLevelsAreSubtotals="1" fieldPosition="0">
        <references count="1">
          <reference field="5" count="1">
            <x v="3"/>
          </reference>
        </references>
      </pivotArea>
    </format>
    <format dxfId="20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4">
      <pivotArea field="5" type="button" dataOnly="0" labelOnly="1" outline="0" axis="axisRow" fieldPosition="0"/>
    </format>
    <format dxfId="203">
      <pivotArea dataOnly="0" labelOnly="1" fieldPosition="0">
        <references count="1">
          <reference field="5" count="0"/>
        </references>
      </pivotArea>
    </format>
    <format dxfId="202">
      <pivotArea collapsedLevelsAreSubtotals="1" fieldPosition="0">
        <references count="2">
          <reference field="4294967294" count="1" selected="0">
            <x v="1"/>
          </reference>
          <reference field="5" count="1">
            <x v="0"/>
          </reference>
        </references>
      </pivotArea>
    </format>
    <format dxfId="20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98">
      <pivotArea collapsedLevelsAreSubtotals="1" fieldPosition="0">
        <references count="2">
          <reference field="4294967294" count="1" selected="0">
            <x v="0"/>
          </reference>
          <reference field="5" count="1">
            <x v="0"/>
          </reference>
        </references>
      </pivotArea>
    </format>
    <format dxfId="197">
      <pivotArea collapsedLevelsAreSubtotals="1" fieldPosition="0">
        <references count="2">
          <reference field="4294967294" count="1" selected="0">
            <x v="0"/>
          </reference>
          <reference field="5" count="1">
            <x v="3"/>
          </reference>
        </references>
      </pivotArea>
    </format>
    <format dxfId="19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4">
      <pivotArea type="all" dataOnly="0" outline="0" fieldPosition="0"/>
    </format>
    <format dxfId="193">
      <pivotArea outline="0" collapsedLevelsAreSubtotals="1" fieldPosition="0"/>
    </format>
    <format dxfId="192">
      <pivotArea field="5" type="button" dataOnly="0" labelOnly="1" outline="0" axis="axisRow" fieldPosition="0"/>
    </format>
    <format dxfId="191">
      <pivotArea dataOnly="0" labelOnly="1" fieldPosition="0">
        <references count="1">
          <reference field="5" count="0"/>
        </references>
      </pivotArea>
    </format>
    <format dxfId="1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9">
      <pivotArea type="all" dataOnly="0" outline="0" fieldPosition="0"/>
    </format>
    <format dxfId="188">
      <pivotArea outline="0" collapsedLevelsAreSubtotals="1" fieldPosition="0"/>
    </format>
    <format dxfId="187">
      <pivotArea field="5" type="button" dataOnly="0" labelOnly="1" outline="0" axis="axisRow" fieldPosition="0"/>
    </format>
    <format dxfId="186">
      <pivotArea dataOnly="0" labelOnly="1" fieldPosition="0">
        <references count="1">
          <reference field="5" count="0"/>
        </references>
      </pivotArea>
    </format>
    <format dxfId="18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type="all" dataOnly="0" outline="0" fieldPosition="0"/>
    </format>
    <format dxfId="10">
      <pivotArea outline="0" collapsedLevelsAreSubtotals="1" fieldPosition="0"/>
    </format>
    <format dxfId="9">
      <pivotArea field="5" type="button" dataOnly="0" labelOnly="1" outline="0" axis="axisRow" fieldPosition="0"/>
    </format>
    <format dxfId="8">
      <pivotArea dataOnly="0" labelOnly="1" fieldPosition="0">
        <references count="1">
          <reference field="5" count="0"/>
        </references>
      </pivotArea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A83404-E05E-4222-B00D-87977BF06569}" name="PivotTable13" cacheId="1" dataOnRows="1" applyNumberFormats="0" applyBorderFormats="0" applyFontFormats="0" applyPatternFormats="0" applyAlignmentFormats="0" applyWidthHeightFormats="1" dataCaption="Age Phases" updatedVersion="7" minRefreshableVersion="3" useAutoFormatting="1" itemPrintTitles="1" createdVersion="7" indent="0" outline="1" outlineData="1" multipleFieldFilters="0">
  <location ref="Q41:R44" firstHeaderRow="1" firstDataRow="1" firstDataCol="1"/>
  <pivotFields count="10">
    <pivotField showAll="0"/>
    <pivotField showAll="0"/>
    <pivotField showAll="0"/>
    <pivotField showAll="0"/>
    <pivotField dataField="1" showAll="0"/>
    <pivotField showAll="0"/>
    <pivotField showAll="0"/>
    <pivotField showAll="0">
      <items count="3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showAll="0"/>
    <pivotField showAll="0">
      <items count="2">
        <item x="0"/>
        <item t="default"/>
      </items>
    </pivotField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name="Oldest of Age" fld="4" subtotal="max" baseField="2" baseItem="0"/>
    <dataField name="Youngest of Age" fld="4" subtotal="min" baseField="4" baseItem="0"/>
    <dataField name="Average of Age" fld="4" subtotal="average" baseField="0" baseItem="1" numFmtId="1"/>
  </dataFields>
  <formats count="76">
    <format dxfId="323">
      <pivotArea outline="0" collapsedLevelsAreSubtotals="1" fieldPosition="0"/>
    </format>
    <format dxfId="322">
      <pivotArea dataOnly="0" labelOnly="1" outline="0" axis="axisValues" fieldPosition="0"/>
    </format>
    <format dxfId="321">
      <pivotArea dataOnly="0" labelOnly="1" outline="0" axis="axisValues" fieldPosition="0"/>
    </format>
    <format dxfId="32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1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18">
      <pivotArea type="all" dataOnly="0" outline="0" fieldPosition="0"/>
    </format>
    <format dxfId="317">
      <pivotArea outline="0" collapsedLevelsAreSubtotals="1" fieldPosition="0"/>
    </format>
    <format dxfId="31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15">
      <pivotArea field="-2" type="button" dataOnly="0" labelOnly="1" outline="0" axis="axisRow" fieldPosition="0"/>
    </format>
    <format dxfId="314">
      <pivotArea dataOnly="0" labelOnly="1" grandCol="1" outline="0" axis="axisCol" fieldPosition="0"/>
    </format>
    <format dxfId="313">
      <pivotArea type="all" dataOnly="0" outline="0" fieldPosition="0"/>
    </format>
    <format dxfId="312">
      <pivotArea outline="0" collapsedLevelsAreSubtotals="1" fieldPosition="0"/>
    </format>
    <format dxfId="311">
      <pivotArea field="-2" type="button" dataOnly="0" labelOnly="1" outline="0" axis="axisRow" fieldPosition="0"/>
    </format>
    <format dxfId="3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09">
      <pivotArea dataOnly="0" labelOnly="1" grandCol="1" outline="0" axis="axisCol" fieldPosition="0"/>
    </format>
    <format dxfId="308">
      <pivotArea type="all" dataOnly="0" outline="0" fieldPosition="0"/>
    </format>
    <format dxfId="307">
      <pivotArea outline="0" collapsedLevelsAreSubtotals="1" fieldPosition="0"/>
    </format>
    <format dxfId="306">
      <pivotArea field="-2" type="button" dataOnly="0" labelOnly="1" outline="0" axis="axisRow" fieldPosition="0"/>
    </format>
    <format dxfId="30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04">
      <pivotArea dataOnly="0" labelOnly="1" grandCol="1" outline="0" axis="axisCol" fieldPosition="0"/>
    </format>
    <format dxfId="303">
      <pivotArea field="-2" type="button" dataOnly="0" labelOnly="1" outline="0" axis="axisRow" fieldPosition="0"/>
    </format>
    <format dxfId="30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9">
      <pivotArea field="-2" type="button" dataOnly="0" labelOnly="1" outline="0" axis="axisRow" fieldPosition="0"/>
    </format>
    <format dxfId="29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97">
      <pivotArea type="all" dataOnly="0" outline="0" fieldPosition="0"/>
    </format>
    <format dxfId="296">
      <pivotArea outline="0" collapsedLevelsAreSubtotals="1" fieldPosition="0"/>
    </format>
    <format dxfId="295">
      <pivotArea field="-2" type="button" dataOnly="0" labelOnly="1" outline="0" axis="axisRow" fieldPosition="0"/>
    </format>
    <format dxfId="29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93">
      <pivotArea dataOnly="0" labelOnly="1" grandCol="1" outline="0" axis="axisCol" fieldPosition="0"/>
    </format>
    <format dxfId="292">
      <pivotArea field="-2" type="button" dataOnly="0" labelOnly="1" outline="0" axis="axisRow" fieldPosition="0"/>
    </format>
    <format dxfId="291">
      <pivotArea dataOnly="0" labelOnly="1" grandCol="1" outline="0" axis="axisCol" fieldPosition="0"/>
    </format>
    <format dxfId="29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89">
      <pivotArea type="all" dataOnly="0" outline="0" fieldPosition="0"/>
    </format>
    <format dxfId="288">
      <pivotArea outline="0" collapsedLevelsAreSubtotals="1" fieldPosition="0"/>
    </format>
    <format dxfId="287">
      <pivotArea field="-2" type="button" dataOnly="0" labelOnly="1" outline="0" axis="axisRow" fieldPosition="0"/>
    </format>
    <format dxfId="28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85">
      <pivotArea dataOnly="0" labelOnly="1" grandCol="1" outline="0" axis="axisCol" fieldPosition="0"/>
    </format>
    <format dxfId="28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8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82">
      <pivotArea outline="0" collapsedLevelsAreSubtotals="1" fieldPosition="0"/>
    </format>
    <format dxfId="281">
      <pivotArea dataOnly="0" labelOnly="1" grandCol="1" outline="0" axis="axisCol" fieldPosition="0"/>
    </format>
    <format dxfId="280">
      <pivotArea field="-2" type="button" dataOnly="0" labelOnly="1" outline="0" axis="axisRow" fieldPosition="0"/>
    </format>
    <format dxfId="279">
      <pivotArea field="-2" type="button" dataOnly="0" labelOnly="1" outline="0" axis="axisRow" fieldPosition="0"/>
    </format>
    <format dxfId="278">
      <pivotArea field="-2" type="button" dataOnly="0" labelOnly="1" outline="0" axis="axisRow" fieldPosition="0"/>
    </format>
    <format dxfId="277">
      <pivotArea dataOnly="0" labelOnly="1" grandCol="1" outline="0" axis="axisCol" fieldPosition="0"/>
    </format>
    <format dxfId="27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75">
      <pivotArea collapsedLevelsAreSubtotals="1" fieldPosition="0">
        <references count="1">
          <reference field="4294967294" count="1">
            <x v="2"/>
          </reference>
        </references>
      </pivotArea>
    </format>
    <format dxfId="27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7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71">
      <pivotArea dataOnly="0" labelOnly="1" grandCol="1" outline="0" axis="axisCol" fieldPosition="0"/>
    </format>
    <format dxfId="270">
      <pivotArea collapsedLevelsAreSubtotals="1" fieldPosition="0">
        <references count="1">
          <reference field="4294967294" count="1">
            <x v="0"/>
          </reference>
        </references>
      </pivotArea>
    </format>
    <format dxfId="26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8">
      <pivotArea field="-2" type="button" dataOnly="0" labelOnly="1" outline="0" axis="axisRow" fieldPosition="0"/>
    </format>
    <format dxfId="267">
      <pivotArea outline="0" collapsedLevelsAreSubtotals="1" fieldPosition="0"/>
    </format>
    <format dxfId="266">
      <pivotArea field="-2" type="button" dataOnly="0" labelOnly="1" outline="0" axis="axisRow" fieldPosition="0"/>
    </format>
    <format dxfId="26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4">
      <pivotArea field="-2" type="button" dataOnly="0" labelOnly="1" outline="0" axis="axisRow" fieldPosition="0"/>
    </format>
    <format dxfId="26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2">
      <pivotArea type="all" dataOnly="0" outline="0" fieldPosition="0"/>
    </format>
    <format dxfId="261">
      <pivotArea outline="0" collapsedLevelsAreSubtotals="1" fieldPosition="0"/>
    </format>
    <format dxfId="260">
      <pivotArea field="-2" type="button" dataOnly="0" labelOnly="1" outline="0" axis="axisRow" fieldPosition="0"/>
    </format>
    <format dxfId="25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8">
      <pivotArea dataOnly="0" labelOnly="1" grandCol="1" outline="0" axis="axisCol" fieldPosition="0"/>
    </format>
    <format dxfId="257">
      <pivotArea type="all" dataOnly="0" outline="0" fieldPosition="0"/>
    </format>
    <format dxfId="256">
      <pivotArea outline="0" collapsedLevelsAreSubtotals="1" fieldPosition="0"/>
    </format>
    <format dxfId="255">
      <pivotArea field="-2" type="button" dataOnly="0" labelOnly="1" outline="0" axis="axisRow" fieldPosition="0"/>
    </format>
    <format dxfId="25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3">
      <pivotArea dataOnly="0" labelOnly="1" grandCol="1" outline="0" axis="axisCol" fieldPosition="0"/>
    </format>
    <format dxfId="6">
      <pivotArea type="all" dataOnly="0" outline="0" fieldPosition="0"/>
    </format>
    <format dxfId="3">
      <pivotArea outline="0" collapsedLevelsAreSubtotals="1" fieldPosition="0"/>
    </format>
    <format dxfId="2">
      <pivotArea field="-2" type="button" dataOnly="0" labelOnly="1" outline="0" axis="axisRow" fieldPosition="0"/>
    </format>
    <format dxfId="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0">
      <pivotArea dataOnly="0" labelOnly="1" grandCol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1CE3E2-1752-4616-99D1-84E92531E799}" name="Account_Data" displayName="Account_Data" ref="A1:I4016" totalsRowCount="1">
  <autoFilter ref="A1:I4015" xr:uid="{971CE3E2-1752-4616-99D1-84E92531E799}"/>
  <tableColumns count="9">
    <tableColumn id="1" xr3:uid="{EE0B7BCB-A1F0-49C6-A11B-586861B73379}" name="Customer ID"/>
    <tableColumn id="2" xr3:uid="{3D3C6AEB-7F2C-480A-A49B-B9EB19D2E123}" name="Name"/>
    <tableColumn id="3" xr3:uid="{2EAC1D0B-4036-45D9-8CBE-37483C42FEDD}" name="Surname"/>
    <tableColumn id="4" xr3:uid="{5BD87D30-31F7-45D6-9EFC-5F01F2E216BB}" name="Gender"/>
    <tableColumn id="5" xr3:uid="{0EAF998A-ED82-4524-AE9D-6889856843F1}" name="Age" dataDxfId="325"/>
    <tableColumn id="6" xr3:uid="{7841C0FA-3987-46E0-983B-12A452CC459F}" name="Region"/>
    <tableColumn id="7" xr3:uid="{E4F0D500-BFCB-419E-AB81-F982C2E68CA5}" name="Job Classification"/>
    <tableColumn id="8" xr3:uid="{B343B68E-ED9C-4531-B6D9-8C60A1BE0A6A}" name="Date Joined" dataDxfId="324"/>
    <tableColumn id="9" xr3:uid="{BD21BA5D-3966-45B4-8F9D-ACB258E32D4E}" name="Balance" totalsRowFunction="custom">
      <totalsRowFormula>SUM(Account_Data[[#Headers],[#Data],[Balance]])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0B36-D132-4225-8B43-418C5934DCC6}">
  <sheetPr>
    <pageSetUpPr fitToPage="1"/>
  </sheetPr>
  <dimension ref="A1:AT266"/>
  <sheetViews>
    <sheetView zoomScale="10" zoomScaleNormal="10" workbookViewId="0">
      <selection activeCell="BN190" sqref="BN190"/>
    </sheetView>
  </sheetViews>
  <sheetFormatPr defaultRowHeight="13.8"/>
  <cols>
    <col min="3" max="3" width="21.09765625" bestFit="1" customWidth="1"/>
    <col min="4" max="4" width="25.09765625" bestFit="1" customWidth="1"/>
    <col min="5" max="5" width="23.8984375" bestFit="1" customWidth="1"/>
    <col min="6" max="6" width="21.09765625" bestFit="1" customWidth="1"/>
    <col min="7" max="7" width="17.19921875" bestFit="1" customWidth="1"/>
    <col min="8" max="8" width="23.69921875" bestFit="1" customWidth="1"/>
    <col min="9" max="9" width="23.796875" customWidth="1"/>
    <col min="10" max="10" width="18.69921875" customWidth="1"/>
    <col min="11" max="11" width="12" bestFit="1" customWidth="1"/>
    <col min="12" max="12" width="15.59765625" customWidth="1"/>
    <col min="13" max="13" width="16.5" customWidth="1"/>
    <col min="14" max="14" width="19.69921875" bestFit="1" customWidth="1"/>
    <col min="15" max="15" width="21" customWidth="1"/>
    <col min="16" max="16" width="13.09765625" bestFit="1" customWidth="1"/>
    <col min="17" max="17" width="19.796875" bestFit="1" customWidth="1"/>
    <col min="18" max="18" width="28.19921875" bestFit="1" customWidth="1"/>
    <col min="19" max="19" width="13.09765625" bestFit="1" customWidth="1"/>
    <col min="20" max="20" width="13.8984375" customWidth="1"/>
    <col min="21" max="21" width="25.09765625" customWidth="1"/>
    <col min="22" max="22" width="19.296875" customWidth="1"/>
    <col min="23" max="28" width="10.09765625" bestFit="1" customWidth="1"/>
    <col min="29" max="31" width="11" bestFit="1" customWidth="1"/>
    <col min="32" max="32" width="9.8984375" bestFit="1" customWidth="1"/>
    <col min="33" max="33" width="11" bestFit="1" customWidth="1"/>
    <col min="34" max="34" width="10.09765625" bestFit="1" customWidth="1"/>
    <col min="35" max="35" width="9.8984375" bestFit="1" customWidth="1"/>
    <col min="36" max="37" width="10.09765625" bestFit="1" customWidth="1"/>
    <col min="38" max="38" width="12" bestFit="1" customWidth="1"/>
    <col min="39" max="41" width="10.09765625" bestFit="1" customWidth="1"/>
    <col min="42" max="44" width="11" bestFit="1" customWidth="1"/>
    <col min="45" max="45" width="19.69921875" bestFit="1" customWidth="1"/>
    <col min="46" max="46" width="10" bestFit="1" customWidth="1"/>
    <col min="47" max="50" width="11" bestFit="1" customWidth="1"/>
    <col min="51" max="51" width="9.8984375" bestFit="1" customWidth="1"/>
    <col min="52" max="56" width="11" bestFit="1" customWidth="1"/>
    <col min="57" max="57" width="10.09765625" bestFit="1" customWidth="1"/>
    <col min="58" max="61" width="11" bestFit="1" customWidth="1"/>
    <col min="62" max="62" width="10.09765625" bestFit="1" customWidth="1"/>
    <col min="63" max="66" width="11" bestFit="1" customWidth="1"/>
    <col min="67" max="67" width="10.09765625" bestFit="1" customWidth="1"/>
    <col min="68" max="70" width="11" bestFit="1" customWidth="1"/>
    <col min="71" max="71" width="10.09765625" bestFit="1" customWidth="1"/>
    <col min="72" max="80" width="11" bestFit="1" customWidth="1"/>
    <col min="81" max="81" width="10.09765625" bestFit="1" customWidth="1"/>
    <col min="82" max="89" width="11" bestFit="1" customWidth="1"/>
    <col min="90" max="90" width="12" bestFit="1" customWidth="1"/>
    <col min="91" max="97" width="11" bestFit="1" customWidth="1"/>
    <col min="98" max="98" width="10.09765625" bestFit="1" customWidth="1"/>
    <col min="99" max="120" width="11" bestFit="1" customWidth="1"/>
    <col min="121" max="121" width="10.09765625" bestFit="1" customWidth="1"/>
    <col min="122" max="122" width="12" bestFit="1" customWidth="1"/>
    <col min="123" max="125" width="11" bestFit="1" customWidth="1"/>
    <col min="126" max="126" width="10.09765625" bestFit="1" customWidth="1"/>
    <col min="127" max="131" width="11" bestFit="1" customWidth="1"/>
    <col min="132" max="132" width="10.09765625" bestFit="1" customWidth="1"/>
    <col min="133" max="135" width="11" bestFit="1" customWidth="1"/>
    <col min="136" max="136" width="9.8984375" bestFit="1" customWidth="1"/>
    <col min="137" max="146" width="11" bestFit="1" customWidth="1"/>
    <col min="147" max="147" width="10.09765625" bestFit="1" customWidth="1"/>
    <col min="148" max="149" width="11" bestFit="1" customWidth="1"/>
    <col min="150" max="150" width="10.09765625" bestFit="1" customWidth="1"/>
    <col min="151" max="153" width="11" bestFit="1" customWidth="1"/>
    <col min="154" max="154" width="12" bestFit="1" customWidth="1"/>
    <col min="155" max="166" width="11" bestFit="1" customWidth="1"/>
    <col min="167" max="167" width="9.8984375" bestFit="1" customWidth="1"/>
    <col min="168" max="170" width="11" bestFit="1" customWidth="1"/>
    <col min="171" max="172" width="9.8984375" bestFit="1" customWidth="1"/>
    <col min="173" max="173" width="10.09765625" bestFit="1" customWidth="1"/>
    <col min="174" max="185" width="11" bestFit="1" customWidth="1"/>
    <col min="186" max="186" width="10.09765625" bestFit="1" customWidth="1"/>
    <col min="187" max="206" width="11" bestFit="1" customWidth="1"/>
    <col min="207" max="207" width="10.09765625" bestFit="1" customWidth="1"/>
    <col min="208" max="211" width="11" bestFit="1" customWidth="1"/>
    <col min="212" max="212" width="10.09765625" bestFit="1" customWidth="1"/>
    <col min="213" max="213" width="12" bestFit="1" customWidth="1"/>
    <col min="214" max="216" width="11" bestFit="1" customWidth="1"/>
    <col min="217" max="220" width="12" bestFit="1" customWidth="1"/>
    <col min="221" max="221" width="11" bestFit="1" customWidth="1"/>
    <col min="222" max="222" width="12" bestFit="1" customWidth="1"/>
    <col min="223" max="233" width="11" bestFit="1" customWidth="1"/>
    <col min="234" max="249" width="11.19921875" bestFit="1" customWidth="1"/>
    <col min="250" max="250" width="12" bestFit="1" customWidth="1"/>
    <col min="251" max="255" width="11.19921875" bestFit="1" customWidth="1"/>
    <col min="256" max="256" width="12" bestFit="1" customWidth="1"/>
    <col min="257" max="259" width="11" bestFit="1" customWidth="1"/>
    <col min="260" max="260" width="12" bestFit="1" customWidth="1"/>
    <col min="261" max="264" width="11" bestFit="1" customWidth="1"/>
    <col min="265" max="265" width="11.19921875" bestFit="1" customWidth="1"/>
    <col min="266" max="266" width="12" bestFit="1" customWidth="1"/>
    <col min="267" max="275" width="11.19921875" bestFit="1" customWidth="1"/>
    <col min="276" max="276" width="12" bestFit="1" customWidth="1"/>
    <col min="277" max="278" width="11.19921875" bestFit="1" customWidth="1"/>
    <col min="279" max="279" width="12" bestFit="1" customWidth="1"/>
    <col min="280" max="281" width="11.19921875" bestFit="1" customWidth="1"/>
    <col min="282" max="282" width="12" bestFit="1" customWidth="1"/>
    <col min="283" max="285" width="11.19921875" bestFit="1" customWidth="1"/>
    <col min="286" max="287" width="11" bestFit="1" customWidth="1"/>
    <col min="288" max="288" width="12" bestFit="1" customWidth="1"/>
    <col min="289" max="291" width="11" bestFit="1" customWidth="1"/>
    <col min="292" max="292" width="12" bestFit="1" customWidth="1"/>
    <col min="293" max="293" width="10.09765625" bestFit="1" customWidth="1"/>
    <col min="294" max="294" width="11" bestFit="1" customWidth="1"/>
    <col min="295" max="300" width="11.19921875" bestFit="1" customWidth="1"/>
    <col min="301" max="301" width="12" bestFit="1" customWidth="1"/>
    <col min="302" max="304" width="11.19921875" bestFit="1" customWidth="1"/>
    <col min="305" max="305" width="12" bestFit="1" customWidth="1"/>
    <col min="306" max="307" width="11.19921875" bestFit="1" customWidth="1"/>
    <col min="308" max="308" width="12" bestFit="1" customWidth="1"/>
    <col min="309" max="315" width="11.19921875" bestFit="1" customWidth="1"/>
    <col min="316" max="316" width="13.09765625" bestFit="1" customWidth="1"/>
  </cols>
  <sheetData>
    <row r="1" spans="1:40" ht="14.4" thickBot="1">
      <c r="A1" s="1"/>
      <c r="B1" s="1"/>
      <c r="C1" s="1"/>
      <c r="D1" s="1"/>
      <c r="E1" s="1"/>
      <c r="F1" s="1"/>
      <c r="G1" s="1"/>
      <c r="H1" s="1"/>
      <c r="I1" s="1"/>
      <c r="J1" s="22"/>
      <c r="K1" s="22"/>
      <c r="L1" s="22"/>
      <c r="M1" s="22"/>
      <c r="N1" s="22"/>
      <c r="O1" s="22"/>
      <c r="P1" s="22"/>
      <c r="Q1" s="22"/>
      <c r="R1" s="22"/>
      <c r="S1" s="22"/>
      <c r="T1" s="10"/>
      <c r="U1" s="16"/>
      <c r="V1" s="16"/>
      <c r="W1" s="16"/>
      <c r="X1" s="16"/>
      <c r="Y1" s="16"/>
      <c r="Z1" s="16"/>
      <c r="AA1" s="16"/>
      <c r="AB1" s="17"/>
    </row>
    <row r="2" spans="1:40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7"/>
    </row>
    <row r="3" spans="1:40">
      <c r="A3" s="18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1"/>
    </row>
    <row r="4" spans="1:40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9"/>
    </row>
    <row r="5" spans="1:40">
      <c r="A5" s="27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9"/>
    </row>
    <row r="6" spans="1:40">
      <c r="A6" s="27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9"/>
    </row>
    <row r="7" spans="1:40">
      <c r="A7" s="27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9"/>
    </row>
    <row r="8" spans="1:40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9"/>
    </row>
    <row r="9" spans="1:40">
      <c r="A9" s="27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9"/>
    </row>
    <row r="10" spans="1:40">
      <c r="A10" s="27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9"/>
    </row>
    <row r="11" spans="1:40">
      <c r="A11" s="27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9"/>
    </row>
    <row r="12" spans="1:40">
      <c r="A12" s="27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9"/>
    </row>
    <row r="13" spans="1:40">
      <c r="A13" s="27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9"/>
    </row>
    <row r="14" spans="1:40">
      <c r="A14" s="27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9"/>
    </row>
    <row r="15" spans="1:40">
      <c r="A15" s="27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9"/>
    </row>
    <row r="16" spans="1:40">
      <c r="A16" s="27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9"/>
    </row>
    <row r="17" spans="1:40">
      <c r="A17" s="27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9"/>
    </row>
    <row r="18" spans="1:40">
      <c r="A18" s="27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9"/>
    </row>
    <row r="19" spans="1:40" ht="13.8" customHeight="1">
      <c r="A19" s="2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9"/>
    </row>
    <row r="20" spans="1:40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9"/>
    </row>
    <row r="21" spans="1:40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9"/>
    </row>
    <row r="22" spans="1:40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9"/>
    </row>
    <row r="23" spans="1:40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9"/>
    </row>
    <row r="24" spans="1:40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9"/>
    </row>
    <row r="25" spans="1:40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9"/>
    </row>
    <row r="26" spans="1:40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9"/>
    </row>
    <row r="27" spans="1:40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9"/>
    </row>
    <row r="28" spans="1:40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9"/>
    </row>
    <row r="29" spans="1:40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9"/>
    </row>
    <row r="30" spans="1:40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9"/>
    </row>
    <row r="31" spans="1:40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9"/>
    </row>
    <row r="32" spans="1:40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9"/>
    </row>
    <row r="33" spans="1:40">
      <c r="A33" s="27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9"/>
    </row>
    <row r="34" spans="1:40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9"/>
    </row>
    <row r="35" spans="1:40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9"/>
    </row>
    <row r="36" spans="1:40">
      <c r="A36" s="27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9"/>
    </row>
    <row r="37" spans="1:40">
      <c r="A37" s="27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9"/>
    </row>
    <row r="38" spans="1:40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9"/>
    </row>
    <row r="39" spans="1:40">
      <c r="A39" s="27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9"/>
    </row>
    <row r="40" spans="1:40">
      <c r="A40" s="27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9"/>
    </row>
    <row r="41" spans="1:40" ht="27.6" customHeight="1">
      <c r="A41" s="27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70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9"/>
    </row>
    <row r="42" spans="1:40" ht="21" customHeight="1">
      <c r="A42" s="27"/>
      <c r="B42" s="28"/>
      <c r="C42" s="28"/>
      <c r="D42" s="28"/>
      <c r="E42" s="28"/>
      <c r="F42" s="28"/>
      <c r="G42" s="28"/>
      <c r="H42" s="28"/>
      <c r="I42" s="33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9"/>
    </row>
    <row r="43" spans="1:40">
      <c r="A43" s="27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9"/>
    </row>
    <row r="44" spans="1:40">
      <c r="A44" s="27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9"/>
    </row>
    <row r="45" spans="1:40">
      <c r="A45" s="27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9"/>
    </row>
    <row r="46" spans="1:40">
      <c r="A46" s="27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9"/>
    </row>
    <row r="47" spans="1:40">
      <c r="A47" s="27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9"/>
    </row>
    <row r="48" spans="1:40">
      <c r="A48" s="27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9"/>
    </row>
    <row r="49" spans="1:40">
      <c r="A49" s="27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9"/>
    </row>
    <row r="50" spans="1:40">
      <c r="A50" s="27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9"/>
    </row>
    <row r="51" spans="1:40">
      <c r="A51" s="27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9"/>
    </row>
    <row r="52" spans="1:40">
      <c r="A52" s="27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9"/>
    </row>
    <row r="53" spans="1:40">
      <c r="A53" s="27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9"/>
    </row>
    <row r="54" spans="1:40">
      <c r="A54" s="27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9"/>
    </row>
    <row r="55" spans="1:40">
      <c r="A55" s="27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9"/>
    </row>
    <row r="56" spans="1:40">
      <c r="A56" s="27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9"/>
    </row>
    <row r="57" spans="1:40">
      <c r="A57" s="27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9"/>
    </row>
    <row r="58" spans="1:40">
      <c r="A58" s="27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9"/>
    </row>
    <row r="59" spans="1:40">
      <c r="A59" s="27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9"/>
    </row>
    <row r="60" spans="1:40">
      <c r="A60" s="27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9"/>
    </row>
    <row r="61" spans="1:40">
      <c r="A61" s="27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9"/>
    </row>
    <row r="62" spans="1:40">
      <c r="A62" s="27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9"/>
    </row>
    <row r="63" spans="1:40">
      <c r="A63" s="27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9"/>
    </row>
    <row r="64" spans="1:40">
      <c r="A64" s="27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9"/>
    </row>
    <row r="65" spans="1:40">
      <c r="A65" s="27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9"/>
    </row>
    <row r="66" spans="1:40">
      <c r="A66" s="27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9"/>
    </row>
    <row r="67" spans="1:40">
      <c r="A67" s="27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9"/>
    </row>
    <row r="68" spans="1:40">
      <c r="A68" s="27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9"/>
    </row>
    <row r="69" spans="1:40">
      <c r="A69" s="27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9"/>
    </row>
    <row r="70" spans="1:40">
      <c r="A70" s="27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9"/>
    </row>
    <row r="71" spans="1:40">
      <c r="A71" s="27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9"/>
    </row>
    <row r="72" spans="1:40">
      <c r="A72" s="27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9"/>
    </row>
    <row r="73" spans="1:40">
      <c r="A73" s="27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9"/>
    </row>
    <row r="74" spans="1:40">
      <c r="A74" s="27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9"/>
    </row>
    <row r="75" spans="1:40">
      <c r="A75" s="27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9"/>
    </row>
    <row r="76" spans="1:40">
      <c r="A76" s="27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9"/>
    </row>
    <row r="77" spans="1:40">
      <c r="A77" s="27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9"/>
    </row>
    <row r="78" spans="1:40">
      <c r="A78" s="27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9"/>
    </row>
    <row r="79" spans="1:40">
      <c r="A79" s="27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9"/>
    </row>
    <row r="80" spans="1:40">
      <c r="A80" s="27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9"/>
    </row>
    <row r="81" spans="1:40">
      <c r="A81" s="27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9"/>
    </row>
    <row r="82" spans="1:40">
      <c r="A82" s="27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9"/>
    </row>
    <row r="83" spans="1:40">
      <c r="A83" s="27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9"/>
    </row>
    <row r="84" spans="1:40">
      <c r="A84" s="27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9"/>
    </row>
    <row r="85" spans="1:40">
      <c r="A85" s="27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9"/>
    </row>
    <row r="86" spans="1:40">
      <c r="A86" s="27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9"/>
    </row>
    <row r="87" spans="1:40">
      <c r="A87" s="27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9"/>
    </row>
    <row r="88" spans="1:40">
      <c r="A88" s="27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9"/>
    </row>
    <row r="89" spans="1:40">
      <c r="A89" s="27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9"/>
    </row>
    <row r="90" spans="1:40">
      <c r="A90" s="27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9"/>
    </row>
    <row r="91" spans="1:40">
      <c r="A91" s="27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9"/>
    </row>
    <row r="92" spans="1:40">
      <c r="A92" s="27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9"/>
    </row>
    <row r="93" spans="1:40">
      <c r="A93" s="27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9"/>
    </row>
    <row r="94" spans="1:40">
      <c r="A94" s="27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9"/>
    </row>
    <row r="95" spans="1:40">
      <c r="A95" s="27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9"/>
    </row>
    <row r="96" spans="1:40">
      <c r="A96" s="27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9"/>
    </row>
    <row r="97" spans="1:40">
      <c r="A97" s="27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9"/>
    </row>
    <row r="98" spans="1:40">
      <c r="A98" s="27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9"/>
    </row>
    <row r="99" spans="1:40">
      <c r="A99" s="27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9"/>
    </row>
    <row r="100" spans="1:40">
      <c r="A100" s="27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9"/>
    </row>
    <row r="101" spans="1:40">
      <c r="A101" s="27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9"/>
    </row>
    <row r="102" spans="1:40">
      <c r="A102" s="27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9"/>
    </row>
    <row r="103" spans="1:40">
      <c r="A103" s="27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9"/>
    </row>
    <row r="104" spans="1:40">
      <c r="A104" s="27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9"/>
    </row>
    <row r="105" spans="1:40">
      <c r="A105" s="27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9"/>
    </row>
    <row r="106" spans="1:40">
      <c r="A106" s="27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9"/>
    </row>
    <row r="107" spans="1:40">
      <c r="A107" s="27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9"/>
    </row>
    <row r="108" spans="1:40">
      <c r="A108" s="27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9"/>
    </row>
    <row r="109" spans="1:40">
      <c r="A109" s="27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9"/>
    </row>
    <row r="110" spans="1:40">
      <c r="A110" s="27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9"/>
    </row>
    <row r="111" spans="1:40">
      <c r="A111" s="27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9"/>
    </row>
    <row r="112" spans="1:40">
      <c r="A112" s="27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9"/>
    </row>
    <row r="113" spans="1:40">
      <c r="A113" s="27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9"/>
    </row>
    <row r="114" spans="1:40">
      <c r="A114" s="27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9"/>
    </row>
    <row r="115" spans="1:40">
      <c r="A115" s="27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9"/>
    </row>
    <row r="116" spans="1:40">
      <c r="A116" s="27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9"/>
    </row>
    <row r="117" spans="1:40">
      <c r="A117" s="27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9"/>
    </row>
    <row r="118" spans="1:40">
      <c r="A118" s="27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9"/>
    </row>
    <row r="119" spans="1:40">
      <c r="A119" s="27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9"/>
    </row>
    <row r="120" spans="1:40">
      <c r="A120" s="27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9"/>
    </row>
    <row r="121" spans="1:40" ht="60.6">
      <c r="A121" s="27"/>
      <c r="B121" s="28"/>
      <c r="C121" s="28"/>
      <c r="D121" s="28"/>
      <c r="E121" s="28"/>
      <c r="F121" s="28"/>
      <c r="G121" s="28"/>
      <c r="H121" s="28"/>
      <c r="I121" s="28"/>
      <c r="J121" s="71">
        <f>SUM(Account_Data[Balance])</f>
        <v>159622523.37000012</v>
      </c>
      <c r="K121" s="71"/>
      <c r="L121" s="71"/>
      <c r="M121" s="71"/>
      <c r="N121" s="28"/>
      <c r="O121" s="28"/>
      <c r="P121" s="28"/>
      <c r="Q121" s="28"/>
      <c r="R121" s="28"/>
      <c r="S121" s="28"/>
      <c r="T121" s="72">
        <f>COUNTA(Account_Data[Gender])</f>
        <v>4014</v>
      </c>
      <c r="U121" s="72"/>
      <c r="V121" s="72"/>
      <c r="W121" s="72"/>
      <c r="X121" s="72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9"/>
    </row>
    <row r="122" spans="1:40">
      <c r="A122" s="27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9"/>
    </row>
    <row r="123" spans="1:40">
      <c r="A123" s="27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9"/>
    </row>
    <row r="124" spans="1:40">
      <c r="A124" s="27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9"/>
    </row>
    <row r="125" spans="1:40">
      <c r="A125" s="27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9"/>
    </row>
    <row r="126" spans="1:40">
      <c r="A126" s="27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9"/>
    </row>
    <row r="127" spans="1:40">
      <c r="A127" s="27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9"/>
    </row>
    <row r="128" spans="1:40">
      <c r="A128" s="27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9"/>
    </row>
    <row r="129" spans="1:40">
      <c r="A129" s="27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9"/>
    </row>
    <row r="130" spans="1:40">
      <c r="A130" s="27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9"/>
    </row>
    <row r="131" spans="1:40">
      <c r="A131" s="27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9"/>
    </row>
    <row r="132" spans="1:40">
      <c r="A132" s="27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9"/>
    </row>
    <row r="133" spans="1:40">
      <c r="A133" s="27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9"/>
    </row>
    <row r="134" spans="1:40">
      <c r="A134" s="27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9"/>
    </row>
    <row r="135" spans="1:40">
      <c r="A135" s="27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9"/>
    </row>
    <row r="136" spans="1:40">
      <c r="A136" s="27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9"/>
    </row>
    <row r="137" spans="1:40">
      <c r="A137" s="27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9"/>
    </row>
    <row r="138" spans="1:40">
      <c r="A138" s="27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9"/>
    </row>
    <row r="139" spans="1:40">
      <c r="A139" s="27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9"/>
    </row>
    <row r="140" spans="1:40">
      <c r="A140" s="27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9"/>
    </row>
    <row r="141" spans="1:40">
      <c r="A141" s="27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9"/>
    </row>
    <row r="142" spans="1:40">
      <c r="A142" s="27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9"/>
    </row>
    <row r="143" spans="1:40">
      <c r="A143" s="27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9"/>
    </row>
    <row r="144" spans="1:40">
      <c r="A144" s="27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9"/>
    </row>
    <row r="145" spans="1:40">
      <c r="A145" s="27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9"/>
    </row>
    <row r="146" spans="1:40">
      <c r="A146" s="27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9"/>
    </row>
    <row r="147" spans="1:40">
      <c r="A147" s="27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9"/>
    </row>
    <row r="148" spans="1:40">
      <c r="A148" s="27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9"/>
    </row>
    <row r="149" spans="1:40">
      <c r="A149" s="27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9"/>
    </row>
    <row r="150" spans="1:40">
      <c r="A150" s="27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9"/>
    </row>
    <row r="151" spans="1:40">
      <c r="A151" s="27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9"/>
    </row>
    <row r="152" spans="1:40">
      <c r="A152" s="27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9"/>
    </row>
    <row r="153" spans="1:40">
      <c r="A153" s="27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9"/>
    </row>
    <row r="154" spans="1:40">
      <c r="A154" s="27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9"/>
    </row>
    <row r="155" spans="1:40">
      <c r="A155" s="27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9"/>
    </row>
    <row r="156" spans="1:40">
      <c r="A156" s="27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9"/>
    </row>
    <row r="157" spans="1:40" ht="60.6">
      <c r="A157" s="27"/>
      <c r="B157" s="28"/>
      <c r="C157" s="28"/>
      <c r="D157" s="28"/>
      <c r="E157" s="28"/>
      <c r="F157" s="28"/>
      <c r="G157" s="28"/>
      <c r="H157" s="28"/>
      <c r="I157" s="28"/>
      <c r="J157" s="71">
        <f>AVERAGE(Account_Data[Balance])</f>
        <v>39766.448273542628</v>
      </c>
      <c r="K157" s="71"/>
      <c r="L157" s="71"/>
      <c r="M157" s="52"/>
      <c r="N157" s="52"/>
      <c r="O157" s="28"/>
      <c r="P157" s="28"/>
      <c r="Q157" s="28"/>
      <c r="R157" s="28"/>
      <c r="S157" s="52"/>
      <c r="T157" s="71">
        <f>MAX(Account_Data[Balance])</f>
        <v>183467.7</v>
      </c>
      <c r="U157" s="71"/>
      <c r="V157" s="71"/>
      <c r="W157" s="71">
        <f>MIN(Account_Data[Balance])</f>
        <v>11.52</v>
      </c>
      <c r="X157" s="71"/>
      <c r="Y157" s="71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9"/>
    </row>
    <row r="158" spans="1:40">
      <c r="A158" s="27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52"/>
      <c r="U158" s="52"/>
      <c r="V158" s="52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9"/>
    </row>
    <row r="159" spans="1:40">
      <c r="A159" s="27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9"/>
    </row>
    <row r="160" spans="1:40">
      <c r="A160" s="27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9"/>
    </row>
    <row r="161" spans="1:40">
      <c r="A161" s="27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52"/>
      <c r="U161" s="52"/>
      <c r="V161" s="52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9"/>
    </row>
    <row r="162" spans="1:40">
      <c r="A162" s="27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9"/>
    </row>
    <row r="163" spans="1:40">
      <c r="A163" s="27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9"/>
    </row>
    <row r="164" spans="1:40">
      <c r="A164" s="27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9"/>
    </row>
    <row r="165" spans="1:40">
      <c r="A165" s="27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9"/>
    </row>
    <row r="166" spans="1:40">
      <c r="A166" s="27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52"/>
      <c r="U166" s="52"/>
      <c r="V166" s="52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9"/>
    </row>
    <row r="167" spans="1:40">
      <c r="A167" s="27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9"/>
    </row>
    <row r="168" spans="1:40">
      <c r="A168" s="27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9"/>
    </row>
    <row r="169" spans="1:40">
      <c r="A169" s="27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9"/>
    </row>
    <row r="170" spans="1:40">
      <c r="A170" s="27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9"/>
    </row>
    <row r="171" spans="1:40">
      <c r="A171" s="27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9"/>
    </row>
    <row r="172" spans="1:40">
      <c r="A172" s="27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9"/>
    </row>
    <row r="173" spans="1:40">
      <c r="A173" s="27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9"/>
    </row>
    <row r="174" spans="1:40">
      <c r="A174" s="27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9"/>
    </row>
    <row r="175" spans="1:40">
      <c r="A175" s="27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9"/>
    </row>
    <row r="176" spans="1:40">
      <c r="A176" s="27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9"/>
    </row>
    <row r="177" spans="1:46">
      <c r="A177" s="27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9"/>
    </row>
    <row r="178" spans="1:46">
      <c r="A178" s="27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9"/>
    </row>
    <row r="179" spans="1:46">
      <c r="A179" s="27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9"/>
    </row>
    <row r="180" spans="1:46">
      <c r="A180" s="27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9"/>
    </row>
    <row r="181" spans="1:46">
      <c r="A181" s="27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9"/>
    </row>
    <row r="182" spans="1:46">
      <c r="A182" s="27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9"/>
    </row>
    <row r="183" spans="1:46">
      <c r="A183" s="27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9"/>
    </row>
    <row r="184" spans="1:46" ht="33">
      <c r="A184" s="27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47"/>
      <c r="AM184" s="47"/>
      <c r="AN184" s="29"/>
      <c r="AO184" s="10"/>
      <c r="AP184" s="10"/>
      <c r="AQ184" s="10"/>
      <c r="AR184" s="10"/>
      <c r="AS184" s="23"/>
      <c r="AT184" s="23"/>
    </row>
    <row r="185" spans="1:46">
      <c r="A185" s="27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52"/>
      <c r="AM185" s="52"/>
      <c r="AN185" s="29"/>
      <c r="AO185" s="10"/>
      <c r="AP185" s="10"/>
      <c r="AQ185" s="10"/>
      <c r="AR185" s="10"/>
    </row>
    <row r="186" spans="1:46">
      <c r="A186" s="27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9"/>
      <c r="AO186" s="10"/>
      <c r="AP186" s="10"/>
      <c r="AQ186" s="10"/>
      <c r="AR186" s="10"/>
      <c r="AS186" s="10"/>
      <c r="AT186" s="10"/>
    </row>
    <row r="187" spans="1:46">
      <c r="A187" s="27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9"/>
      <c r="AO187" s="10"/>
      <c r="AP187" s="10"/>
      <c r="AQ187" s="10"/>
      <c r="AR187" s="10"/>
      <c r="AS187" s="10"/>
      <c r="AT187" s="10"/>
    </row>
    <row r="188" spans="1:46">
      <c r="A188" s="27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9"/>
      <c r="AO188" s="10"/>
      <c r="AP188" s="10"/>
      <c r="AQ188" s="10"/>
      <c r="AR188" s="10"/>
      <c r="AS188" s="10"/>
      <c r="AT188" s="10"/>
    </row>
    <row r="189" spans="1:46">
      <c r="A189" s="27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9"/>
      <c r="AO189" s="10"/>
      <c r="AP189" s="10"/>
      <c r="AQ189" s="10"/>
      <c r="AR189" s="10"/>
      <c r="AS189" s="10"/>
      <c r="AT189" s="10"/>
    </row>
    <row r="190" spans="1:46">
      <c r="A190" s="27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9"/>
      <c r="AO190" s="10"/>
      <c r="AP190" s="10"/>
      <c r="AQ190" s="10"/>
      <c r="AR190" s="10"/>
      <c r="AS190" s="10"/>
      <c r="AT190" s="10"/>
    </row>
    <row r="191" spans="1:46">
      <c r="A191" s="27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9"/>
      <c r="AO191" s="10"/>
      <c r="AP191" s="10"/>
      <c r="AQ191" s="10"/>
      <c r="AR191" s="10"/>
      <c r="AS191" s="10"/>
      <c r="AT191" s="10"/>
    </row>
    <row r="192" spans="1:46">
      <c r="A192" s="27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9"/>
      <c r="AO192" s="10"/>
      <c r="AP192" s="10"/>
      <c r="AQ192" s="10"/>
      <c r="AR192" s="10"/>
      <c r="AS192" s="10"/>
      <c r="AT192" s="10"/>
    </row>
    <row r="193" spans="1:46">
      <c r="A193" s="27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9"/>
      <c r="AO193" s="10"/>
      <c r="AP193" s="10"/>
      <c r="AQ193" s="10"/>
      <c r="AR193" s="10"/>
      <c r="AS193" s="10"/>
      <c r="AT193" s="10"/>
    </row>
    <row r="194" spans="1:46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9"/>
      <c r="AO194" s="10"/>
      <c r="AP194" s="10"/>
      <c r="AQ194" s="10"/>
      <c r="AR194" s="10"/>
      <c r="AS194" s="10"/>
      <c r="AT194" s="10"/>
    </row>
    <row r="195" spans="1:46" ht="17.399999999999999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9"/>
      <c r="AO195" s="13"/>
      <c r="AP195" s="14"/>
      <c r="AQ195" s="10"/>
      <c r="AR195" s="10"/>
      <c r="AS195" s="10"/>
      <c r="AT195" s="10"/>
    </row>
    <row r="196" spans="1:46" ht="17.399999999999999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9"/>
      <c r="AO196" s="13"/>
      <c r="AP196" s="14"/>
      <c r="AQ196" s="10"/>
      <c r="AR196" s="10"/>
      <c r="AS196" s="10"/>
      <c r="AT196" s="10"/>
    </row>
    <row r="197" spans="1:46">
      <c r="A197" s="27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9"/>
      <c r="AO197" s="10"/>
      <c r="AP197" s="10"/>
      <c r="AQ197" s="10"/>
      <c r="AR197" s="10"/>
      <c r="AS197" s="10"/>
      <c r="AT197" s="10"/>
    </row>
    <row r="198" spans="1:46">
      <c r="A198" s="27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9"/>
      <c r="AO198" s="10"/>
      <c r="AP198" s="10"/>
      <c r="AQ198" s="10"/>
      <c r="AR198" s="10"/>
      <c r="AS198" s="10"/>
      <c r="AT198" s="10"/>
    </row>
    <row r="199" spans="1:46">
      <c r="A199" s="27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9"/>
      <c r="AO199" s="10"/>
      <c r="AP199" s="10"/>
      <c r="AQ199" s="10"/>
      <c r="AR199" s="10"/>
      <c r="AS199" s="10"/>
      <c r="AT199" s="10"/>
    </row>
    <row r="200" spans="1:46" ht="33">
      <c r="A200" s="27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18"/>
      <c r="AP200" s="10"/>
      <c r="AQ200" s="10"/>
      <c r="AR200" s="10"/>
      <c r="AS200" s="23"/>
      <c r="AT200" s="23"/>
    </row>
    <row r="201" spans="1:46" ht="33">
      <c r="A201" s="27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47"/>
      <c r="AM201" s="47"/>
      <c r="AN201" s="29"/>
      <c r="AO201" s="10"/>
      <c r="AP201" s="10"/>
      <c r="AQ201" s="10"/>
      <c r="AR201" s="10"/>
      <c r="AS201" s="19"/>
      <c r="AT201" s="19"/>
    </row>
    <row r="202" spans="1:46">
      <c r="A202" s="27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52"/>
      <c r="AM202" s="52"/>
      <c r="AN202" s="29"/>
      <c r="AO202" s="10"/>
      <c r="AP202" s="10"/>
      <c r="AQ202" s="10"/>
      <c r="AR202" s="10"/>
    </row>
    <row r="203" spans="1:46">
      <c r="A203" s="27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9"/>
    </row>
    <row r="204" spans="1:46">
      <c r="A204" s="27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9"/>
    </row>
    <row r="205" spans="1:46">
      <c r="A205" s="27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9"/>
    </row>
    <row r="206" spans="1:46">
      <c r="A206" s="27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9"/>
    </row>
    <row r="207" spans="1:46">
      <c r="A207" s="27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9"/>
    </row>
    <row r="208" spans="1:46">
      <c r="A208" s="27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9"/>
    </row>
    <row r="209" spans="1:40">
      <c r="A209" s="27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9"/>
    </row>
    <row r="210" spans="1:40">
      <c r="A210" s="27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9"/>
    </row>
    <row r="211" spans="1:40">
      <c r="A211" s="27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9"/>
    </row>
    <row r="212" spans="1:40">
      <c r="A212" s="27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9"/>
    </row>
    <row r="213" spans="1:40">
      <c r="A213" s="27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9"/>
    </row>
    <row r="214" spans="1:40">
      <c r="A214" s="27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9"/>
    </row>
    <row r="215" spans="1:40">
      <c r="A215" s="27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9"/>
    </row>
    <row r="216" spans="1:40">
      <c r="A216" s="27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9"/>
    </row>
    <row r="217" spans="1:40">
      <c r="A217" s="27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9"/>
    </row>
    <row r="218" spans="1:40">
      <c r="A218" s="27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9"/>
    </row>
    <row r="219" spans="1:40">
      <c r="A219" s="27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9"/>
    </row>
    <row r="220" spans="1:40">
      <c r="A220" s="27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9"/>
    </row>
    <row r="221" spans="1:40">
      <c r="A221" s="27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9"/>
    </row>
    <row r="222" spans="1:40">
      <c r="A222" s="27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9"/>
    </row>
    <row r="223" spans="1:40">
      <c r="A223" s="27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9"/>
    </row>
    <row r="224" spans="1:40">
      <c r="A224" s="27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9"/>
    </row>
    <row r="225" spans="1:40">
      <c r="A225" s="27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9"/>
    </row>
    <row r="226" spans="1:40">
      <c r="A226" s="27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9"/>
    </row>
    <row r="227" spans="1:40">
      <c r="A227" s="27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9"/>
    </row>
    <row r="228" spans="1:40">
      <c r="A228" s="27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9"/>
    </row>
    <row r="229" spans="1:40">
      <c r="A229" s="27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9"/>
    </row>
    <row r="230" spans="1:40">
      <c r="A230" s="27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9"/>
    </row>
    <row r="231" spans="1:40">
      <c r="A231" s="27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9"/>
    </row>
    <row r="232" spans="1:40">
      <c r="A232" s="27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9"/>
    </row>
    <row r="233" spans="1:40">
      <c r="A233" s="27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9"/>
    </row>
    <row r="234" spans="1:40">
      <c r="A234" s="27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9"/>
    </row>
    <row r="235" spans="1:40">
      <c r="A235" s="27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9"/>
    </row>
    <row r="236" spans="1:40">
      <c r="A236" s="27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9"/>
    </row>
    <row r="237" spans="1:40">
      <c r="A237" s="27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9"/>
    </row>
    <row r="238" spans="1:40">
      <c r="A238" s="27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9"/>
    </row>
    <row r="239" spans="1:40">
      <c r="A239" s="27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9"/>
    </row>
    <row r="240" spans="1:40">
      <c r="A240" s="27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9"/>
    </row>
    <row r="241" spans="1:40">
      <c r="A241" s="27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9"/>
    </row>
    <row r="242" spans="1:40">
      <c r="A242" s="27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9"/>
    </row>
    <row r="243" spans="1:40">
      <c r="A243" s="27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9"/>
    </row>
    <row r="244" spans="1:40">
      <c r="A244" s="27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9"/>
    </row>
    <row r="245" spans="1:40">
      <c r="A245" s="27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9"/>
    </row>
    <row r="246" spans="1:40">
      <c r="A246" s="27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9"/>
    </row>
    <row r="247" spans="1:40">
      <c r="A247" s="27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9"/>
    </row>
    <row r="248" spans="1:40">
      <c r="A248" s="27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9"/>
    </row>
    <row r="249" spans="1:40">
      <c r="A249" s="27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9"/>
    </row>
    <row r="250" spans="1:40">
      <c r="A250" s="27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9"/>
    </row>
    <row r="251" spans="1:40">
      <c r="A251" s="27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9"/>
    </row>
    <row r="252" spans="1:40">
      <c r="A252" s="27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9"/>
    </row>
    <row r="253" spans="1:40">
      <c r="A253" s="27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9"/>
    </row>
    <row r="254" spans="1:40">
      <c r="A254" s="27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9"/>
    </row>
    <row r="255" spans="1:40">
      <c r="A255" s="27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9"/>
    </row>
    <row r="256" spans="1:40">
      <c r="A256" s="27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9"/>
    </row>
    <row r="257" spans="1:40">
      <c r="A257" s="27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9"/>
    </row>
    <row r="258" spans="1:40">
      <c r="A258" s="27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9"/>
    </row>
    <row r="259" spans="1:40">
      <c r="A259" s="27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9"/>
    </row>
    <row r="260" spans="1:40">
      <c r="A260" s="27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9"/>
    </row>
    <row r="261" spans="1:40">
      <c r="A261" s="27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9"/>
    </row>
    <row r="262" spans="1:40">
      <c r="A262" s="27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9"/>
    </row>
    <row r="263" spans="1:40">
      <c r="A263" s="27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9"/>
    </row>
    <row r="264" spans="1:40">
      <c r="A264" s="27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9"/>
    </row>
    <row r="265" spans="1:40">
      <c r="A265" s="27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9"/>
    </row>
    <row r="266" spans="1:40" ht="14.4" thickBot="1">
      <c r="A266" s="20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21"/>
    </row>
  </sheetData>
  <mergeCells count="9">
    <mergeCell ref="AL184:AM184"/>
    <mergeCell ref="AS184:AT184"/>
    <mergeCell ref="AS200:AT200"/>
    <mergeCell ref="AL201:AM201"/>
    <mergeCell ref="J121:M121"/>
    <mergeCell ref="T157:V157"/>
    <mergeCell ref="W157:Y157"/>
    <mergeCell ref="J157:L157"/>
    <mergeCell ref="T121:X121"/>
  </mergeCells>
  <pageMargins left="0.25" right="0.25" top="0.75" bottom="0.75" header="0.3" footer="0.3"/>
  <pageSetup scale="14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578A4-3C9A-4635-8BD5-ADDFD33E644E}">
  <sheetPr>
    <pageSetUpPr fitToPage="1"/>
  </sheetPr>
  <dimension ref="A1:AB649"/>
  <sheetViews>
    <sheetView zoomScale="39" zoomScaleNormal="55" workbookViewId="0">
      <selection activeCell="M58" sqref="M58"/>
    </sheetView>
  </sheetViews>
  <sheetFormatPr defaultRowHeight="13.8"/>
  <cols>
    <col min="3" max="3" width="21.09765625" bestFit="1" customWidth="1"/>
    <col min="4" max="4" width="25.09765625" bestFit="1" customWidth="1"/>
    <col min="5" max="5" width="23.8984375" bestFit="1" customWidth="1"/>
    <col min="6" max="6" width="21.09765625" bestFit="1" customWidth="1"/>
    <col min="7" max="7" width="17.19921875" bestFit="1" customWidth="1"/>
    <col min="8" max="8" width="23.69921875" bestFit="1" customWidth="1"/>
    <col min="9" max="9" width="23.796875" bestFit="1" customWidth="1"/>
    <col min="10" max="10" width="18.69921875" bestFit="1" customWidth="1"/>
    <col min="11" max="11" width="12" bestFit="1" customWidth="1"/>
    <col min="12" max="12" width="15.59765625" customWidth="1"/>
    <col min="13" max="13" width="12.09765625" customWidth="1"/>
    <col min="14" max="14" width="19.69921875" bestFit="1" customWidth="1"/>
    <col min="15" max="15" width="21" customWidth="1"/>
    <col min="16" max="16" width="13.09765625" bestFit="1" customWidth="1"/>
    <col min="17" max="17" width="19.796875" bestFit="1" customWidth="1"/>
    <col min="18" max="18" width="28.19921875" bestFit="1" customWidth="1"/>
    <col min="19" max="21" width="13.09765625" bestFit="1" customWidth="1"/>
    <col min="22" max="28" width="10.09765625" bestFit="1" customWidth="1"/>
    <col min="29" max="31" width="11" bestFit="1" customWidth="1"/>
    <col min="32" max="32" width="9.8984375" bestFit="1" customWidth="1"/>
    <col min="33" max="33" width="11" bestFit="1" customWidth="1"/>
    <col min="34" max="34" width="10.09765625" bestFit="1" customWidth="1"/>
    <col min="35" max="35" width="9.8984375" bestFit="1" customWidth="1"/>
    <col min="36" max="37" width="10.09765625" bestFit="1" customWidth="1"/>
    <col min="38" max="38" width="12" bestFit="1" customWidth="1"/>
    <col min="39" max="41" width="10.09765625" bestFit="1" customWidth="1"/>
    <col min="42" max="44" width="11" bestFit="1" customWidth="1"/>
    <col min="45" max="46" width="9.8984375" bestFit="1" customWidth="1"/>
    <col min="47" max="50" width="11" bestFit="1" customWidth="1"/>
    <col min="51" max="51" width="9.8984375" bestFit="1" customWidth="1"/>
    <col min="52" max="56" width="11" bestFit="1" customWidth="1"/>
    <col min="57" max="57" width="10.09765625" bestFit="1" customWidth="1"/>
    <col min="58" max="61" width="11" bestFit="1" customWidth="1"/>
    <col min="62" max="62" width="10.09765625" bestFit="1" customWidth="1"/>
    <col min="63" max="66" width="11" bestFit="1" customWidth="1"/>
    <col min="67" max="67" width="10.09765625" bestFit="1" customWidth="1"/>
    <col min="68" max="70" width="11" bestFit="1" customWidth="1"/>
    <col min="71" max="71" width="10.09765625" bestFit="1" customWidth="1"/>
    <col min="72" max="80" width="11" bestFit="1" customWidth="1"/>
    <col min="81" max="81" width="10.09765625" bestFit="1" customWidth="1"/>
    <col min="82" max="89" width="11" bestFit="1" customWidth="1"/>
    <col min="90" max="90" width="12" bestFit="1" customWidth="1"/>
    <col min="91" max="97" width="11" bestFit="1" customWidth="1"/>
    <col min="98" max="98" width="10.09765625" bestFit="1" customWidth="1"/>
    <col min="99" max="120" width="11" bestFit="1" customWidth="1"/>
    <col min="121" max="121" width="10.09765625" bestFit="1" customWidth="1"/>
    <col min="122" max="122" width="12" bestFit="1" customWidth="1"/>
    <col min="123" max="125" width="11" bestFit="1" customWidth="1"/>
    <col min="126" max="126" width="10.09765625" bestFit="1" customWidth="1"/>
    <col min="127" max="131" width="11" bestFit="1" customWidth="1"/>
    <col min="132" max="132" width="10.09765625" bestFit="1" customWidth="1"/>
    <col min="133" max="135" width="11" bestFit="1" customWidth="1"/>
    <col min="136" max="136" width="9.8984375" bestFit="1" customWidth="1"/>
    <col min="137" max="146" width="11" bestFit="1" customWidth="1"/>
    <col min="147" max="147" width="10.09765625" bestFit="1" customWidth="1"/>
    <col min="148" max="149" width="11" bestFit="1" customWidth="1"/>
    <col min="150" max="150" width="10.09765625" bestFit="1" customWidth="1"/>
    <col min="151" max="153" width="11" bestFit="1" customWidth="1"/>
    <col min="154" max="154" width="12" bestFit="1" customWidth="1"/>
    <col min="155" max="166" width="11" bestFit="1" customWidth="1"/>
    <col min="167" max="167" width="9.8984375" bestFit="1" customWidth="1"/>
    <col min="168" max="170" width="11" bestFit="1" customWidth="1"/>
    <col min="171" max="172" width="9.8984375" bestFit="1" customWidth="1"/>
    <col min="173" max="173" width="10.09765625" bestFit="1" customWidth="1"/>
    <col min="174" max="185" width="11" bestFit="1" customWidth="1"/>
    <col min="186" max="186" width="10.09765625" bestFit="1" customWidth="1"/>
    <col min="187" max="206" width="11" bestFit="1" customWidth="1"/>
    <col min="207" max="207" width="10.09765625" bestFit="1" customWidth="1"/>
    <col min="208" max="211" width="11" bestFit="1" customWidth="1"/>
    <col min="212" max="212" width="10.09765625" bestFit="1" customWidth="1"/>
    <col min="213" max="213" width="12" bestFit="1" customWidth="1"/>
    <col min="214" max="216" width="11" bestFit="1" customWidth="1"/>
    <col min="217" max="220" width="12" bestFit="1" customWidth="1"/>
    <col min="221" max="221" width="11" bestFit="1" customWidth="1"/>
    <col min="222" max="222" width="12" bestFit="1" customWidth="1"/>
    <col min="223" max="233" width="11" bestFit="1" customWidth="1"/>
    <col min="234" max="249" width="11.19921875" bestFit="1" customWidth="1"/>
    <col min="250" max="250" width="12" bestFit="1" customWidth="1"/>
    <col min="251" max="255" width="11.19921875" bestFit="1" customWidth="1"/>
    <col min="256" max="256" width="12" bestFit="1" customWidth="1"/>
    <col min="257" max="259" width="11" bestFit="1" customWidth="1"/>
    <col min="260" max="260" width="12" bestFit="1" customWidth="1"/>
    <col min="261" max="264" width="11" bestFit="1" customWidth="1"/>
    <col min="265" max="265" width="11.19921875" bestFit="1" customWidth="1"/>
    <col min="266" max="266" width="12" bestFit="1" customWidth="1"/>
    <col min="267" max="275" width="11.19921875" bestFit="1" customWidth="1"/>
    <col min="276" max="276" width="12" bestFit="1" customWidth="1"/>
    <col min="277" max="278" width="11.19921875" bestFit="1" customWidth="1"/>
    <col min="279" max="279" width="12" bestFit="1" customWidth="1"/>
    <col min="280" max="281" width="11.19921875" bestFit="1" customWidth="1"/>
    <col min="282" max="282" width="12" bestFit="1" customWidth="1"/>
    <col min="283" max="285" width="11.19921875" bestFit="1" customWidth="1"/>
    <col min="286" max="287" width="11" bestFit="1" customWidth="1"/>
    <col min="288" max="288" width="12" bestFit="1" customWidth="1"/>
    <col min="289" max="291" width="11" bestFit="1" customWidth="1"/>
    <col min="292" max="292" width="12" bestFit="1" customWidth="1"/>
    <col min="293" max="293" width="10.09765625" bestFit="1" customWidth="1"/>
    <col min="294" max="294" width="11" bestFit="1" customWidth="1"/>
    <col min="295" max="300" width="11.19921875" bestFit="1" customWidth="1"/>
    <col min="301" max="301" width="12" bestFit="1" customWidth="1"/>
    <col min="302" max="304" width="11.19921875" bestFit="1" customWidth="1"/>
    <col min="305" max="305" width="12" bestFit="1" customWidth="1"/>
    <col min="306" max="307" width="11.19921875" bestFit="1" customWidth="1"/>
    <col min="308" max="308" width="12" bestFit="1" customWidth="1"/>
    <col min="309" max="315" width="11.19921875" bestFit="1" customWidth="1"/>
    <col min="316" max="316" width="13.09765625" bestFit="1" customWidth="1"/>
  </cols>
  <sheetData>
    <row r="1" spans="1:28" ht="14.4" thickBot="1">
      <c r="A1" s="1"/>
      <c r="B1" s="1"/>
      <c r="C1" s="1"/>
      <c r="D1" s="1"/>
      <c r="E1" s="1"/>
      <c r="F1" s="1"/>
      <c r="G1" s="1"/>
      <c r="H1" s="1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4"/>
      <c r="V1" s="4"/>
      <c r="W1" s="4"/>
      <c r="X1" s="4"/>
      <c r="Y1" s="4"/>
      <c r="Z1" s="4"/>
      <c r="AA1" s="4"/>
      <c r="AB1" s="4"/>
    </row>
    <row r="2" spans="1:28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6"/>
    </row>
    <row r="3" spans="1:28">
      <c r="A3" s="27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9"/>
    </row>
    <row r="4" spans="1:28">
      <c r="A4" s="27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9"/>
    </row>
    <row r="5" spans="1:28">
      <c r="A5" s="27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9"/>
    </row>
    <row r="6" spans="1:28">
      <c r="A6" s="27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9"/>
    </row>
    <row r="7" spans="1:28">
      <c r="A7" s="27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9"/>
    </row>
    <row r="8" spans="1:28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9"/>
    </row>
    <row r="9" spans="1:28">
      <c r="A9" s="27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9"/>
    </row>
    <row r="10" spans="1:28">
      <c r="A10" s="27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9"/>
    </row>
    <row r="11" spans="1:28">
      <c r="A11" s="27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9"/>
    </row>
    <row r="12" spans="1:28">
      <c r="A12" s="27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9"/>
    </row>
    <row r="13" spans="1:28" ht="14.4" thickBot="1">
      <c r="A13" s="27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9"/>
    </row>
    <row r="14" spans="1:28" ht="21" thickBot="1">
      <c r="A14" s="27"/>
      <c r="B14" s="29"/>
      <c r="C14" s="30" t="s">
        <v>5</v>
      </c>
      <c r="D14" s="31" t="s">
        <v>343</v>
      </c>
      <c r="E14" s="31" t="s">
        <v>341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32" t="s">
        <v>3</v>
      </c>
      <c r="R14" s="32" t="s">
        <v>339</v>
      </c>
      <c r="S14" s="29"/>
    </row>
    <row r="15" spans="1:28" ht="17.399999999999999">
      <c r="A15" s="27"/>
      <c r="B15" s="29"/>
      <c r="C15" s="33" t="s">
        <v>12</v>
      </c>
      <c r="D15" s="34">
        <v>84833396.999999821</v>
      </c>
      <c r="E15" s="35">
        <v>34.787864752200093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36" t="s">
        <v>16</v>
      </c>
      <c r="R15" s="37">
        <v>1849</v>
      </c>
      <c r="S15" s="29"/>
    </row>
    <row r="16" spans="1:28" ht="18" thickBot="1">
      <c r="A16" s="27"/>
      <c r="B16" s="29"/>
      <c r="C16" s="33" t="s">
        <v>17</v>
      </c>
      <c r="D16" s="38">
        <v>8335566.3899999987</v>
      </c>
      <c r="E16" s="39">
        <v>30.279620853080569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40" t="s">
        <v>11</v>
      </c>
      <c r="R16" s="41">
        <v>2165</v>
      </c>
      <c r="S16" s="29"/>
    </row>
    <row r="17" spans="1:19" ht="18" thickBot="1">
      <c r="A17" s="27"/>
      <c r="B17" s="29"/>
      <c r="C17" s="33" t="s">
        <v>32</v>
      </c>
      <c r="D17" s="38">
        <v>44410730.719999932</v>
      </c>
      <c r="E17" s="39">
        <v>49.195729537366546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42" t="s">
        <v>338</v>
      </c>
      <c r="R17" s="43">
        <v>4014</v>
      </c>
      <c r="S17" s="29"/>
    </row>
    <row r="18" spans="1:19" ht="18" thickBot="1">
      <c r="A18" s="27"/>
      <c r="B18" s="29"/>
      <c r="C18" s="44" t="s">
        <v>23</v>
      </c>
      <c r="D18" s="45">
        <v>22042829.259999987</v>
      </c>
      <c r="E18" s="46">
        <v>34.986538461538458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9"/>
    </row>
    <row r="19" spans="1:19" ht="13.8" customHeight="1">
      <c r="A19" s="2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9"/>
    </row>
    <row r="20" spans="1:19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9"/>
    </row>
    <row r="21" spans="1:19" ht="33">
      <c r="A21" s="27"/>
      <c r="B21" s="28"/>
      <c r="C21" s="28"/>
      <c r="D21" s="28"/>
      <c r="E21" s="28"/>
      <c r="F21" s="28"/>
      <c r="G21" s="47" t="s">
        <v>335</v>
      </c>
      <c r="H21" s="47"/>
      <c r="I21" s="28"/>
      <c r="J21" s="28"/>
      <c r="K21" s="28"/>
      <c r="L21" s="28"/>
      <c r="M21" s="28"/>
      <c r="N21" s="47" t="s">
        <v>336</v>
      </c>
      <c r="O21" s="47"/>
      <c r="P21" s="28"/>
      <c r="Q21" s="28"/>
      <c r="R21" s="28"/>
      <c r="S21" s="29"/>
    </row>
    <row r="22" spans="1:19" ht="33.6" thickBot="1">
      <c r="A22" s="27"/>
      <c r="B22" s="28"/>
      <c r="C22" s="28"/>
      <c r="D22" s="28"/>
      <c r="E22" s="28"/>
      <c r="F22" s="28"/>
      <c r="G22" s="48">
        <f>SUM(Account_Data[Balance])</f>
        <v>159622523.37000012</v>
      </c>
      <c r="H22" s="48"/>
      <c r="I22" s="28"/>
      <c r="J22" s="28"/>
      <c r="K22" s="28"/>
      <c r="L22" s="28"/>
      <c r="M22" s="28"/>
      <c r="N22" s="47">
        <f>COUNTA(Account_Data[Gender])</f>
        <v>4014</v>
      </c>
      <c r="O22" s="47"/>
      <c r="P22" s="28"/>
      <c r="Q22" s="28"/>
      <c r="R22" s="28"/>
      <c r="S22" s="29"/>
    </row>
    <row r="23" spans="1:19" ht="18" thickBot="1">
      <c r="A23" s="27"/>
      <c r="B23" s="28"/>
      <c r="C23" s="28"/>
      <c r="D23" s="31" t="s">
        <v>354</v>
      </c>
      <c r="E23" s="31" t="s">
        <v>343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9"/>
    </row>
    <row r="24" spans="1:19" ht="17.399999999999999">
      <c r="A24" s="27"/>
      <c r="B24" s="28"/>
      <c r="C24" s="28"/>
      <c r="D24" s="49" t="s">
        <v>308</v>
      </c>
      <c r="E24" s="50">
        <v>1410718.48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9"/>
    </row>
    <row r="25" spans="1:19" ht="17.399999999999999">
      <c r="A25" s="27"/>
      <c r="B25" s="28"/>
      <c r="C25" s="28"/>
      <c r="D25" s="51" t="s">
        <v>344</v>
      </c>
      <c r="E25" s="50">
        <v>1205743.3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9"/>
    </row>
    <row r="26" spans="1:19" ht="17.399999999999999">
      <c r="A26" s="27"/>
      <c r="B26" s="28"/>
      <c r="C26" s="28"/>
      <c r="D26" s="51" t="s">
        <v>345</v>
      </c>
      <c r="E26" s="50">
        <v>1860165.57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9"/>
    </row>
    <row r="27" spans="1:19" ht="17.399999999999999">
      <c r="A27" s="27"/>
      <c r="B27" s="28"/>
      <c r="C27" s="28"/>
      <c r="D27" s="51" t="s">
        <v>346</v>
      </c>
      <c r="E27" s="50">
        <v>8148492.8899999997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9"/>
    </row>
    <row r="28" spans="1:19" ht="17.399999999999999">
      <c r="A28" s="27"/>
      <c r="B28" s="28"/>
      <c r="C28" s="28"/>
      <c r="D28" s="51" t="s">
        <v>163</v>
      </c>
      <c r="E28" s="50">
        <v>16847597.850000001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9"/>
    </row>
    <row r="29" spans="1:19" ht="17.399999999999999">
      <c r="A29" s="27"/>
      <c r="B29" s="28"/>
      <c r="C29" s="28"/>
      <c r="D29" s="51" t="s">
        <v>347</v>
      </c>
      <c r="E29" s="50">
        <v>11258576.15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52"/>
      <c r="S29" s="29"/>
    </row>
    <row r="30" spans="1:19" ht="17.399999999999999">
      <c r="A30" s="27"/>
      <c r="B30" s="28"/>
      <c r="C30" s="28"/>
      <c r="D30" s="51" t="s">
        <v>348</v>
      </c>
      <c r="E30" s="50">
        <v>16303081.949999999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52"/>
      <c r="R30" s="52"/>
      <c r="S30" s="29"/>
    </row>
    <row r="31" spans="1:19" ht="17.399999999999999">
      <c r="A31" s="27"/>
      <c r="B31" s="28"/>
      <c r="C31" s="28"/>
      <c r="D31" s="51" t="s">
        <v>349</v>
      </c>
      <c r="E31" s="50">
        <v>17155057.41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52"/>
      <c r="R31" s="52"/>
      <c r="S31" s="29"/>
    </row>
    <row r="32" spans="1:19" ht="17.399999999999999">
      <c r="A32" s="27"/>
      <c r="B32" s="28"/>
      <c r="C32" s="28"/>
      <c r="D32" s="51" t="s">
        <v>350</v>
      </c>
      <c r="E32" s="50">
        <v>22767097.07</v>
      </c>
      <c r="F32" s="28"/>
      <c r="G32" s="28"/>
      <c r="H32" s="28"/>
      <c r="I32" s="28"/>
      <c r="J32" s="53"/>
      <c r="K32" s="54"/>
      <c r="L32" s="28"/>
      <c r="M32" s="28"/>
      <c r="N32" s="28"/>
      <c r="O32" s="28"/>
      <c r="P32" s="28"/>
      <c r="Q32" s="52"/>
      <c r="R32" s="52"/>
      <c r="S32" s="29"/>
    </row>
    <row r="33" spans="1:25" ht="17.399999999999999">
      <c r="A33" s="27"/>
      <c r="B33" s="28"/>
      <c r="C33" s="28"/>
      <c r="D33" s="51" t="s">
        <v>351</v>
      </c>
      <c r="E33" s="50">
        <v>21354252.699999999</v>
      </c>
      <c r="F33" s="28"/>
      <c r="G33" s="28"/>
      <c r="H33" s="28"/>
      <c r="I33" s="28"/>
      <c r="J33" s="53"/>
      <c r="K33" s="54"/>
      <c r="L33" s="28"/>
      <c r="M33" s="28"/>
      <c r="N33" s="28"/>
      <c r="O33" s="28"/>
      <c r="P33" s="28"/>
      <c r="Q33" s="28"/>
      <c r="R33" s="28"/>
      <c r="S33" s="29"/>
    </row>
    <row r="34" spans="1:25" ht="17.399999999999999">
      <c r="A34" s="27"/>
      <c r="B34" s="28"/>
      <c r="C34" s="28"/>
      <c r="D34" s="51" t="s">
        <v>352</v>
      </c>
      <c r="E34" s="50">
        <v>19801095.760000002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9"/>
    </row>
    <row r="35" spans="1:25" ht="17.399999999999999">
      <c r="A35" s="27"/>
      <c r="B35" s="28"/>
      <c r="C35" s="28"/>
      <c r="D35" s="51" t="s">
        <v>353</v>
      </c>
      <c r="E35" s="50">
        <v>21510644.239999998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9"/>
    </row>
    <row r="36" spans="1:25" ht="18" thickBot="1">
      <c r="A36" s="27"/>
      <c r="B36" s="28"/>
      <c r="C36" s="28"/>
      <c r="D36" s="40" t="s">
        <v>338</v>
      </c>
      <c r="E36" s="40">
        <v>159622523.37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9"/>
    </row>
    <row r="37" spans="1:25" ht="33">
      <c r="A37" s="27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47" t="s">
        <v>8</v>
      </c>
      <c r="O37" s="47"/>
      <c r="P37" s="28"/>
      <c r="Q37" s="28"/>
      <c r="R37" s="28"/>
      <c r="S37" s="29"/>
    </row>
    <row r="38" spans="1:25" ht="33">
      <c r="A38" s="27"/>
      <c r="B38" s="28"/>
      <c r="C38" s="28"/>
      <c r="D38" s="28"/>
      <c r="E38" s="28"/>
      <c r="F38" s="28"/>
      <c r="G38" s="47" t="s">
        <v>337</v>
      </c>
      <c r="H38" s="47"/>
      <c r="I38" s="28"/>
      <c r="J38" s="28"/>
      <c r="K38" s="28"/>
      <c r="L38" s="28"/>
      <c r="M38" s="28"/>
      <c r="N38" s="55" t="s">
        <v>334</v>
      </c>
      <c r="O38" s="55" t="s">
        <v>333</v>
      </c>
      <c r="P38" s="28"/>
      <c r="Q38" s="28"/>
      <c r="R38" s="28"/>
      <c r="S38" s="29"/>
    </row>
    <row r="39" spans="1:25" ht="33">
      <c r="A39" s="27"/>
      <c r="B39" s="28"/>
      <c r="C39" s="28"/>
      <c r="D39" s="28"/>
      <c r="E39" s="28"/>
      <c r="F39" s="28"/>
      <c r="G39" s="56">
        <f>AVERAGE(Account_Data[Balance])</f>
        <v>39766.448273542628</v>
      </c>
      <c r="H39" s="56"/>
      <c r="I39" s="28"/>
      <c r="J39" s="28"/>
      <c r="K39" s="28"/>
      <c r="L39" s="28"/>
      <c r="M39" s="28"/>
      <c r="N39" s="57">
        <f>MAX(Account_Data[Balance])</f>
        <v>183467.7</v>
      </c>
      <c r="O39" s="57">
        <f>MIN(Account_Data[Balance])</f>
        <v>11.52</v>
      </c>
      <c r="P39" s="28"/>
      <c r="Q39" s="28"/>
      <c r="R39" s="28"/>
      <c r="S39" s="29"/>
    </row>
    <row r="40" spans="1:25" ht="14.4" thickBot="1">
      <c r="A40" s="27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9"/>
    </row>
    <row r="41" spans="1:25" ht="27.6" customHeight="1" thickBot="1">
      <c r="A41" s="27"/>
      <c r="B41" s="28"/>
      <c r="C41" s="28"/>
      <c r="D41" s="58" t="s">
        <v>362</v>
      </c>
      <c r="E41" s="31" t="s">
        <v>360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59" t="s">
        <v>342</v>
      </c>
      <c r="R41" s="60"/>
      <c r="S41" s="29"/>
      <c r="Y41" s="5"/>
    </row>
    <row r="42" spans="1:25" ht="21" customHeight="1">
      <c r="A42" s="27"/>
      <c r="B42" s="28"/>
      <c r="C42" s="28"/>
      <c r="D42" s="49" t="s">
        <v>355</v>
      </c>
      <c r="E42" s="61">
        <v>38490.602076271185</v>
      </c>
      <c r="F42" s="28"/>
      <c r="G42" s="28"/>
      <c r="H42" s="28"/>
      <c r="I42" s="33"/>
      <c r="J42" s="28"/>
      <c r="K42" s="28"/>
      <c r="L42" s="28"/>
      <c r="M42" s="28"/>
      <c r="N42" s="28"/>
      <c r="O42" s="28"/>
      <c r="P42" s="28"/>
      <c r="Q42" s="49" t="s">
        <v>340</v>
      </c>
      <c r="R42" s="62">
        <v>64</v>
      </c>
      <c r="S42" s="29"/>
    </row>
    <row r="43" spans="1:25" ht="17.399999999999999">
      <c r="A43" s="27"/>
      <c r="B43" s="28"/>
      <c r="C43" s="28"/>
      <c r="D43" s="51" t="s">
        <v>356</v>
      </c>
      <c r="E43" s="61">
        <v>40040.801465315701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51" t="s">
        <v>361</v>
      </c>
      <c r="R43" s="63">
        <v>15</v>
      </c>
      <c r="S43" s="29"/>
    </row>
    <row r="44" spans="1:25" ht="18" thickBot="1">
      <c r="A44" s="27"/>
      <c r="B44" s="28"/>
      <c r="C44" s="29"/>
      <c r="D44" s="51" t="s">
        <v>357</v>
      </c>
      <c r="E44" s="61">
        <v>39533.825668789825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64" t="s">
        <v>341</v>
      </c>
      <c r="R44" s="65">
        <v>38.611111111111114</v>
      </c>
      <c r="S44" s="29"/>
    </row>
    <row r="45" spans="1:25" ht="17.399999999999999">
      <c r="A45" s="27"/>
      <c r="B45" s="28"/>
      <c r="C45" s="29"/>
      <c r="D45" s="51" t="s">
        <v>358</v>
      </c>
      <c r="E45" s="61">
        <v>39692.491262755124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9"/>
    </row>
    <row r="46" spans="1:25" ht="18" thickBot="1">
      <c r="A46" s="27"/>
      <c r="B46" s="28"/>
      <c r="C46" s="28"/>
      <c r="D46" s="64" t="s">
        <v>359</v>
      </c>
      <c r="E46" s="66">
        <v>40893.235503355667</v>
      </c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9"/>
    </row>
    <row r="47" spans="1:25">
      <c r="A47" s="27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9"/>
    </row>
    <row r="48" spans="1:25">
      <c r="A48" s="27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9"/>
    </row>
    <row r="49" spans="1:19">
      <c r="A49" s="27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9"/>
    </row>
    <row r="50" spans="1:19">
      <c r="A50" s="27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9"/>
    </row>
    <row r="51" spans="1:19" ht="14.4" thickBot="1">
      <c r="A51" s="67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9"/>
    </row>
    <row r="52" spans="1:19">
      <c r="A52" s="52"/>
      <c r="B52" s="52"/>
      <c r="C52" s="52"/>
      <c r="D52" s="52"/>
      <c r="E52" s="52"/>
      <c r="F52" s="52"/>
      <c r="G52" s="52"/>
      <c r="H52" s="28"/>
      <c r="I52" s="28"/>
      <c r="J52" s="28"/>
      <c r="K52" s="52"/>
      <c r="L52" s="52"/>
      <c r="M52" s="52"/>
      <c r="N52" s="52"/>
      <c r="O52" s="52"/>
      <c r="P52" s="52"/>
      <c r="Q52" s="52"/>
      <c r="R52" s="52"/>
      <c r="S52" s="52"/>
    </row>
    <row r="53" spans="1:19">
      <c r="H53" s="2"/>
      <c r="I53" s="2"/>
      <c r="J53" s="2"/>
    </row>
    <row r="54" spans="1:19">
      <c r="H54" s="2"/>
      <c r="I54" s="2"/>
      <c r="J54" s="2"/>
    </row>
    <row r="55" spans="1:19">
      <c r="H55" s="2"/>
      <c r="I55" s="2"/>
      <c r="J55" s="2"/>
    </row>
    <row r="56" spans="1:19">
      <c r="H56" s="2"/>
      <c r="I56" s="2"/>
      <c r="J56" s="2"/>
    </row>
    <row r="57" spans="1:19">
      <c r="H57" s="2"/>
      <c r="I57" s="2"/>
      <c r="J57" s="2"/>
    </row>
    <row r="58" spans="1:19">
      <c r="H58" s="2"/>
      <c r="I58" s="2"/>
      <c r="J58" s="2"/>
    </row>
    <row r="61" spans="1:19">
      <c r="F61" s="2"/>
      <c r="G61" s="2"/>
    </row>
    <row r="62" spans="1:19">
      <c r="F62" s="2"/>
      <c r="G62" s="2"/>
    </row>
    <row r="63" spans="1:19">
      <c r="F63" s="2"/>
      <c r="G63" s="2"/>
    </row>
    <row r="64" spans="1:19">
      <c r="F64" s="2"/>
      <c r="G64" s="2"/>
    </row>
    <row r="65" spans="6:7">
      <c r="F65" s="2"/>
      <c r="G65" s="2"/>
    </row>
    <row r="66" spans="6:7">
      <c r="F66" s="2"/>
      <c r="G66" s="2"/>
    </row>
    <row r="69" spans="6:7">
      <c r="G69" s="6"/>
    </row>
    <row r="70" spans="6:7">
      <c r="G70" s="6"/>
    </row>
    <row r="649" ht="14.4" thickBot="1"/>
  </sheetData>
  <mergeCells count="7">
    <mergeCell ref="G39:H39"/>
    <mergeCell ref="N22:O22"/>
    <mergeCell ref="N37:O37"/>
    <mergeCell ref="N21:O21"/>
    <mergeCell ref="G38:H38"/>
    <mergeCell ref="G21:H21"/>
    <mergeCell ref="G22:H22"/>
  </mergeCells>
  <conditionalFormatting pivot="1" sqref="E24:E35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{74FC2C77-1910-45FA-9161-FC69F2D9C435}</x14:id>
        </ext>
      </extLst>
    </cfRule>
  </conditionalFormatting>
  <conditionalFormatting pivot="1" sqref="E24:E35">
    <cfRule type="dataBar" priority="2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{924C4B70-3F33-4456-A6B0-5F3AB0B08B0B}</x14:id>
        </ext>
      </extLst>
    </cfRule>
  </conditionalFormatting>
  <conditionalFormatting pivot="1" sqref="E42:E46">
    <cfRule type="dataBar" priority="1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{BA8FCC86-1687-409F-A603-FDECB0C609F0}</x14:id>
        </ext>
      </extLst>
    </cfRule>
  </conditionalFormatting>
  <pageMargins left="0.25" right="0.25" top="0.75" bottom="0.75" header="0.3" footer="0.3"/>
  <pageSetup paperSize="5" scale="35" orientation="landscape" horizontalDpi="1200" verticalDpi="1200" r:id="rId6"/>
  <drawing r:id="rId7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74FC2C77-1910-45FA-9161-FC69F2D9C43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E24:E35</xm:sqref>
        </x14:conditionalFormatting>
        <x14:conditionalFormatting xmlns:xm="http://schemas.microsoft.com/office/excel/2006/main" pivot="1">
          <x14:cfRule type="dataBar" id="{924C4B70-3F33-4456-A6B0-5F3AB0B08B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E24:E35</xm:sqref>
        </x14:conditionalFormatting>
        <x14:conditionalFormatting xmlns:xm="http://schemas.microsoft.com/office/excel/2006/main" pivot="1">
          <x14:cfRule type="dataBar" id="{BA8FCC86-1687-409F-A603-FDECB0C609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E42:E46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F6ABB-B589-48AB-A6F4-A9187643FCF0}">
  <dimension ref="A1:N4016"/>
  <sheetViews>
    <sheetView tabSelected="1" topLeftCell="A2" workbookViewId="0">
      <selection activeCell="E2" sqref="E2"/>
    </sheetView>
  </sheetViews>
  <sheetFormatPr defaultRowHeight="13.8"/>
  <cols>
    <col min="1" max="1" width="13.5" customWidth="1"/>
    <col min="2" max="2" width="10.19921875" bestFit="1" customWidth="1"/>
    <col min="3" max="3" width="10.5" customWidth="1"/>
    <col min="4" max="4" width="9.09765625" customWidth="1"/>
    <col min="5" max="5" width="6.09765625" customWidth="1"/>
    <col min="6" max="6" width="13.8984375" bestFit="1" customWidth="1"/>
    <col min="7" max="7" width="18" customWidth="1"/>
    <col min="8" max="8" width="13" customWidth="1"/>
    <col min="9" max="9" width="9.8984375" bestFit="1" customWidth="1"/>
    <col min="14" max="14" width="10.89843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4">
      <c r="A2">
        <v>100000001</v>
      </c>
      <c r="B2" t="s">
        <v>9</v>
      </c>
      <c r="C2" t="s">
        <v>10</v>
      </c>
      <c r="D2" t="s">
        <v>11</v>
      </c>
      <c r="E2" s="9">
        <v>21</v>
      </c>
      <c r="F2" t="s">
        <v>12</v>
      </c>
      <c r="G2" t="s">
        <v>13</v>
      </c>
      <c r="H2" s="7">
        <v>42009</v>
      </c>
      <c r="I2">
        <v>113810.15</v>
      </c>
      <c r="K2" s="7"/>
    </row>
    <row r="3" spans="1:14">
      <c r="A3">
        <v>400000002</v>
      </c>
      <c r="B3" t="s">
        <v>14</v>
      </c>
      <c r="C3" t="s">
        <v>15</v>
      </c>
      <c r="D3" t="s">
        <v>16</v>
      </c>
      <c r="E3" s="9">
        <v>34</v>
      </c>
      <c r="F3" t="s">
        <v>17</v>
      </c>
      <c r="G3" t="s">
        <v>18</v>
      </c>
      <c r="H3" s="8">
        <v>42010</v>
      </c>
      <c r="I3">
        <v>36919.730000000003</v>
      </c>
      <c r="K3" s="8"/>
    </row>
    <row r="4" spans="1:14">
      <c r="A4">
        <v>100000003</v>
      </c>
      <c r="B4" t="s">
        <v>19</v>
      </c>
      <c r="C4" t="s">
        <v>20</v>
      </c>
      <c r="D4" t="s">
        <v>11</v>
      </c>
      <c r="E4" s="9">
        <v>46</v>
      </c>
      <c r="F4" t="s">
        <v>12</v>
      </c>
      <c r="G4" t="s">
        <v>13</v>
      </c>
      <c r="H4" s="7">
        <v>42011</v>
      </c>
      <c r="I4">
        <v>101536.83</v>
      </c>
      <c r="K4" s="7"/>
    </row>
    <row r="5" spans="1:14">
      <c r="A5">
        <v>300000004</v>
      </c>
      <c r="B5" t="s">
        <v>21</v>
      </c>
      <c r="C5" t="s">
        <v>22</v>
      </c>
      <c r="D5" t="s">
        <v>11</v>
      </c>
      <c r="E5" s="9">
        <v>32</v>
      </c>
      <c r="F5" t="s">
        <v>23</v>
      </c>
      <c r="G5" t="s">
        <v>13</v>
      </c>
      <c r="H5" s="8">
        <v>42012</v>
      </c>
      <c r="I5">
        <v>1421.52</v>
      </c>
      <c r="K5" s="8"/>
    </row>
    <row r="6" spans="1:14">
      <c r="A6">
        <v>100000005</v>
      </c>
      <c r="B6" t="s">
        <v>24</v>
      </c>
      <c r="C6" t="s">
        <v>25</v>
      </c>
      <c r="D6" t="s">
        <v>16</v>
      </c>
      <c r="E6" s="9">
        <v>38</v>
      </c>
      <c r="F6" t="s">
        <v>12</v>
      </c>
      <c r="G6" t="s">
        <v>18</v>
      </c>
      <c r="H6" s="7">
        <v>42013</v>
      </c>
      <c r="I6">
        <v>35639.79</v>
      </c>
      <c r="K6" s="7"/>
    </row>
    <row r="7" spans="1:14">
      <c r="A7">
        <v>300000006</v>
      </c>
      <c r="B7" t="s">
        <v>26</v>
      </c>
      <c r="C7" t="s">
        <v>27</v>
      </c>
      <c r="D7" t="s">
        <v>16</v>
      </c>
      <c r="E7" s="9">
        <v>30</v>
      </c>
      <c r="F7" t="s">
        <v>23</v>
      </c>
      <c r="G7" t="s">
        <v>18</v>
      </c>
      <c r="H7" s="8">
        <v>42013</v>
      </c>
      <c r="I7">
        <v>122443.77</v>
      </c>
      <c r="K7" s="8"/>
    </row>
    <row r="8" spans="1:14">
      <c r="A8">
        <v>100000007</v>
      </c>
      <c r="B8" t="s">
        <v>28</v>
      </c>
      <c r="C8" t="s">
        <v>29</v>
      </c>
      <c r="D8" t="s">
        <v>16</v>
      </c>
      <c r="E8" s="9">
        <v>34</v>
      </c>
      <c r="F8" t="s">
        <v>12</v>
      </c>
      <c r="G8" t="s">
        <v>18</v>
      </c>
      <c r="H8" s="7">
        <v>42015</v>
      </c>
      <c r="I8">
        <v>42879.839999999997</v>
      </c>
      <c r="K8" s="7"/>
    </row>
    <row r="9" spans="1:14">
      <c r="A9">
        <v>200000008</v>
      </c>
      <c r="B9" t="s">
        <v>30</v>
      </c>
      <c r="C9" t="s">
        <v>31</v>
      </c>
      <c r="D9" t="s">
        <v>16</v>
      </c>
      <c r="E9" s="9">
        <v>48</v>
      </c>
      <c r="F9" t="s">
        <v>32</v>
      </c>
      <c r="G9" t="s">
        <v>33</v>
      </c>
      <c r="H9" s="8">
        <v>42015</v>
      </c>
      <c r="I9">
        <v>36680.17</v>
      </c>
      <c r="K9" s="8"/>
    </row>
    <row r="10" spans="1:14">
      <c r="A10">
        <v>300000009</v>
      </c>
      <c r="B10" t="s">
        <v>34</v>
      </c>
      <c r="C10" t="s">
        <v>35</v>
      </c>
      <c r="D10" t="s">
        <v>16</v>
      </c>
      <c r="E10" s="9">
        <v>33</v>
      </c>
      <c r="F10" t="s">
        <v>23</v>
      </c>
      <c r="G10" t="s">
        <v>13</v>
      </c>
      <c r="H10" s="7">
        <v>42015</v>
      </c>
      <c r="I10">
        <v>74284.350000000006</v>
      </c>
      <c r="K10" s="7"/>
    </row>
    <row r="11" spans="1:14">
      <c r="A11">
        <v>100000010</v>
      </c>
      <c r="B11" t="s">
        <v>36</v>
      </c>
      <c r="C11" t="s">
        <v>22</v>
      </c>
      <c r="D11" t="s">
        <v>11</v>
      </c>
      <c r="E11" s="9">
        <v>42</v>
      </c>
      <c r="F11" t="s">
        <v>12</v>
      </c>
      <c r="G11" t="s">
        <v>13</v>
      </c>
      <c r="H11" s="8">
        <v>42016</v>
      </c>
      <c r="I11">
        <v>10912.45</v>
      </c>
      <c r="K11" s="8"/>
      <c r="N11">
        <f>SUMIF(Account_Data[Region],F3997,Account_Data[[#Data],[#Totals],[Balance]])</f>
        <v>44410730.719999932</v>
      </c>
    </row>
    <row r="12" spans="1:14">
      <c r="A12">
        <v>100000011</v>
      </c>
      <c r="B12" t="s">
        <v>36</v>
      </c>
      <c r="C12" t="s">
        <v>37</v>
      </c>
      <c r="D12" t="s">
        <v>11</v>
      </c>
      <c r="E12" s="9">
        <v>40</v>
      </c>
      <c r="F12" t="s">
        <v>12</v>
      </c>
      <c r="G12" t="s">
        <v>13</v>
      </c>
      <c r="H12" s="7">
        <v>42016</v>
      </c>
      <c r="I12">
        <v>39667.83</v>
      </c>
      <c r="K12" s="7"/>
    </row>
    <row r="13" spans="1:14">
      <c r="A13">
        <v>100000012</v>
      </c>
      <c r="B13" t="s">
        <v>38</v>
      </c>
      <c r="C13" t="s">
        <v>39</v>
      </c>
      <c r="D13" t="s">
        <v>11</v>
      </c>
      <c r="E13" s="9">
        <v>39</v>
      </c>
      <c r="F13" t="s">
        <v>12</v>
      </c>
      <c r="G13" t="s">
        <v>13</v>
      </c>
      <c r="H13" s="8">
        <v>42016</v>
      </c>
      <c r="I13">
        <v>32281.62</v>
      </c>
      <c r="K13" s="8"/>
    </row>
    <row r="14" spans="1:14">
      <c r="A14">
        <v>100000013</v>
      </c>
      <c r="B14" t="s">
        <v>40</v>
      </c>
      <c r="C14" t="s">
        <v>41</v>
      </c>
      <c r="D14" t="s">
        <v>11</v>
      </c>
      <c r="E14" s="9">
        <v>24</v>
      </c>
      <c r="F14" t="s">
        <v>12</v>
      </c>
      <c r="G14" t="s">
        <v>13</v>
      </c>
      <c r="H14" s="7">
        <v>42016</v>
      </c>
      <c r="I14">
        <v>40781.629999999997</v>
      </c>
      <c r="K14" s="7"/>
    </row>
    <row r="15" spans="1:14">
      <c r="A15">
        <v>200000014</v>
      </c>
      <c r="B15" t="s">
        <v>42</v>
      </c>
      <c r="C15" t="s">
        <v>43</v>
      </c>
      <c r="D15" t="s">
        <v>11</v>
      </c>
      <c r="E15" s="9">
        <v>46</v>
      </c>
      <c r="F15" t="s">
        <v>32</v>
      </c>
      <c r="G15" t="s">
        <v>33</v>
      </c>
      <c r="H15" s="8">
        <v>42016</v>
      </c>
      <c r="I15">
        <v>48791.46</v>
      </c>
      <c r="K15" s="8"/>
    </row>
    <row r="16" spans="1:14">
      <c r="A16">
        <v>300000015</v>
      </c>
      <c r="B16" t="s">
        <v>44</v>
      </c>
      <c r="C16" t="s">
        <v>45</v>
      </c>
      <c r="D16" t="s">
        <v>16</v>
      </c>
      <c r="E16" s="9">
        <v>36</v>
      </c>
      <c r="F16" t="s">
        <v>23</v>
      </c>
      <c r="G16" t="s">
        <v>33</v>
      </c>
      <c r="H16" s="7">
        <v>42016</v>
      </c>
      <c r="I16">
        <v>2846.03</v>
      </c>
      <c r="K16" s="7"/>
    </row>
    <row r="17" spans="1:11">
      <c r="A17">
        <v>100000016</v>
      </c>
      <c r="B17" t="s">
        <v>46</v>
      </c>
      <c r="C17" t="s">
        <v>47</v>
      </c>
      <c r="D17" t="s">
        <v>11</v>
      </c>
      <c r="E17" s="9">
        <v>42</v>
      </c>
      <c r="F17" t="s">
        <v>12</v>
      </c>
      <c r="G17" t="s">
        <v>13</v>
      </c>
      <c r="H17" s="8">
        <v>42018</v>
      </c>
      <c r="I17">
        <v>2116.85</v>
      </c>
      <c r="K17" s="8"/>
    </row>
    <row r="18" spans="1:11">
      <c r="A18">
        <v>200000017</v>
      </c>
      <c r="B18" t="s">
        <v>48</v>
      </c>
      <c r="C18" t="s">
        <v>49</v>
      </c>
      <c r="D18" t="s">
        <v>16</v>
      </c>
      <c r="E18" s="9">
        <v>31</v>
      </c>
      <c r="F18" t="s">
        <v>32</v>
      </c>
      <c r="G18" t="s">
        <v>33</v>
      </c>
      <c r="H18" s="7">
        <v>42018</v>
      </c>
      <c r="I18">
        <v>10356.31</v>
      </c>
      <c r="K18" s="7"/>
    </row>
    <row r="19" spans="1:11">
      <c r="A19">
        <v>200000018</v>
      </c>
      <c r="B19" t="s">
        <v>50</v>
      </c>
      <c r="C19" t="s">
        <v>27</v>
      </c>
      <c r="D19" t="s">
        <v>16</v>
      </c>
      <c r="E19" s="9">
        <v>42</v>
      </c>
      <c r="F19" t="s">
        <v>32</v>
      </c>
      <c r="G19" t="s">
        <v>33</v>
      </c>
      <c r="H19" s="8">
        <v>42018</v>
      </c>
      <c r="I19">
        <v>3801.69</v>
      </c>
      <c r="K19" s="8"/>
    </row>
    <row r="20" spans="1:11">
      <c r="A20">
        <v>100000019</v>
      </c>
      <c r="B20" t="s">
        <v>51</v>
      </c>
      <c r="C20" t="s">
        <v>52</v>
      </c>
      <c r="D20" t="s">
        <v>11</v>
      </c>
      <c r="E20" s="9">
        <v>40</v>
      </c>
      <c r="F20" t="s">
        <v>12</v>
      </c>
      <c r="G20" t="s">
        <v>18</v>
      </c>
      <c r="H20" s="7">
        <v>42019</v>
      </c>
      <c r="I20">
        <v>65534.69</v>
      </c>
      <c r="K20" s="7"/>
    </row>
    <row r="21" spans="1:11">
      <c r="A21">
        <v>100000020</v>
      </c>
      <c r="B21" t="s">
        <v>53</v>
      </c>
      <c r="C21" t="s">
        <v>54</v>
      </c>
      <c r="D21" t="s">
        <v>16</v>
      </c>
      <c r="E21" s="9">
        <v>46</v>
      </c>
      <c r="F21" t="s">
        <v>12</v>
      </c>
      <c r="G21" t="s">
        <v>18</v>
      </c>
      <c r="H21" s="8">
        <v>42019</v>
      </c>
      <c r="I21">
        <v>11462.64</v>
      </c>
      <c r="K21" s="8"/>
    </row>
    <row r="22" spans="1:11">
      <c r="A22">
        <v>300000021</v>
      </c>
      <c r="B22" t="s">
        <v>55</v>
      </c>
      <c r="C22" t="s">
        <v>56</v>
      </c>
      <c r="D22" t="s">
        <v>11</v>
      </c>
      <c r="E22" s="9">
        <v>37</v>
      </c>
      <c r="F22" t="s">
        <v>23</v>
      </c>
      <c r="G22" t="s">
        <v>33</v>
      </c>
      <c r="H22" s="7">
        <v>42020</v>
      </c>
      <c r="I22">
        <v>31778.9</v>
      </c>
      <c r="K22" s="7"/>
    </row>
    <row r="23" spans="1:11">
      <c r="A23">
        <v>200000022</v>
      </c>
      <c r="B23" t="s">
        <v>57</v>
      </c>
      <c r="C23" t="s">
        <v>58</v>
      </c>
      <c r="D23" t="s">
        <v>11</v>
      </c>
      <c r="E23" s="9">
        <v>58</v>
      </c>
      <c r="F23" t="s">
        <v>32</v>
      </c>
      <c r="G23" t="s">
        <v>18</v>
      </c>
      <c r="H23" s="8">
        <v>42022</v>
      </c>
      <c r="I23">
        <v>21252.97</v>
      </c>
      <c r="K23" s="8"/>
    </row>
    <row r="24" spans="1:11">
      <c r="A24">
        <v>300000023</v>
      </c>
      <c r="B24" t="s">
        <v>24</v>
      </c>
      <c r="C24" t="s">
        <v>59</v>
      </c>
      <c r="D24" t="s">
        <v>16</v>
      </c>
      <c r="E24" s="9">
        <v>41</v>
      </c>
      <c r="F24" t="s">
        <v>23</v>
      </c>
      <c r="G24" t="s">
        <v>13</v>
      </c>
      <c r="H24" s="7">
        <v>42022</v>
      </c>
      <c r="I24">
        <v>66785.78</v>
      </c>
      <c r="K24" s="7"/>
    </row>
    <row r="25" spans="1:11">
      <c r="A25">
        <v>200000024</v>
      </c>
      <c r="B25" t="s">
        <v>60</v>
      </c>
      <c r="C25" t="s">
        <v>61</v>
      </c>
      <c r="D25" t="s">
        <v>11</v>
      </c>
      <c r="E25" s="9">
        <v>52</v>
      </c>
      <c r="F25" t="s">
        <v>32</v>
      </c>
      <c r="G25" t="s">
        <v>18</v>
      </c>
      <c r="H25" s="8">
        <v>42023</v>
      </c>
      <c r="I25">
        <v>6580.81</v>
      </c>
      <c r="K25" s="8"/>
    </row>
    <row r="26" spans="1:11">
      <c r="A26">
        <v>100000025</v>
      </c>
      <c r="B26" t="s">
        <v>62</v>
      </c>
      <c r="C26" t="s">
        <v>63</v>
      </c>
      <c r="D26" t="s">
        <v>16</v>
      </c>
      <c r="E26" s="9">
        <v>38</v>
      </c>
      <c r="F26" t="s">
        <v>12</v>
      </c>
      <c r="G26" t="s">
        <v>13</v>
      </c>
      <c r="H26" s="7">
        <v>42024</v>
      </c>
      <c r="I26">
        <v>20505.32</v>
      </c>
      <c r="K26" s="7"/>
    </row>
    <row r="27" spans="1:11">
      <c r="A27">
        <v>200000026</v>
      </c>
      <c r="B27" t="s">
        <v>64</v>
      </c>
      <c r="C27" t="s">
        <v>65</v>
      </c>
      <c r="D27" t="s">
        <v>11</v>
      </c>
      <c r="E27" s="9">
        <v>55</v>
      </c>
      <c r="F27" t="s">
        <v>32</v>
      </c>
      <c r="G27" t="s">
        <v>18</v>
      </c>
      <c r="H27" s="8">
        <v>42025</v>
      </c>
      <c r="I27">
        <v>43249.26</v>
      </c>
      <c r="K27" s="8"/>
    </row>
    <row r="28" spans="1:11">
      <c r="A28">
        <v>400000027</v>
      </c>
      <c r="B28" t="s">
        <v>66</v>
      </c>
      <c r="C28" t="s">
        <v>67</v>
      </c>
      <c r="D28" t="s">
        <v>16</v>
      </c>
      <c r="E28" s="9">
        <v>37</v>
      </c>
      <c r="F28" t="s">
        <v>17</v>
      </c>
      <c r="G28" t="s">
        <v>13</v>
      </c>
      <c r="H28" s="7">
        <v>42027</v>
      </c>
      <c r="I28">
        <v>3967.2</v>
      </c>
      <c r="K28" s="7"/>
    </row>
    <row r="29" spans="1:11">
      <c r="A29">
        <v>100000028</v>
      </c>
      <c r="B29" t="s">
        <v>68</v>
      </c>
      <c r="C29" t="s">
        <v>69</v>
      </c>
      <c r="D29" t="s">
        <v>16</v>
      </c>
      <c r="E29" s="9">
        <v>33</v>
      </c>
      <c r="F29" t="s">
        <v>12</v>
      </c>
      <c r="G29" t="s">
        <v>13</v>
      </c>
      <c r="H29" s="8">
        <v>42029</v>
      </c>
      <c r="I29">
        <v>3428.56</v>
      </c>
      <c r="K29" s="8"/>
    </row>
    <row r="30" spans="1:11">
      <c r="A30">
        <v>200000029</v>
      </c>
      <c r="B30" t="s">
        <v>70</v>
      </c>
      <c r="C30" t="s">
        <v>71</v>
      </c>
      <c r="D30" t="s">
        <v>11</v>
      </c>
      <c r="E30" s="9">
        <v>50</v>
      </c>
      <c r="F30" t="s">
        <v>32</v>
      </c>
      <c r="G30" t="s">
        <v>18</v>
      </c>
      <c r="H30" s="7">
        <v>42029</v>
      </c>
      <c r="I30">
        <v>20516.099999999999</v>
      </c>
      <c r="K30" s="7"/>
    </row>
    <row r="31" spans="1:11">
      <c r="A31">
        <v>100000030</v>
      </c>
      <c r="B31" t="s">
        <v>72</v>
      </c>
      <c r="C31" t="s">
        <v>73</v>
      </c>
      <c r="D31" t="s">
        <v>11</v>
      </c>
      <c r="E31" s="9">
        <v>42</v>
      </c>
      <c r="F31" t="s">
        <v>12</v>
      </c>
      <c r="G31" t="s">
        <v>13</v>
      </c>
      <c r="H31" s="8">
        <v>42031</v>
      </c>
      <c r="I31">
        <v>10813.83</v>
      </c>
      <c r="K31" s="8"/>
    </row>
    <row r="32" spans="1:11">
      <c r="A32">
        <v>100000031</v>
      </c>
      <c r="B32" t="s">
        <v>74</v>
      </c>
      <c r="C32" t="s">
        <v>75</v>
      </c>
      <c r="D32" t="s">
        <v>16</v>
      </c>
      <c r="E32" s="9">
        <v>25</v>
      </c>
      <c r="F32" t="s">
        <v>12</v>
      </c>
      <c r="G32" t="s">
        <v>13</v>
      </c>
      <c r="H32" s="7">
        <v>42032</v>
      </c>
      <c r="I32">
        <v>38889.760000000002</v>
      </c>
      <c r="K32" s="7"/>
    </row>
    <row r="33" spans="1:11">
      <c r="A33">
        <v>300000032</v>
      </c>
      <c r="B33" t="s">
        <v>76</v>
      </c>
      <c r="C33" t="s">
        <v>77</v>
      </c>
      <c r="D33" t="s">
        <v>11</v>
      </c>
      <c r="E33" s="9">
        <v>30</v>
      </c>
      <c r="F33" t="s">
        <v>23</v>
      </c>
      <c r="G33" t="s">
        <v>13</v>
      </c>
      <c r="H33" s="8">
        <v>42032</v>
      </c>
      <c r="I33">
        <v>14094.01</v>
      </c>
      <c r="K33" s="8"/>
    </row>
    <row r="34" spans="1:11">
      <c r="A34">
        <v>200000033</v>
      </c>
      <c r="B34" t="s">
        <v>48</v>
      </c>
      <c r="C34" t="s">
        <v>78</v>
      </c>
      <c r="D34" t="s">
        <v>16</v>
      </c>
      <c r="E34" s="9">
        <v>58</v>
      </c>
      <c r="F34" t="s">
        <v>32</v>
      </c>
      <c r="G34" t="s">
        <v>33</v>
      </c>
      <c r="H34" s="7">
        <v>42033</v>
      </c>
      <c r="I34">
        <v>25865.200000000001</v>
      </c>
      <c r="K34" s="7"/>
    </row>
    <row r="35" spans="1:11">
      <c r="A35">
        <v>100000034</v>
      </c>
      <c r="B35" t="s">
        <v>79</v>
      </c>
      <c r="C35" t="s">
        <v>80</v>
      </c>
      <c r="D35" t="s">
        <v>11</v>
      </c>
      <c r="E35" s="9">
        <v>26</v>
      </c>
      <c r="F35" t="s">
        <v>12</v>
      </c>
      <c r="G35" t="s">
        <v>33</v>
      </c>
      <c r="H35" s="8">
        <v>42034</v>
      </c>
      <c r="I35">
        <v>5833.62</v>
      </c>
      <c r="K35" s="8"/>
    </row>
    <row r="36" spans="1:11">
      <c r="A36">
        <v>100000035</v>
      </c>
      <c r="B36" t="s">
        <v>81</v>
      </c>
      <c r="C36" t="s">
        <v>82</v>
      </c>
      <c r="D36" t="s">
        <v>16</v>
      </c>
      <c r="E36" s="9">
        <v>34</v>
      </c>
      <c r="F36" t="s">
        <v>12</v>
      </c>
      <c r="G36" t="s">
        <v>18</v>
      </c>
      <c r="H36" s="7">
        <v>42035</v>
      </c>
      <c r="I36">
        <v>77809.59</v>
      </c>
      <c r="K36" s="7"/>
    </row>
    <row r="37" spans="1:11">
      <c r="A37">
        <v>100000036</v>
      </c>
      <c r="B37" t="s">
        <v>83</v>
      </c>
      <c r="C37" t="s">
        <v>29</v>
      </c>
      <c r="D37" t="s">
        <v>16</v>
      </c>
      <c r="E37" s="9">
        <v>36</v>
      </c>
      <c r="F37" t="s">
        <v>12</v>
      </c>
      <c r="G37" t="s">
        <v>13</v>
      </c>
      <c r="H37" s="8">
        <v>42035</v>
      </c>
      <c r="I37">
        <v>31680.67</v>
      </c>
      <c r="K37" s="8"/>
    </row>
    <row r="38" spans="1:11">
      <c r="A38">
        <v>100000037</v>
      </c>
      <c r="B38" t="s">
        <v>84</v>
      </c>
      <c r="C38" t="s">
        <v>85</v>
      </c>
      <c r="D38" t="s">
        <v>16</v>
      </c>
      <c r="E38" s="9">
        <v>33</v>
      </c>
      <c r="F38" t="s">
        <v>12</v>
      </c>
      <c r="G38" t="s">
        <v>13</v>
      </c>
      <c r="H38" s="7">
        <v>42035</v>
      </c>
      <c r="I38">
        <v>20504.37</v>
      </c>
      <c r="K38" s="7"/>
    </row>
    <row r="39" spans="1:11">
      <c r="A39">
        <v>100000038</v>
      </c>
      <c r="B39" t="s">
        <v>86</v>
      </c>
      <c r="C39" t="s">
        <v>87</v>
      </c>
      <c r="D39" t="s">
        <v>11</v>
      </c>
      <c r="E39" s="9">
        <v>31</v>
      </c>
      <c r="F39" t="s">
        <v>12</v>
      </c>
      <c r="G39" t="s">
        <v>33</v>
      </c>
      <c r="H39" s="8">
        <v>42035</v>
      </c>
      <c r="I39">
        <v>5688.36</v>
      </c>
      <c r="K39" s="8"/>
    </row>
    <row r="40" spans="1:11">
      <c r="A40">
        <v>200000039</v>
      </c>
      <c r="B40" t="s">
        <v>72</v>
      </c>
      <c r="C40" t="s">
        <v>88</v>
      </c>
      <c r="D40" t="s">
        <v>11</v>
      </c>
      <c r="E40" s="9">
        <v>35</v>
      </c>
      <c r="F40" t="s">
        <v>32</v>
      </c>
      <c r="G40" t="s">
        <v>18</v>
      </c>
      <c r="H40" s="7">
        <v>42035</v>
      </c>
      <c r="I40">
        <v>12848.59</v>
      </c>
      <c r="K40" s="7"/>
    </row>
    <row r="41" spans="1:11">
      <c r="A41">
        <v>200000040</v>
      </c>
      <c r="B41" t="s">
        <v>89</v>
      </c>
      <c r="C41" t="s">
        <v>25</v>
      </c>
      <c r="D41" t="s">
        <v>11</v>
      </c>
      <c r="E41" s="9">
        <v>59</v>
      </c>
      <c r="F41" t="s">
        <v>32</v>
      </c>
      <c r="G41" t="s">
        <v>33</v>
      </c>
      <c r="H41" s="8">
        <v>42035</v>
      </c>
      <c r="I41">
        <v>114456.23</v>
      </c>
      <c r="K41" s="8"/>
    </row>
    <row r="42" spans="1:11">
      <c r="A42">
        <v>100000041</v>
      </c>
      <c r="B42" t="s">
        <v>90</v>
      </c>
      <c r="C42" t="s">
        <v>91</v>
      </c>
      <c r="D42" t="s">
        <v>11</v>
      </c>
      <c r="E42" s="9">
        <v>27</v>
      </c>
      <c r="F42" t="s">
        <v>12</v>
      </c>
      <c r="G42" t="s">
        <v>18</v>
      </c>
      <c r="H42" s="7">
        <v>42036</v>
      </c>
      <c r="I42">
        <v>51412.6</v>
      </c>
      <c r="K42" s="7"/>
    </row>
    <row r="43" spans="1:11">
      <c r="A43">
        <v>100000042</v>
      </c>
      <c r="B43" t="s">
        <v>92</v>
      </c>
      <c r="C43" t="s">
        <v>93</v>
      </c>
      <c r="D43" t="s">
        <v>16</v>
      </c>
      <c r="E43" s="9">
        <v>35</v>
      </c>
      <c r="F43" t="s">
        <v>12</v>
      </c>
      <c r="G43" t="s">
        <v>13</v>
      </c>
      <c r="H43" s="8">
        <v>42036</v>
      </c>
      <c r="I43">
        <v>9695.7000000000007</v>
      </c>
      <c r="K43" s="8"/>
    </row>
    <row r="44" spans="1:11">
      <c r="A44">
        <v>200000043</v>
      </c>
      <c r="B44" t="s">
        <v>79</v>
      </c>
      <c r="C44" t="s">
        <v>94</v>
      </c>
      <c r="D44" t="s">
        <v>11</v>
      </c>
      <c r="E44" s="9">
        <v>49</v>
      </c>
      <c r="F44" t="s">
        <v>32</v>
      </c>
      <c r="G44" t="s">
        <v>18</v>
      </c>
      <c r="H44" s="7">
        <v>42036</v>
      </c>
      <c r="I44">
        <v>114021.21</v>
      </c>
      <c r="K44" s="7"/>
    </row>
    <row r="45" spans="1:11">
      <c r="A45">
        <v>400000044</v>
      </c>
      <c r="B45" t="s">
        <v>83</v>
      </c>
      <c r="C45" t="s">
        <v>95</v>
      </c>
      <c r="D45" t="s">
        <v>16</v>
      </c>
      <c r="E45" s="9">
        <v>22</v>
      </c>
      <c r="F45" t="s">
        <v>17</v>
      </c>
      <c r="G45" t="s">
        <v>33</v>
      </c>
      <c r="H45" s="8">
        <v>42036</v>
      </c>
      <c r="I45">
        <v>107728.07</v>
      </c>
      <c r="K45" s="8"/>
    </row>
    <row r="46" spans="1:11">
      <c r="A46">
        <v>100000045</v>
      </c>
      <c r="B46" t="s">
        <v>28</v>
      </c>
      <c r="C46" t="s">
        <v>56</v>
      </c>
      <c r="D46" t="s">
        <v>16</v>
      </c>
      <c r="E46" s="9">
        <v>53</v>
      </c>
      <c r="F46" t="s">
        <v>12</v>
      </c>
      <c r="G46" t="s">
        <v>33</v>
      </c>
      <c r="H46" s="7">
        <v>42038</v>
      </c>
      <c r="I46">
        <v>2893.19</v>
      </c>
      <c r="K46" s="7"/>
    </row>
    <row r="47" spans="1:11">
      <c r="A47">
        <v>200000046</v>
      </c>
      <c r="B47" t="s">
        <v>30</v>
      </c>
      <c r="C47" t="s">
        <v>96</v>
      </c>
      <c r="D47" t="s">
        <v>16</v>
      </c>
      <c r="E47" s="9">
        <v>47</v>
      </c>
      <c r="F47" t="s">
        <v>32</v>
      </c>
      <c r="G47" t="s">
        <v>33</v>
      </c>
      <c r="H47" s="8">
        <v>42038</v>
      </c>
      <c r="I47">
        <v>54589.61</v>
      </c>
      <c r="K47" s="8"/>
    </row>
    <row r="48" spans="1:11">
      <c r="A48">
        <v>200000047</v>
      </c>
      <c r="B48" t="s">
        <v>97</v>
      </c>
      <c r="C48" t="s">
        <v>98</v>
      </c>
      <c r="D48" t="s">
        <v>16</v>
      </c>
      <c r="E48" s="9">
        <v>32</v>
      </c>
      <c r="F48" t="s">
        <v>32</v>
      </c>
      <c r="G48" t="s">
        <v>33</v>
      </c>
      <c r="H48" s="7">
        <v>42038</v>
      </c>
      <c r="I48">
        <v>59501.63</v>
      </c>
      <c r="K48" s="7"/>
    </row>
    <row r="49" spans="1:11">
      <c r="A49">
        <v>400000048</v>
      </c>
      <c r="B49" t="s">
        <v>99</v>
      </c>
      <c r="C49" t="s">
        <v>37</v>
      </c>
      <c r="D49" t="s">
        <v>16</v>
      </c>
      <c r="E49" s="9">
        <v>19</v>
      </c>
      <c r="F49" t="s">
        <v>17</v>
      </c>
      <c r="G49" t="s">
        <v>33</v>
      </c>
      <c r="H49" s="8">
        <v>42043</v>
      </c>
      <c r="I49">
        <v>14337.82</v>
      </c>
      <c r="K49" s="8"/>
    </row>
    <row r="50" spans="1:11">
      <c r="A50">
        <v>100000049</v>
      </c>
      <c r="B50" t="s">
        <v>9</v>
      </c>
      <c r="C50" t="s">
        <v>100</v>
      </c>
      <c r="D50" t="s">
        <v>11</v>
      </c>
      <c r="E50" s="9">
        <v>27</v>
      </c>
      <c r="F50" t="s">
        <v>12</v>
      </c>
      <c r="G50" t="s">
        <v>13</v>
      </c>
      <c r="H50" s="7">
        <v>42047</v>
      </c>
      <c r="I50">
        <v>23921.89</v>
      </c>
      <c r="K50" s="7"/>
    </row>
    <row r="51" spans="1:11">
      <c r="A51">
        <v>100000050</v>
      </c>
      <c r="B51" t="s">
        <v>101</v>
      </c>
      <c r="C51" t="s">
        <v>98</v>
      </c>
      <c r="D51" t="s">
        <v>11</v>
      </c>
      <c r="E51" s="9">
        <v>39</v>
      </c>
      <c r="F51" t="s">
        <v>12</v>
      </c>
      <c r="G51" t="s">
        <v>13</v>
      </c>
      <c r="H51" s="8">
        <v>42047</v>
      </c>
      <c r="I51">
        <v>39034.14</v>
      </c>
      <c r="K51" s="8"/>
    </row>
    <row r="52" spans="1:11">
      <c r="A52">
        <v>100000051</v>
      </c>
      <c r="B52" t="s">
        <v>84</v>
      </c>
      <c r="C52" t="s">
        <v>73</v>
      </c>
      <c r="D52" t="s">
        <v>16</v>
      </c>
      <c r="E52" s="9">
        <v>29</v>
      </c>
      <c r="F52" t="s">
        <v>12</v>
      </c>
      <c r="G52" t="s">
        <v>18</v>
      </c>
      <c r="H52" s="7">
        <v>42047</v>
      </c>
      <c r="I52">
        <v>1401.43</v>
      </c>
      <c r="K52" s="7"/>
    </row>
    <row r="53" spans="1:11">
      <c r="A53">
        <v>100000052</v>
      </c>
      <c r="B53" t="s">
        <v>102</v>
      </c>
      <c r="C53" t="s">
        <v>103</v>
      </c>
      <c r="D53" t="s">
        <v>16</v>
      </c>
      <c r="E53" s="9">
        <v>31</v>
      </c>
      <c r="F53" t="s">
        <v>12</v>
      </c>
      <c r="G53" t="s">
        <v>18</v>
      </c>
      <c r="H53" s="8">
        <v>42047</v>
      </c>
      <c r="I53">
        <v>41626.25</v>
      </c>
      <c r="K53" s="8"/>
    </row>
    <row r="54" spans="1:11">
      <c r="A54">
        <v>100000053</v>
      </c>
      <c r="B54" t="s">
        <v>44</v>
      </c>
      <c r="C54" t="s">
        <v>104</v>
      </c>
      <c r="D54" t="s">
        <v>16</v>
      </c>
      <c r="E54" s="9">
        <v>37</v>
      </c>
      <c r="F54" t="s">
        <v>12</v>
      </c>
      <c r="G54" t="s">
        <v>33</v>
      </c>
      <c r="H54" s="7">
        <v>42047</v>
      </c>
      <c r="I54">
        <v>47551.7</v>
      </c>
      <c r="K54" s="7"/>
    </row>
    <row r="55" spans="1:11">
      <c r="A55">
        <v>100000054</v>
      </c>
      <c r="B55" t="s">
        <v>105</v>
      </c>
      <c r="C55" t="s">
        <v>106</v>
      </c>
      <c r="D55" t="s">
        <v>16</v>
      </c>
      <c r="E55" s="9">
        <v>32</v>
      </c>
      <c r="F55" t="s">
        <v>12</v>
      </c>
      <c r="G55" t="s">
        <v>13</v>
      </c>
      <c r="H55" s="8">
        <v>42047</v>
      </c>
      <c r="I55">
        <v>24187.98</v>
      </c>
      <c r="K55" s="8"/>
    </row>
    <row r="56" spans="1:11">
      <c r="A56">
        <v>100000055</v>
      </c>
      <c r="B56" t="s">
        <v>107</v>
      </c>
      <c r="C56" t="s">
        <v>108</v>
      </c>
      <c r="D56" t="s">
        <v>11</v>
      </c>
      <c r="E56" s="9">
        <v>24</v>
      </c>
      <c r="F56" t="s">
        <v>12</v>
      </c>
      <c r="G56" t="s">
        <v>13</v>
      </c>
      <c r="H56" s="7">
        <v>42047</v>
      </c>
      <c r="I56">
        <v>4912.21</v>
      </c>
      <c r="K56" s="7"/>
    </row>
    <row r="57" spans="1:11">
      <c r="A57">
        <v>100000056</v>
      </c>
      <c r="B57" t="s">
        <v>19</v>
      </c>
      <c r="C57" t="s">
        <v>109</v>
      </c>
      <c r="D57" t="s">
        <v>11</v>
      </c>
      <c r="E57" s="9">
        <v>40</v>
      </c>
      <c r="F57" t="s">
        <v>12</v>
      </c>
      <c r="G57" t="s">
        <v>13</v>
      </c>
      <c r="H57" s="8">
        <v>42047</v>
      </c>
      <c r="I57">
        <v>58391.45</v>
      </c>
      <c r="K57" s="8"/>
    </row>
    <row r="58" spans="1:11">
      <c r="A58">
        <v>100000057</v>
      </c>
      <c r="B58" t="s">
        <v>110</v>
      </c>
      <c r="C58" t="s">
        <v>31</v>
      </c>
      <c r="D58" t="s">
        <v>16</v>
      </c>
      <c r="E58" s="9">
        <v>33</v>
      </c>
      <c r="F58" t="s">
        <v>12</v>
      </c>
      <c r="G58" t="s">
        <v>18</v>
      </c>
      <c r="H58" s="7">
        <v>42047</v>
      </c>
      <c r="I58">
        <v>58033.89</v>
      </c>
      <c r="K58" s="7"/>
    </row>
    <row r="59" spans="1:11">
      <c r="A59">
        <v>100000058</v>
      </c>
      <c r="B59" t="s">
        <v>111</v>
      </c>
      <c r="C59" t="s">
        <v>94</v>
      </c>
      <c r="D59" t="s">
        <v>11</v>
      </c>
      <c r="E59" s="9">
        <v>44</v>
      </c>
      <c r="F59" t="s">
        <v>12</v>
      </c>
      <c r="G59" t="s">
        <v>13</v>
      </c>
      <c r="H59" s="8">
        <v>42047</v>
      </c>
      <c r="I59">
        <v>35831.199999999997</v>
      </c>
      <c r="K59" s="8"/>
    </row>
    <row r="60" spans="1:11">
      <c r="A60">
        <v>100000059</v>
      </c>
      <c r="B60" t="s">
        <v>112</v>
      </c>
      <c r="C60" t="s">
        <v>113</v>
      </c>
      <c r="D60" t="s">
        <v>11</v>
      </c>
      <c r="E60" s="9">
        <v>39</v>
      </c>
      <c r="F60" t="s">
        <v>12</v>
      </c>
      <c r="G60" t="s">
        <v>33</v>
      </c>
      <c r="H60" s="7">
        <v>42047</v>
      </c>
      <c r="I60">
        <v>1879.85</v>
      </c>
      <c r="K60" s="7"/>
    </row>
    <row r="61" spans="1:11">
      <c r="A61">
        <v>100000060</v>
      </c>
      <c r="B61" t="s">
        <v>40</v>
      </c>
      <c r="C61" t="s">
        <v>114</v>
      </c>
      <c r="D61" t="s">
        <v>11</v>
      </c>
      <c r="E61" s="9">
        <v>47</v>
      </c>
      <c r="F61" t="s">
        <v>12</v>
      </c>
      <c r="G61" t="s">
        <v>13</v>
      </c>
      <c r="H61" s="8">
        <v>42047</v>
      </c>
      <c r="I61">
        <v>23375.57</v>
      </c>
      <c r="K61" s="8"/>
    </row>
    <row r="62" spans="1:11">
      <c r="A62">
        <v>100000061</v>
      </c>
      <c r="B62" t="s">
        <v>115</v>
      </c>
      <c r="C62" t="s">
        <v>116</v>
      </c>
      <c r="D62" t="s">
        <v>16</v>
      </c>
      <c r="E62" s="9">
        <v>35</v>
      </c>
      <c r="F62" t="s">
        <v>12</v>
      </c>
      <c r="G62" t="s">
        <v>13</v>
      </c>
      <c r="H62" s="7">
        <v>42047</v>
      </c>
      <c r="I62">
        <v>4586.2299999999996</v>
      </c>
      <c r="K62" s="7"/>
    </row>
    <row r="63" spans="1:11">
      <c r="A63">
        <v>100000062</v>
      </c>
      <c r="B63" t="s">
        <v>117</v>
      </c>
      <c r="C63" t="s">
        <v>75</v>
      </c>
      <c r="D63" t="s">
        <v>16</v>
      </c>
      <c r="E63" s="9">
        <v>47</v>
      </c>
      <c r="F63" t="s">
        <v>12</v>
      </c>
      <c r="G63" t="s">
        <v>33</v>
      </c>
      <c r="H63" s="8">
        <v>42047</v>
      </c>
      <c r="I63">
        <v>20336.8</v>
      </c>
      <c r="K63" s="8"/>
    </row>
    <row r="64" spans="1:11">
      <c r="A64">
        <v>100000063</v>
      </c>
      <c r="B64" t="s">
        <v>118</v>
      </c>
      <c r="C64" t="s">
        <v>109</v>
      </c>
      <c r="D64" t="s">
        <v>11</v>
      </c>
      <c r="E64" s="9">
        <v>47</v>
      </c>
      <c r="F64" t="s">
        <v>12</v>
      </c>
      <c r="G64" t="s">
        <v>13</v>
      </c>
      <c r="H64" s="7">
        <v>42047</v>
      </c>
      <c r="I64">
        <v>22414.93</v>
      </c>
      <c r="K64" s="7"/>
    </row>
    <row r="65" spans="1:11">
      <c r="A65">
        <v>100000064</v>
      </c>
      <c r="B65" t="s">
        <v>119</v>
      </c>
      <c r="C65" t="s">
        <v>109</v>
      </c>
      <c r="D65" t="s">
        <v>16</v>
      </c>
      <c r="E65" s="9">
        <v>39</v>
      </c>
      <c r="F65" t="s">
        <v>12</v>
      </c>
      <c r="G65" t="s">
        <v>13</v>
      </c>
      <c r="H65" s="8">
        <v>42047</v>
      </c>
      <c r="I65">
        <v>40305.24</v>
      </c>
      <c r="K65" s="8"/>
    </row>
    <row r="66" spans="1:11">
      <c r="A66">
        <v>200000065</v>
      </c>
      <c r="B66" t="s">
        <v>120</v>
      </c>
      <c r="C66" t="s">
        <v>63</v>
      </c>
      <c r="D66" t="s">
        <v>16</v>
      </c>
      <c r="E66" s="9">
        <v>50</v>
      </c>
      <c r="F66" t="s">
        <v>32</v>
      </c>
      <c r="G66" t="s">
        <v>33</v>
      </c>
      <c r="H66" s="7">
        <v>42047</v>
      </c>
      <c r="I66">
        <v>18091.36</v>
      </c>
      <c r="K66" s="7"/>
    </row>
    <row r="67" spans="1:11">
      <c r="A67">
        <v>200000066</v>
      </c>
      <c r="B67" t="s">
        <v>111</v>
      </c>
      <c r="C67" t="s">
        <v>121</v>
      </c>
      <c r="D67" t="s">
        <v>11</v>
      </c>
      <c r="E67" s="9">
        <v>43</v>
      </c>
      <c r="F67" t="s">
        <v>32</v>
      </c>
      <c r="G67" t="s">
        <v>18</v>
      </c>
      <c r="H67" s="8">
        <v>42047</v>
      </c>
      <c r="I67">
        <v>20076.8</v>
      </c>
      <c r="K67" s="8"/>
    </row>
    <row r="68" spans="1:11">
      <c r="A68">
        <v>200000067</v>
      </c>
      <c r="B68" t="s">
        <v>122</v>
      </c>
      <c r="C68" t="s">
        <v>104</v>
      </c>
      <c r="D68" t="s">
        <v>11</v>
      </c>
      <c r="E68" s="9">
        <v>47</v>
      </c>
      <c r="F68" t="s">
        <v>32</v>
      </c>
      <c r="G68" t="s">
        <v>18</v>
      </c>
      <c r="H68" s="7">
        <v>42047</v>
      </c>
      <c r="I68">
        <v>5300.47</v>
      </c>
      <c r="K68" s="7"/>
    </row>
    <row r="69" spans="1:11">
      <c r="A69">
        <v>200000068</v>
      </c>
      <c r="B69" t="s">
        <v>70</v>
      </c>
      <c r="C69" t="s">
        <v>123</v>
      </c>
      <c r="D69" t="s">
        <v>11</v>
      </c>
      <c r="E69" s="9">
        <v>61</v>
      </c>
      <c r="F69" t="s">
        <v>32</v>
      </c>
      <c r="G69" t="s">
        <v>18</v>
      </c>
      <c r="H69" s="8">
        <v>42047</v>
      </c>
      <c r="I69">
        <v>7162.43</v>
      </c>
      <c r="K69" s="8"/>
    </row>
    <row r="70" spans="1:11">
      <c r="A70">
        <v>200000069</v>
      </c>
      <c r="B70" t="s">
        <v>57</v>
      </c>
      <c r="C70" t="s">
        <v>124</v>
      </c>
      <c r="D70" t="s">
        <v>11</v>
      </c>
      <c r="E70" s="9">
        <v>53</v>
      </c>
      <c r="F70" t="s">
        <v>32</v>
      </c>
      <c r="G70" t="s">
        <v>18</v>
      </c>
      <c r="H70" s="7">
        <v>42047</v>
      </c>
      <c r="I70">
        <v>35751.370000000003</v>
      </c>
      <c r="K70" s="7"/>
    </row>
    <row r="71" spans="1:11">
      <c r="A71">
        <v>200000070</v>
      </c>
      <c r="B71" t="s">
        <v>118</v>
      </c>
      <c r="C71" t="s">
        <v>22</v>
      </c>
      <c r="D71" t="s">
        <v>11</v>
      </c>
      <c r="E71" s="9">
        <v>45</v>
      </c>
      <c r="F71" t="s">
        <v>32</v>
      </c>
      <c r="G71" t="s">
        <v>33</v>
      </c>
      <c r="H71" s="8">
        <v>42047</v>
      </c>
      <c r="I71">
        <v>15013.76</v>
      </c>
      <c r="K71" s="8"/>
    </row>
    <row r="72" spans="1:11">
      <c r="A72">
        <v>200000071</v>
      </c>
      <c r="B72" t="s">
        <v>122</v>
      </c>
      <c r="C72" t="s">
        <v>125</v>
      </c>
      <c r="D72" t="s">
        <v>11</v>
      </c>
      <c r="E72" s="9">
        <v>49</v>
      </c>
      <c r="F72" t="s">
        <v>32</v>
      </c>
      <c r="G72" t="s">
        <v>18</v>
      </c>
      <c r="H72" s="7">
        <v>42047</v>
      </c>
      <c r="I72">
        <v>70041.440000000002</v>
      </c>
      <c r="K72" s="7"/>
    </row>
    <row r="73" spans="1:11">
      <c r="A73">
        <v>200000072</v>
      </c>
      <c r="B73" t="s">
        <v>126</v>
      </c>
      <c r="C73" t="s">
        <v>127</v>
      </c>
      <c r="D73" t="s">
        <v>16</v>
      </c>
      <c r="E73" s="9">
        <v>51</v>
      </c>
      <c r="F73" t="s">
        <v>32</v>
      </c>
      <c r="G73" t="s">
        <v>33</v>
      </c>
      <c r="H73" s="8">
        <v>42047</v>
      </c>
      <c r="I73">
        <v>35937.379999999997</v>
      </c>
      <c r="K73" s="8"/>
    </row>
    <row r="74" spans="1:11">
      <c r="A74">
        <v>300000073</v>
      </c>
      <c r="B74" t="s">
        <v>128</v>
      </c>
      <c r="C74" t="s">
        <v>114</v>
      </c>
      <c r="D74" t="s">
        <v>16</v>
      </c>
      <c r="E74" s="9">
        <v>36</v>
      </c>
      <c r="F74" t="s">
        <v>23</v>
      </c>
      <c r="G74" t="s">
        <v>13</v>
      </c>
      <c r="H74" s="7">
        <v>42047</v>
      </c>
      <c r="I74">
        <v>41442.1</v>
      </c>
      <c r="K74" s="7"/>
    </row>
    <row r="75" spans="1:11">
      <c r="A75">
        <v>300000074</v>
      </c>
      <c r="B75" t="s">
        <v>129</v>
      </c>
      <c r="C75" t="s">
        <v>130</v>
      </c>
      <c r="D75" t="s">
        <v>11</v>
      </c>
      <c r="E75" s="9">
        <v>45</v>
      </c>
      <c r="F75" t="s">
        <v>23</v>
      </c>
      <c r="G75" t="s">
        <v>33</v>
      </c>
      <c r="H75" s="8">
        <v>42047</v>
      </c>
      <c r="I75">
        <v>36696.92</v>
      </c>
      <c r="K75" s="8"/>
    </row>
    <row r="76" spans="1:11">
      <c r="A76">
        <v>400000075</v>
      </c>
      <c r="B76" t="s">
        <v>131</v>
      </c>
      <c r="C76" t="s">
        <v>132</v>
      </c>
      <c r="D76" t="s">
        <v>16</v>
      </c>
      <c r="E76" s="9">
        <v>30</v>
      </c>
      <c r="F76" t="s">
        <v>17</v>
      </c>
      <c r="G76" t="s">
        <v>13</v>
      </c>
      <c r="H76" s="7">
        <v>42047</v>
      </c>
      <c r="I76">
        <v>21.03</v>
      </c>
      <c r="K76" s="7"/>
    </row>
    <row r="77" spans="1:11">
      <c r="A77">
        <v>200000076</v>
      </c>
      <c r="B77" t="s">
        <v>133</v>
      </c>
      <c r="C77" t="s">
        <v>134</v>
      </c>
      <c r="D77" t="s">
        <v>11</v>
      </c>
      <c r="E77" s="9">
        <v>44</v>
      </c>
      <c r="F77" t="s">
        <v>32</v>
      </c>
      <c r="G77" t="s">
        <v>18</v>
      </c>
      <c r="H77" s="8">
        <v>42059</v>
      </c>
      <c r="I77">
        <v>58237.65</v>
      </c>
      <c r="K77" s="8"/>
    </row>
    <row r="78" spans="1:11">
      <c r="A78">
        <v>100000077</v>
      </c>
      <c r="B78" t="s">
        <v>135</v>
      </c>
      <c r="C78" t="s">
        <v>20</v>
      </c>
      <c r="D78" t="s">
        <v>11</v>
      </c>
      <c r="E78" s="9">
        <v>38</v>
      </c>
      <c r="F78" t="s">
        <v>12</v>
      </c>
      <c r="G78" t="s">
        <v>13</v>
      </c>
      <c r="H78" s="7">
        <v>42072</v>
      </c>
      <c r="I78">
        <v>28509.46</v>
      </c>
      <c r="K78" s="7"/>
    </row>
    <row r="79" spans="1:11">
      <c r="A79">
        <v>100000078</v>
      </c>
      <c r="B79" t="s">
        <v>92</v>
      </c>
      <c r="C79" t="s">
        <v>130</v>
      </c>
      <c r="D79" t="s">
        <v>16</v>
      </c>
      <c r="E79" s="9">
        <v>36</v>
      </c>
      <c r="F79" t="s">
        <v>12</v>
      </c>
      <c r="G79" t="s">
        <v>33</v>
      </c>
      <c r="H79" s="8">
        <v>42073</v>
      </c>
      <c r="I79">
        <v>38715.449999999997</v>
      </c>
      <c r="K79" s="8"/>
    </row>
    <row r="80" spans="1:11">
      <c r="A80">
        <v>300000079</v>
      </c>
      <c r="B80" t="s">
        <v>34</v>
      </c>
      <c r="C80" t="s">
        <v>136</v>
      </c>
      <c r="D80" t="s">
        <v>16</v>
      </c>
      <c r="E80" s="9">
        <v>23</v>
      </c>
      <c r="F80" t="s">
        <v>23</v>
      </c>
      <c r="G80" t="s">
        <v>18</v>
      </c>
      <c r="H80" s="7">
        <v>42078</v>
      </c>
      <c r="I80">
        <v>7370.52</v>
      </c>
      <c r="K80" s="7"/>
    </row>
    <row r="81" spans="1:11">
      <c r="A81">
        <v>100000080</v>
      </c>
      <c r="B81" t="s">
        <v>137</v>
      </c>
      <c r="C81" t="s">
        <v>138</v>
      </c>
      <c r="D81" t="s">
        <v>11</v>
      </c>
      <c r="E81" s="9">
        <v>34</v>
      </c>
      <c r="F81" t="s">
        <v>12</v>
      </c>
      <c r="G81" t="s">
        <v>13</v>
      </c>
      <c r="H81" s="8">
        <v>42079</v>
      </c>
      <c r="I81">
        <v>245.46</v>
      </c>
      <c r="K81" s="8"/>
    </row>
    <row r="82" spans="1:11">
      <c r="A82">
        <v>100000081</v>
      </c>
      <c r="B82" t="s">
        <v>139</v>
      </c>
      <c r="C82" t="s">
        <v>140</v>
      </c>
      <c r="D82" t="s">
        <v>16</v>
      </c>
      <c r="E82" s="9">
        <v>36</v>
      </c>
      <c r="F82" t="s">
        <v>12</v>
      </c>
      <c r="G82" t="s">
        <v>13</v>
      </c>
      <c r="H82" s="7">
        <v>42079</v>
      </c>
      <c r="I82">
        <v>59935.75</v>
      </c>
      <c r="K82" s="7"/>
    </row>
    <row r="83" spans="1:11">
      <c r="A83">
        <v>100000082</v>
      </c>
      <c r="B83" t="s">
        <v>141</v>
      </c>
      <c r="C83" t="s">
        <v>142</v>
      </c>
      <c r="D83" t="s">
        <v>11</v>
      </c>
      <c r="E83" s="9">
        <v>20</v>
      </c>
      <c r="F83" t="s">
        <v>12</v>
      </c>
      <c r="G83" t="s">
        <v>13</v>
      </c>
      <c r="H83" s="8">
        <v>42079</v>
      </c>
      <c r="I83">
        <v>11624.36</v>
      </c>
      <c r="K83" s="8"/>
    </row>
    <row r="84" spans="1:11">
      <c r="A84">
        <v>100000083</v>
      </c>
      <c r="B84" t="s">
        <v>143</v>
      </c>
      <c r="C84" t="s">
        <v>144</v>
      </c>
      <c r="D84" t="s">
        <v>11</v>
      </c>
      <c r="E84" s="9">
        <v>31</v>
      </c>
      <c r="F84" t="s">
        <v>12</v>
      </c>
      <c r="G84" t="s">
        <v>18</v>
      </c>
      <c r="H84" s="7">
        <v>42079</v>
      </c>
      <c r="I84">
        <v>9346.66</v>
      </c>
      <c r="K84" s="7"/>
    </row>
    <row r="85" spans="1:11">
      <c r="A85">
        <v>100000084</v>
      </c>
      <c r="B85" t="s">
        <v>145</v>
      </c>
      <c r="C85" t="s">
        <v>65</v>
      </c>
      <c r="D85" t="s">
        <v>11</v>
      </c>
      <c r="E85" s="9">
        <v>42</v>
      </c>
      <c r="F85" t="s">
        <v>12</v>
      </c>
      <c r="G85" t="s">
        <v>13</v>
      </c>
      <c r="H85" s="8">
        <v>42079</v>
      </c>
      <c r="I85">
        <v>43770.37</v>
      </c>
      <c r="K85" s="8"/>
    </row>
    <row r="86" spans="1:11">
      <c r="A86">
        <v>100000085</v>
      </c>
      <c r="B86" t="s">
        <v>146</v>
      </c>
      <c r="C86" t="s">
        <v>140</v>
      </c>
      <c r="D86" t="s">
        <v>16</v>
      </c>
      <c r="E86" s="9">
        <v>38</v>
      </c>
      <c r="F86" t="s">
        <v>12</v>
      </c>
      <c r="G86" t="s">
        <v>13</v>
      </c>
      <c r="H86" s="7">
        <v>42079</v>
      </c>
      <c r="I86">
        <v>63642.19</v>
      </c>
      <c r="K86" s="7"/>
    </row>
    <row r="87" spans="1:11">
      <c r="A87">
        <v>100000086</v>
      </c>
      <c r="B87" t="s">
        <v>147</v>
      </c>
      <c r="C87" t="s">
        <v>67</v>
      </c>
      <c r="D87" t="s">
        <v>11</v>
      </c>
      <c r="E87" s="9">
        <v>39</v>
      </c>
      <c r="F87" t="s">
        <v>12</v>
      </c>
      <c r="G87" t="s">
        <v>13</v>
      </c>
      <c r="H87" s="8">
        <v>42079</v>
      </c>
      <c r="I87">
        <v>22831.08</v>
      </c>
      <c r="K87" s="8"/>
    </row>
    <row r="88" spans="1:11">
      <c r="A88">
        <v>100000087</v>
      </c>
      <c r="B88" t="s">
        <v>148</v>
      </c>
      <c r="C88" t="s">
        <v>114</v>
      </c>
      <c r="D88" t="s">
        <v>11</v>
      </c>
      <c r="E88" s="9">
        <v>41</v>
      </c>
      <c r="F88" t="s">
        <v>12</v>
      </c>
      <c r="G88" t="s">
        <v>33</v>
      </c>
      <c r="H88" s="7">
        <v>42079</v>
      </c>
      <c r="I88">
        <v>4846.57</v>
      </c>
      <c r="K88" s="7"/>
    </row>
    <row r="89" spans="1:11">
      <c r="A89">
        <v>100000088</v>
      </c>
      <c r="B89" t="s">
        <v>14</v>
      </c>
      <c r="C89" t="s">
        <v>123</v>
      </c>
      <c r="D89" t="s">
        <v>16</v>
      </c>
      <c r="E89" s="9">
        <v>24</v>
      </c>
      <c r="F89" t="s">
        <v>12</v>
      </c>
      <c r="G89" t="s">
        <v>13</v>
      </c>
      <c r="H89" s="8">
        <v>42079</v>
      </c>
      <c r="I89">
        <v>71571.520000000004</v>
      </c>
      <c r="K89" s="8"/>
    </row>
    <row r="90" spans="1:11">
      <c r="A90">
        <v>100000089</v>
      </c>
      <c r="B90" t="s">
        <v>149</v>
      </c>
      <c r="C90" t="s">
        <v>104</v>
      </c>
      <c r="D90" t="s">
        <v>16</v>
      </c>
      <c r="E90" s="9">
        <v>24</v>
      </c>
      <c r="F90" t="s">
        <v>12</v>
      </c>
      <c r="G90" t="s">
        <v>13</v>
      </c>
      <c r="H90" s="7">
        <v>42079</v>
      </c>
      <c r="I90">
        <v>42409.89</v>
      </c>
      <c r="K90" s="7"/>
    </row>
    <row r="91" spans="1:11">
      <c r="A91">
        <v>100000090</v>
      </c>
      <c r="B91" t="s">
        <v>150</v>
      </c>
      <c r="C91" t="s">
        <v>151</v>
      </c>
      <c r="D91" t="s">
        <v>16</v>
      </c>
      <c r="E91" s="9">
        <v>35</v>
      </c>
      <c r="F91" t="s">
        <v>12</v>
      </c>
      <c r="G91" t="s">
        <v>13</v>
      </c>
      <c r="H91" s="8">
        <v>42079</v>
      </c>
      <c r="I91">
        <v>4194.57</v>
      </c>
      <c r="K91" s="8"/>
    </row>
    <row r="92" spans="1:11">
      <c r="A92">
        <v>100000091</v>
      </c>
      <c r="B92" t="s">
        <v>152</v>
      </c>
      <c r="C92" t="s">
        <v>153</v>
      </c>
      <c r="D92" t="s">
        <v>11</v>
      </c>
      <c r="E92" s="9">
        <v>35</v>
      </c>
      <c r="F92" t="s">
        <v>12</v>
      </c>
      <c r="G92" t="s">
        <v>13</v>
      </c>
      <c r="H92" s="7">
        <v>42079</v>
      </c>
      <c r="I92">
        <v>75613.679999999993</v>
      </c>
      <c r="K92" s="7"/>
    </row>
    <row r="93" spans="1:11">
      <c r="A93">
        <v>100000092</v>
      </c>
      <c r="B93" t="s">
        <v>154</v>
      </c>
      <c r="C93" t="s">
        <v>155</v>
      </c>
      <c r="D93" t="s">
        <v>16</v>
      </c>
      <c r="E93" s="9">
        <v>26</v>
      </c>
      <c r="F93" t="s">
        <v>12</v>
      </c>
      <c r="G93" t="s">
        <v>13</v>
      </c>
      <c r="H93" s="8">
        <v>42079</v>
      </c>
      <c r="I93">
        <v>28587.08</v>
      </c>
      <c r="K93" s="8"/>
    </row>
    <row r="94" spans="1:11">
      <c r="A94">
        <v>100000093</v>
      </c>
      <c r="B94" t="s">
        <v>122</v>
      </c>
      <c r="C94" t="s">
        <v>156</v>
      </c>
      <c r="D94" t="s">
        <v>11</v>
      </c>
      <c r="E94" s="9">
        <v>23</v>
      </c>
      <c r="F94" t="s">
        <v>12</v>
      </c>
      <c r="G94" t="s">
        <v>13</v>
      </c>
      <c r="H94" s="7">
        <v>42079</v>
      </c>
      <c r="I94">
        <v>14699.05</v>
      </c>
      <c r="K94" s="7"/>
    </row>
    <row r="95" spans="1:11">
      <c r="A95">
        <v>100000094</v>
      </c>
      <c r="B95" t="s">
        <v>30</v>
      </c>
      <c r="C95" t="s">
        <v>157</v>
      </c>
      <c r="D95" t="s">
        <v>16</v>
      </c>
      <c r="E95" s="9">
        <v>38</v>
      </c>
      <c r="F95" t="s">
        <v>12</v>
      </c>
      <c r="G95" t="s">
        <v>33</v>
      </c>
      <c r="H95" s="8">
        <v>42079</v>
      </c>
      <c r="I95">
        <v>44034.26</v>
      </c>
      <c r="K95" s="8"/>
    </row>
    <row r="96" spans="1:11">
      <c r="A96">
        <v>100000095</v>
      </c>
      <c r="B96" t="s">
        <v>158</v>
      </c>
      <c r="C96" t="s">
        <v>31</v>
      </c>
      <c r="D96" t="s">
        <v>16</v>
      </c>
      <c r="E96" s="9">
        <v>30</v>
      </c>
      <c r="F96" t="s">
        <v>12</v>
      </c>
      <c r="G96" t="s">
        <v>13</v>
      </c>
      <c r="H96" s="7">
        <v>42079</v>
      </c>
      <c r="I96">
        <v>55046.35</v>
      </c>
      <c r="K96" s="7"/>
    </row>
    <row r="97" spans="1:11">
      <c r="A97">
        <v>100000096</v>
      </c>
      <c r="B97" t="s">
        <v>159</v>
      </c>
      <c r="C97" t="s">
        <v>160</v>
      </c>
      <c r="D97" t="s">
        <v>11</v>
      </c>
      <c r="E97" s="9">
        <v>28</v>
      </c>
      <c r="F97" t="s">
        <v>12</v>
      </c>
      <c r="G97" t="s">
        <v>13</v>
      </c>
      <c r="H97" s="8">
        <v>42079</v>
      </c>
      <c r="I97">
        <v>67479.009999999995</v>
      </c>
      <c r="K97" s="8"/>
    </row>
    <row r="98" spans="1:11">
      <c r="A98">
        <v>100000097</v>
      </c>
      <c r="B98" t="s">
        <v>161</v>
      </c>
      <c r="C98" t="s">
        <v>162</v>
      </c>
      <c r="D98" t="s">
        <v>16</v>
      </c>
      <c r="E98" s="9">
        <v>38</v>
      </c>
      <c r="F98" t="s">
        <v>12</v>
      </c>
      <c r="G98" t="s">
        <v>18</v>
      </c>
      <c r="H98" s="7">
        <v>42079</v>
      </c>
      <c r="I98">
        <v>61890.85</v>
      </c>
      <c r="K98" s="7"/>
    </row>
    <row r="99" spans="1:11">
      <c r="A99">
        <v>100000098</v>
      </c>
      <c r="B99" t="s">
        <v>120</v>
      </c>
      <c r="C99" t="s">
        <v>56</v>
      </c>
      <c r="D99" t="s">
        <v>16</v>
      </c>
      <c r="E99" s="9">
        <v>36</v>
      </c>
      <c r="F99" t="s">
        <v>12</v>
      </c>
      <c r="G99" t="s">
        <v>13</v>
      </c>
      <c r="H99" s="8">
        <v>42079</v>
      </c>
      <c r="I99">
        <v>1430.6</v>
      </c>
      <c r="K99" s="8"/>
    </row>
    <row r="100" spans="1:11">
      <c r="A100">
        <v>200000099</v>
      </c>
      <c r="B100" t="s">
        <v>86</v>
      </c>
      <c r="C100" t="s">
        <v>163</v>
      </c>
      <c r="D100" t="s">
        <v>11</v>
      </c>
      <c r="E100" s="9">
        <v>40</v>
      </c>
      <c r="F100" t="s">
        <v>32</v>
      </c>
      <c r="G100" t="s">
        <v>18</v>
      </c>
      <c r="H100" s="7">
        <v>42079</v>
      </c>
      <c r="I100">
        <v>5456.86</v>
      </c>
      <c r="K100" s="7"/>
    </row>
    <row r="101" spans="1:11">
      <c r="A101">
        <v>200000100</v>
      </c>
      <c r="B101" t="s">
        <v>99</v>
      </c>
      <c r="C101" t="s">
        <v>142</v>
      </c>
      <c r="D101" t="s">
        <v>16</v>
      </c>
      <c r="E101" s="9">
        <v>56</v>
      </c>
      <c r="F101" t="s">
        <v>32</v>
      </c>
      <c r="G101" t="s">
        <v>33</v>
      </c>
      <c r="H101" s="8">
        <v>42079</v>
      </c>
      <c r="I101">
        <v>13251.27</v>
      </c>
      <c r="K101" s="8"/>
    </row>
    <row r="102" spans="1:11">
      <c r="A102">
        <v>200000101</v>
      </c>
      <c r="B102" t="s">
        <v>164</v>
      </c>
      <c r="C102" t="s">
        <v>37</v>
      </c>
      <c r="D102" t="s">
        <v>11</v>
      </c>
      <c r="E102" s="9">
        <v>51</v>
      </c>
      <c r="F102" t="s">
        <v>32</v>
      </c>
      <c r="G102" t="s">
        <v>18</v>
      </c>
      <c r="H102" s="7">
        <v>42079</v>
      </c>
      <c r="I102">
        <v>119014.87</v>
      </c>
      <c r="K102" s="7"/>
    </row>
    <row r="103" spans="1:11">
      <c r="A103">
        <v>200000102</v>
      </c>
      <c r="B103" t="s">
        <v>165</v>
      </c>
      <c r="C103" t="s">
        <v>123</v>
      </c>
      <c r="D103" t="s">
        <v>16</v>
      </c>
      <c r="E103" s="9">
        <v>44</v>
      </c>
      <c r="F103" t="s">
        <v>32</v>
      </c>
      <c r="G103" t="s">
        <v>13</v>
      </c>
      <c r="H103" s="8">
        <v>42079</v>
      </c>
      <c r="I103">
        <v>18829.79</v>
      </c>
      <c r="K103" s="8"/>
    </row>
    <row r="104" spans="1:11">
      <c r="A104">
        <v>200000103</v>
      </c>
      <c r="B104" t="s">
        <v>166</v>
      </c>
      <c r="C104" t="s">
        <v>167</v>
      </c>
      <c r="D104" t="s">
        <v>16</v>
      </c>
      <c r="E104" s="9">
        <v>55</v>
      </c>
      <c r="F104" t="s">
        <v>32</v>
      </c>
      <c r="G104" t="s">
        <v>13</v>
      </c>
      <c r="H104" s="7">
        <v>42079</v>
      </c>
      <c r="I104">
        <v>35939.040000000001</v>
      </c>
      <c r="K104" s="7"/>
    </row>
    <row r="105" spans="1:11">
      <c r="A105">
        <v>200000104</v>
      </c>
      <c r="B105" t="s">
        <v>168</v>
      </c>
      <c r="C105" t="s">
        <v>59</v>
      </c>
      <c r="D105" t="s">
        <v>16</v>
      </c>
      <c r="E105" s="9">
        <v>57</v>
      </c>
      <c r="F105" t="s">
        <v>32</v>
      </c>
      <c r="G105" t="s">
        <v>33</v>
      </c>
      <c r="H105" s="8">
        <v>42079</v>
      </c>
      <c r="I105">
        <v>22686</v>
      </c>
      <c r="K105" s="8"/>
    </row>
    <row r="106" spans="1:11">
      <c r="A106">
        <v>200000105</v>
      </c>
      <c r="B106" t="s">
        <v>169</v>
      </c>
      <c r="C106" t="s">
        <v>170</v>
      </c>
      <c r="D106" t="s">
        <v>11</v>
      </c>
      <c r="E106" s="9">
        <v>48</v>
      </c>
      <c r="F106" t="s">
        <v>32</v>
      </c>
      <c r="G106" t="s">
        <v>13</v>
      </c>
      <c r="H106" s="7">
        <v>42079</v>
      </c>
      <c r="I106">
        <v>85108.08</v>
      </c>
      <c r="K106" s="7"/>
    </row>
    <row r="107" spans="1:11">
      <c r="A107">
        <v>200000106</v>
      </c>
      <c r="B107" t="s">
        <v>171</v>
      </c>
      <c r="C107" t="s">
        <v>172</v>
      </c>
      <c r="D107" t="s">
        <v>16</v>
      </c>
      <c r="E107" s="9">
        <v>54</v>
      </c>
      <c r="F107" t="s">
        <v>32</v>
      </c>
      <c r="G107" t="s">
        <v>33</v>
      </c>
      <c r="H107" s="8">
        <v>42079</v>
      </c>
      <c r="I107">
        <v>44973.03</v>
      </c>
      <c r="K107" s="8"/>
    </row>
    <row r="108" spans="1:11">
      <c r="A108">
        <v>200000107</v>
      </c>
      <c r="B108" t="s">
        <v>173</v>
      </c>
      <c r="C108" t="s">
        <v>80</v>
      </c>
      <c r="D108" t="s">
        <v>11</v>
      </c>
      <c r="E108" s="9">
        <v>36</v>
      </c>
      <c r="F108" t="s">
        <v>32</v>
      </c>
      <c r="G108" t="s">
        <v>18</v>
      </c>
      <c r="H108" s="7">
        <v>42079</v>
      </c>
      <c r="I108">
        <v>12616.44</v>
      </c>
      <c r="K108" s="7"/>
    </row>
    <row r="109" spans="1:11">
      <c r="A109">
        <v>200000108</v>
      </c>
      <c r="B109" t="s">
        <v>111</v>
      </c>
      <c r="C109" t="s">
        <v>61</v>
      </c>
      <c r="D109" t="s">
        <v>11</v>
      </c>
      <c r="E109" s="9">
        <v>48</v>
      </c>
      <c r="F109" t="s">
        <v>32</v>
      </c>
      <c r="G109" t="s">
        <v>18</v>
      </c>
      <c r="H109" s="8">
        <v>42079</v>
      </c>
      <c r="I109">
        <v>23910.87</v>
      </c>
      <c r="K109" s="8"/>
    </row>
    <row r="110" spans="1:11">
      <c r="A110">
        <v>200000109</v>
      </c>
      <c r="B110" t="s">
        <v>174</v>
      </c>
      <c r="C110" t="s">
        <v>155</v>
      </c>
      <c r="D110" t="s">
        <v>11</v>
      </c>
      <c r="E110" s="9">
        <v>63</v>
      </c>
      <c r="F110" t="s">
        <v>32</v>
      </c>
      <c r="G110" t="s">
        <v>33</v>
      </c>
      <c r="H110" s="7">
        <v>42079</v>
      </c>
      <c r="I110">
        <v>73461.710000000006</v>
      </c>
      <c r="K110" s="7"/>
    </row>
    <row r="111" spans="1:11">
      <c r="A111">
        <v>200000110</v>
      </c>
      <c r="B111" t="s">
        <v>175</v>
      </c>
      <c r="C111" t="s">
        <v>54</v>
      </c>
      <c r="D111" t="s">
        <v>11</v>
      </c>
      <c r="E111" s="9">
        <v>63</v>
      </c>
      <c r="F111" t="s">
        <v>32</v>
      </c>
      <c r="G111" t="s">
        <v>18</v>
      </c>
      <c r="H111" s="8">
        <v>42079</v>
      </c>
      <c r="I111">
        <v>26474.23</v>
      </c>
      <c r="K111" s="8"/>
    </row>
    <row r="112" spans="1:11">
      <c r="A112">
        <v>300000111</v>
      </c>
      <c r="B112" t="s">
        <v>176</v>
      </c>
      <c r="C112" t="s">
        <v>142</v>
      </c>
      <c r="D112" t="s">
        <v>16</v>
      </c>
      <c r="E112" s="9">
        <v>25</v>
      </c>
      <c r="F112" t="s">
        <v>23</v>
      </c>
      <c r="G112" t="s">
        <v>33</v>
      </c>
      <c r="H112" s="7">
        <v>42079</v>
      </c>
      <c r="I112">
        <v>70799.64</v>
      </c>
      <c r="K112" s="7"/>
    </row>
    <row r="113" spans="1:11">
      <c r="A113">
        <v>300000112</v>
      </c>
      <c r="B113" t="s">
        <v>177</v>
      </c>
      <c r="C113" t="s">
        <v>178</v>
      </c>
      <c r="D113" t="s">
        <v>11</v>
      </c>
      <c r="E113" s="9">
        <v>26</v>
      </c>
      <c r="F113" t="s">
        <v>23</v>
      </c>
      <c r="G113" t="s">
        <v>13</v>
      </c>
      <c r="H113" s="8">
        <v>42079</v>
      </c>
      <c r="I113">
        <v>20627.650000000001</v>
      </c>
      <c r="K113" s="8"/>
    </row>
    <row r="114" spans="1:11">
      <c r="A114">
        <v>400000113</v>
      </c>
      <c r="B114" t="s">
        <v>175</v>
      </c>
      <c r="C114" t="s">
        <v>179</v>
      </c>
      <c r="D114" t="s">
        <v>11</v>
      </c>
      <c r="E114" s="9">
        <v>29</v>
      </c>
      <c r="F114" t="s">
        <v>17</v>
      </c>
      <c r="G114" t="s">
        <v>13</v>
      </c>
      <c r="H114" s="7">
        <v>42079</v>
      </c>
      <c r="I114">
        <v>82229.52</v>
      </c>
      <c r="K114" s="7"/>
    </row>
    <row r="115" spans="1:11">
      <c r="A115">
        <v>400000114</v>
      </c>
      <c r="B115" t="s">
        <v>117</v>
      </c>
      <c r="C115" t="s">
        <v>125</v>
      </c>
      <c r="D115" t="s">
        <v>16</v>
      </c>
      <c r="E115" s="9">
        <v>18</v>
      </c>
      <c r="F115" t="s">
        <v>17</v>
      </c>
      <c r="G115" t="s">
        <v>33</v>
      </c>
      <c r="H115" s="8">
        <v>42079</v>
      </c>
      <c r="I115">
        <v>51171.29</v>
      </c>
      <c r="K115" s="8"/>
    </row>
    <row r="116" spans="1:11">
      <c r="A116">
        <v>400000115</v>
      </c>
      <c r="B116" t="s">
        <v>34</v>
      </c>
      <c r="C116" t="s">
        <v>129</v>
      </c>
      <c r="D116" t="s">
        <v>16</v>
      </c>
      <c r="E116" s="9">
        <v>43</v>
      </c>
      <c r="F116" t="s">
        <v>17</v>
      </c>
      <c r="G116" t="s">
        <v>18</v>
      </c>
      <c r="H116" s="7">
        <v>42079</v>
      </c>
      <c r="I116">
        <v>37889.379999999997</v>
      </c>
      <c r="K116" s="7"/>
    </row>
    <row r="117" spans="1:11">
      <c r="A117">
        <v>100000116</v>
      </c>
      <c r="B117" t="s">
        <v>68</v>
      </c>
      <c r="C117" t="s">
        <v>56</v>
      </c>
      <c r="D117" t="s">
        <v>16</v>
      </c>
      <c r="E117" s="9">
        <v>36</v>
      </c>
      <c r="F117" t="s">
        <v>12</v>
      </c>
      <c r="G117" t="s">
        <v>33</v>
      </c>
      <c r="H117" s="8">
        <v>42082</v>
      </c>
      <c r="I117">
        <v>21806.3</v>
      </c>
      <c r="K117" s="8"/>
    </row>
    <row r="118" spans="1:11">
      <c r="A118">
        <v>100000117</v>
      </c>
      <c r="B118" t="s">
        <v>180</v>
      </c>
      <c r="C118" t="s">
        <v>67</v>
      </c>
      <c r="D118" t="s">
        <v>16</v>
      </c>
      <c r="E118" s="9">
        <v>40</v>
      </c>
      <c r="F118" t="s">
        <v>12</v>
      </c>
      <c r="G118" t="s">
        <v>33</v>
      </c>
      <c r="H118" s="7">
        <v>42088</v>
      </c>
      <c r="I118">
        <v>12415.5</v>
      </c>
      <c r="K118" s="7"/>
    </row>
    <row r="119" spans="1:11">
      <c r="A119">
        <v>200000118</v>
      </c>
      <c r="B119" t="s">
        <v>181</v>
      </c>
      <c r="C119" t="s">
        <v>67</v>
      </c>
      <c r="D119" t="s">
        <v>11</v>
      </c>
      <c r="E119" s="9">
        <v>52</v>
      </c>
      <c r="F119" t="s">
        <v>32</v>
      </c>
      <c r="G119" t="s">
        <v>33</v>
      </c>
      <c r="H119" s="8">
        <v>42091</v>
      </c>
      <c r="I119">
        <v>67682.92</v>
      </c>
      <c r="K119" s="8"/>
    </row>
    <row r="120" spans="1:11">
      <c r="A120">
        <v>100000119</v>
      </c>
      <c r="B120" t="s">
        <v>182</v>
      </c>
      <c r="C120" t="s">
        <v>183</v>
      </c>
      <c r="D120" t="s">
        <v>16</v>
      </c>
      <c r="E120" s="9">
        <v>18</v>
      </c>
      <c r="F120" t="s">
        <v>12</v>
      </c>
      <c r="G120" t="s">
        <v>13</v>
      </c>
      <c r="H120" s="7">
        <v>42094</v>
      </c>
      <c r="I120">
        <v>33524.410000000003</v>
      </c>
      <c r="K120" s="7"/>
    </row>
    <row r="121" spans="1:11">
      <c r="A121">
        <v>100000120</v>
      </c>
      <c r="B121" t="s">
        <v>184</v>
      </c>
      <c r="C121" t="s">
        <v>185</v>
      </c>
      <c r="D121" t="s">
        <v>16</v>
      </c>
      <c r="E121" s="9">
        <v>31</v>
      </c>
      <c r="F121" t="s">
        <v>12</v>
      </c>
      <c r="G121" t="s">
        <v>13</v>
      </c>
      <c r="H121" s="8">
        <v>42094</v>
      </c>
      <c r="I121">
        <v>136370.38</v>
      </c>
      <c r="K121" s="8"/>
    </row>
    <row r="122" spans="1:11">
      <c r="A122">
        <v>100000121</v>
      </c>
      <c r="B122" t="s">
        <v>173</v>
      </c>
      <c r="C122" t="s">
        <v>160</v>
      </c>
      <c r="D122" t="s">
        <v>11</v>
      </c>
      <c r="E122" s="9">
        <v>37</v>
      </c>
      <c r="F122" t="s">
        <v>12</v>
      </c>
      <c r="G122" t="s">
        <v>13</v>
      </c>
      <c r="H122" s="7">
        <v>42094</v>
      </c>
      <c r="I122">
        <v>39159.35</v>
      </c>
      <c r="K122" s="7"/>
    </row>
    <row r="123" spans="1:11">
      <c r="A123">
        <v>100000122</v>
      </c>
      <c r="B123" t="s">
        <v>186</v>
      </c>
      <c r="C123" t="s">
        <v>187</v>
      </c>
      <c r="D123" t="s">
        <v>11</v>
      </c>
      <c r="E123" s="9">
        <v>25</v>
      </c>
      <c r="F123" t="s">
        <v>12</v>
      </c>
      <c r="G123" t="s">
        <v>33</v>
      </c>
      <c r="H123" s="8">
        <v>42094</v>
      </c>
      <c r="I123">
        <v>3738.1</v>
      </c>
      <c r="K123" s="8"/>
    </row>
    <row r="124" spans="1:11">
      <c r="A124">
        <v>100000123</v>
      </c>
      <c r="B124" t="s">
        <v>188</v>
      </c>
      <c r="C124" t="s">
        <v>189</v>
      </c>
      <c r="D124" t="s">
        <v>11</v>
      </c>
      <c r="E124" s="9">
        <v>50</v>
      </c>
      <c r="F124" t="s">
        <v>12</v>
      </c>
      <c r="G124" t="s">
        <v>13</v>
      </c>
      <c r="H124" s="7">
        <v>42094</v>
      </c>
      <c r="I124">
        <v>43234.21</v>
      </c>
      <c r="K124" s="7"/>
    </row>
    <row r="125" spans="1:11">
      <c r="A125">
        <v>100000124</v>
      </c>
      <c r="B125" t="s">
        <v>190</v>
      </c>
      <c r="C125" t="s">
        <v>93</v>
      </c>
      <c r="D125" t="s">
        <v>11</v>
      </c>
      <c r="E125" s="9">
        <v>39</v>
      </c>
      <c r="F125" t="s">
        <v>12</v>
      </c>
      <c r="G125" t="s">
        <v>33</v>
      </c>
      <c r="H125" s="8">
        <v>42095</v>
      </c>
      <c r="I125">
        <v>111149.47</v>
      </c>
      <c r="K125" s="8"/>
    </row>
    <row r="126" spans="1:11">
      <c r="A126">
        <v>100000125</v>
      </c>
      <c r="B126" t="s">
        <v>191</v>
      </c>
      <c r="C126" t="s">
        <v>41</v>
      </c>
      <c r="D126" t="s">
        <v>11</v>
      </c>
      <c r="E126" s="9">
        <v>27</v>
      </c>
      <c r="F126" t="s">
        <v>12</v>
      </c>
      <c r="G126" t="s">
        <v>13</v>
      </c>
      <c r="H126" s="7">
        <v>42095</v>
      </c>
      <c r="I126">
        <v>12312.49</v>
      </c>
      <c r="K126" s="7"/>
    </row>
    <row r="127" spans="1:11">
      <c r="A127">
        <v>100000126</v>
      </c>
      <c r="B127" t="s">
        <v>38</v>
      </c>
      <c r="C127" t="s">
        <v>152</v>
      </c>
      <c r="D127" t="s">
        <v>11</v>
      </c>
      <c r="E127" s="9">
        <v>42</v>
      </c>
      <c r="F127" t="s">
        <v>12</v>
      </c>
      <c r="G127" t="s">
        <v>13</v>
      </c>
      <c r="H127" s="8">
        <v>42095</v>
      </c>
      <c r="I127">
        <v>55661.5</v>
      </c>
      <c r="K127" s="8"/>
    </row>
    <row r="128" spans="1:11">
      <c r="A128">
        <v>100000127</v>
      </c>
      <c r="B128" t="s">
        <v>165</v>
      </c>
      <c r="C128" t="s">
        <v>65</v>
      </c>
      <c r="D128" t="s">
        <v>16</v>
      </c>
      <c r="E128" s="9">
        <v>27</v>
      </c>
      <c r="F128" t="s">
        <v>12</v>
      </c>
      <c r="G128" t="s">
        <v>13</v>
      </c>
      <c r="H128" s="7">
        <v>42095</v>
      </c>
      <c r="I128">
        <v>10481.48</v>
      </c>
      <c r="K128" s="7"/>
    </row>
    <row r="129" spans="1:11">
      <c r="A129">
        <v>100000128</v>
      </c>
      <c r="B129" t="s">
        <v>192</v>
      </c>
      <c r="C129" t="s">
        <v>96</v>
      </c>
      <c r="D129" t="s">
        <v>16</v>
      </c>
      <c r="E129" s="9">
        <v>41</v>
      </c>
      <c r="F129" t="s">
        <v>12</v>
      </c>
      <c r="G129" t="s">
        <v>13</v>
      </c>
      <c r="H129" s="8">
        <v>42095</v>
      </c>
      <c r="I129">
        <v>4347.79</v>
      </c>
      <c r="K129" s="8"/>
    </row>
    <row r="130" spans="1:11">
      <c r="A130">
        <v>100000129</v>
      </c>
      <c r="B130" t="s">
        <v>193</v>
      </c>
      <c r="C130" t="s">
        <v>25</v>
      </c>
      <c r="D130" t="s">
        <v>11</v>
      </c>
      <c r="E130" s="9">
        <v>47</v>
      </c>
      <c r="F130" t="s">
        <v>12</v>
      </c>
      <c r="G130" t="s">
        <v>13</v>
      </c>
      <c r="H130" s="7">
        <v>42095</v>
      </c>
      <c r="I130">
        <v>15093.04</v>
      </c>
      <c r="K130" s="7"/>
    </row>
    <row r="131" spans="1:11">
      <c r="A131">
        <v>100000130</v>
      </c>
      <c r="B131" t="s">
        <v>68</v>
      </c>
      <c r="C131" t="s">
        <v>106</v>
      </c>
      <c r="D131" t="s">
        <v>16</v>
      </c>
      <c r="E131" s="9">
        <v>27</v>
      </c>
      <c r="F131" t="s">
        <v>12</v>
      </c>
      <c r="G131" t="s">
        <v>13</v>
      </c>
      <c r="H131" s="8">
        <v>42095</v>
      </c>
      <c r="I131">
        <v>27738.77</v>
      </c>
      <c r="K131" s="8"/>
    </row>
    <row r="132" spans="1:11">
      <c r="A132">
        <v>100000131</v>
      </c>
      <c r="B132" t="s">
        <v>194</v>
      </c>
      <c r="C132" t="s">
        <v>195</v>
      </c>
      <c r="D132" t="s">
        <v>16</v>
      </c>
      <c r="E132" s="9">
        <v>41</v>
      </c>
      <c r="F132" t="s">
        <v>12</v>
      </c>
      <c r="G132" t="s">
        <v>13</v>
      </c>
      <c r="H132" s="7">
        <v>42095</v>
      </c>
      <c r="I132">
        <v>27557.08</v>
      </c>
      <c r="K132" s="7"/>
    </row>
    <row r="133" spans="1:11">
      <c r="A133">
        <v>100000132</v>
      </c>
      <c r="B133" t="s">
        <v>103</v>
      </c>
      <c r="C133" t="s">
        <v>45</v>
      </c>
      <c r="D133" t="s">
        <v>11</v>
      </c>
      <c r="E133" s="9">
        <v>20</v>
      </c>
      <c r="F133" t="s">
        <v>12</v>
      </c>
      <c r="G133" t="s">
        <v>18</v>
      </c>
      <c r="H133" s="8">
        <v>42095</v>
      </c>
      <c r="I133">
        <v>9578.65</v>
      </c>
      <c r="K133" s="8"/>
    </row>
    <row r="134" spans="1:11">
      <c r="A134">
        <v>100000133</v>
      </c>
      <c r="B134" t="s">
        <v>34</v>
      </c>
      <c r="C134" t="s">
        <v>196</v>
      </c>
      <c r="D134" t="s">
        <v>16</v>
      </c>
      <c r="E134" s="9">
        <v>38</v>
      </c>
      <c r="F134" t="s">
        <v>12</v>
      </c>
      <c r="G134" t="s">
        <v>13</v>
      </c>
      <c r="H134" s="7">
        <v>42096</v>
      </c>
      <c r="I134">
        <v>40456.97</v>
      </c>
      <c r="K134" s="7"/>
    </row>
    <row r="135" spans="1:11">
      <c r="A135">
        <v>100000134</v>
      </c>
      <c r="B135" t="s">
        <v>197</v>
      </c>
      <c r="C135" t="s">
        <v>167</v>
      </c>
      <c r="D135" t="s">
        <v>11</v>
      </c>
      <c r="E135" s="9">
        <v>34</v>
      </c>
      <c r="F135" t="s">
        <v>12</v>
      </c>
      <c r="G135" t="s">
        <v>18</v>
      </c>
      <c r="H135" s="8">
        <v>42096</v>
      </c>
      <c r="I135">
        <v>44744.24</v>
      </c>
      <c r="K135" s="8"/>
    </row>
    <row r="136" spans="1:11">
      <c r="A136">
        <v>100000135</v>
      </c>
      <c r="B136" t="s">
        <v>111</v>
      </c>
      <c r="C136" t="s">
        <v>198</v>
      </c>
      <c r="D136" t="s">
        <v>11</v>
      </c>
      <c r="E136" s="9">
        <v>42</v>
      </c>
      <c r="F136" t="s">
        <v>12</v>
      </c>
      <c r="G136" t="s">
        <v>13</v>
      </c>
      <c r="H136" s="7">
        <v>42096</v>
      </c>
      <c r="I136">
        <v>56652.56</v>
      </c>
      <c r="K136" s="7"/>
    </row>
    <row r="137" spans="1:11">
      <c r="A137">
        <v>100000136</v>
      </c>
      <c r="B137" t="s">
        <v>199</v>
      </c>
      <c r="C137" t="s">
        <v>71</v>
      </c>
      <c r="D137" t="s">
        <v>11</v>
      </c>
      <c r="E137" s="9">
        <v>26</v>
      </c>
      <c r="F137" t="s">
        <v>12</v>
      </c>
      <c r="G137" t="s">
        <v>13</v>
      </c>
      <c r="H137" s="8">
        <v>42096</v>
      </c>
      <c r="I137">
        <v>12994.18</v>
      </c>
      <c r="K137" s="8"/>
    </row>
    <row r="138" spans="1:11">
      <c r="A138">
        <v>100000137</v>
      </c>
      <c r="B138" t="s">
        <v>200</v>
      </c>
      <c r="C138" t="s">
        <v>162</v>
      </c>
      <c r="D138" t="s">
        <v>16</v>
      </c>
      <c r="E138" s="9">
        <v>43</v>
      </c>
      <c r="F138" t="s">
        <v>12</v>
      </c>
      <c r="G138" t="s">
        <v>13</v>
      </c>
      <c r="H138" s="7">
        <v>42096</v>
      </c>
      <c r="I138">
        <v>42207.46</v>
      </c>
      <c r="K138" s="7"/>
    </row>
    <row r="139" spans="1:11">
      <c r="A139">
        <v>100000138</v>
      </c>
      <c r="B139" t="s">
        <v>64</v>
      </c>
      <c r="C139" t="s">
        <v>134</v>
      </c>
      <c r="D139" t="s">
        <v>11</v>
      </c>
      <c r="E139" s="9">
        <v>37</v>
      </c>
      <c r="F139" t="s">
        <v>12</v>
      </c>
      <c r="G139" t="s">
        <v>13</v>
      </c>
      <c r="H139" s="8">
        <v>42096</v>
      </c>
      <c r="I139">
        <v>10704.25</v>
      </c>
      <c r="K139" s="8"/>
    </row>
    <row r="140" spans="1:11">
      <c r="A140">
        <v>100000139</v>
      </c>
      <c r="B140" t="s">
        <v>166</v>
      </c>
      <c r="C140" t="s">
        <v>201</v>
      </c>
      <c r="D140" t="s">
        <v>16</v>
      </c>
      <c r="E140" s="9">
        <v>40</v>
      </c>
      <c r="F140" t="s">
        <v>12</v>
      </c>
      <c r="G140" t="s">
        <v>13</v>
      </c>
      <c r="H140" s="7">
        <v>42096</v>
      </c>
      <c r="I140">
        <v>57140.07</v>
      </c>
      <c r="K140" s="7"/>
    </row>
    <row r="141" spans="1:11">
      <c r="A141">
        <v>200000140</v>
      </c>
      <c r="B141" t="s">
        <v>202</v>
      </c>
      <c r="C141" t="s">
        <v>203</v>
      </c>
      <c r="D141" t="s">
        <v>11</v>
      </c>
      <c r="E141" s="9">
        <v>57</v>
      </c>
      <c r="F141" t="s">
        <v>32</v>
      </c>
      <c r="G141" t="s">
        <v>18</v>
      </c>
      <c r="H141" s="8">
        <v>42096</v>
      </c>
      <c r="I141">
        <v>40510.36</v>
      </c>
      <c r="K141" s="8"/>
    </row>
    <row r="142" spans="1:11">
      <c r="A142">
        <v>100000141</v>
      </c>
      <c r="B142" t="s">
        <v>126</v>
      </c>
      <c r="C142" t="s">
        <v>195</v>
      </c>
      <c r="D142" t="s">
        <v>16</v>
      </c>
      <c r="E142" s="9">
        <v>45</v>
      </c>
      <c r="F142" t="s">
        <v>12</v>
      </c>
      <c r="G142" t="s">
        <v>13</v>
      </c>
      <c r="H142" s="7">
        <v>42097</v>
      </c>
      <c r="I142">
        <v>36584.21</v>
      </c>
      <c r="K142" s="7"/>
    </row>
    <row r="143" spans="1:11">
      <c r="A143">
        <v>100000142</v>
      </c>
      <c r="B143" t="s">
        <v>204</v>
      </c>
      <c r="C143" t="s">
        <v>205</v>
      </c>
      <c r="D143" t="s">
        <v>11</v>
      </c>
      <c r="E143" s="9">
        <v>23</v>
      </c>
      <c r="F143" t="s">
        <v>12</v>
      </c>
      <c r="G143" t="s">
        <v>13</v>
      </c>
      <c r="H143" s="8">
        <v>42097</v>
      </c>
      <c r="I143">
        <v>10249.56</v>
      </c>
      <c r="K143" s="8"/>
    </row>
    <row r="144" spans="1:11">
      <c r="A144">
        <v>100000143</v>
      </c>
      <c r="B144" t="s">
        <v>72</v>
      </c>
      <c r="C144" t="s">
        <v>100</v>
      </c>
      <c r="D144" t="s">
        <v>11</v>
      </c>
      <c r="E144" s="9">
        <v>45</v>
      </c>
      <c r="F144" t="s">
        <v>12</v>
      </c>
      <c r="G144" t="s">
        <v>33</v>
      </c>
      <c r="H144" s="7">
        <v>42097</v>
      </c>
      <c r="I144">
        <v>40379.31</v>
      </c>
      <c r="K144" s="7"/>
    </row>
    <row r="145" spans="1:11">
      <c r="A145">
        <v>100000144</v>
      </c>
      <c r="B145" t="s">
        <v>206</v>
      </c>
      <c r="C145" t="s">
        <v>75</v>
      </c>
      <c r="D145" t="s">
        <v>11</v>
      </c>
      <c r="E145" s="9">
        <v>26</v>
      </c>
      <c r="F145" t="s">
        <v>12</v>
      </c>
      <c r="G145" t="s">
        <v>13</v>
      </c>
      <c r="H145" s="8">
        <v>42097</v>
      </c>
      <c r="I145">
        <v>4539.24</v>
      </c>
      <c r="K145" s="8"/>
    </row>
    <row r="146" spans="1:11">
      <c r="A146">
        <v>100000145</v>
      </c>
      <c r="B146" t="s">
        <v>207</v>
      </c>
      <c r="C146" t="s">
        <v>100</v>
      </c>
      <c r="D146" t="s">
        <v>11</v>
      </c>
      <c r="E146" s="9">
        <v>37</v>
      </c>
      <c r="F146" t="s">
        <v>12</v>
      </c>
      <c r="G146" t="s">
        <v>13</v>
      </c>
      <c r="H146" s="7">
        <v>42098</v>
      </c>
      <c r="I146">
        <v>89120.92</v>
      </c>
      <c r="K146" s="7"/>
    </row>
    <row r="147" spans="1:11">
      <c r="A147">
        <v>100000146</v>
      </c>
      <c r="B147" t="s">
        <v>208</v>
      </c>
      <c r="C147" t="s">
        <v>209</v>
      </c>
      <c r="D147" t="s">
        <v>11</v>
      </c>
      <c r="E147" s="9">
        <v>41</v>
      </c>
      <c r="F147" t="s">
        <v>12</v>
      </c>
      <c r="G147" t="s">
        <v>13</v>
      </c>
      <c r="H147" s="8">
        <v>42099</v>
      </c>
      <c r="I147">
        <v>51707.8</v>
      </c>
      <c r="K147" s="8"/>
    </row>
    <row r="148" spans="1:11">
      <c r="A148">
        <v>100000147</v>
      </c>
      <c r="B148" t="s">
        <v>186</v>
      </c>
      <c r="C148" t="s">
        <v>210</v>
      </c>
      <c r="D148" t="s">
        <v>11</v>
      </c>
      <c r="E148" s="9">
        <v>33</v>
      </c>
      <c r="F148" t="s">
        <v>12</v>
      </c>
      <c r="G148" t="s">
        <v>13</v>
      </c>
      <c r="H148" s="7">
        <v>42099</v>
      </c>
      <c r="I148">
        <v>4940.82</v>
      </c>
      <c r="K148" s="7"/>
    </row>
    <row r="149" spans="1:11">
      <c r="A149">
        <v>100000148</v>
      </c>
      <c r="B149" t="s">
        <v>44</v>
      </c>
      <c r="C149" t="s">
        <v>211</v>
      </c>
      <c r="D149" t="s">
        <v>16</v>
      </c>
      <c r="E149" s="9">
        <v>37</v>
      </c>
      <c r="F149" t="s">
        <v>12</v>
      </c>
      <c r="G149" t="s">
        <v>13</v>
      </c>
      <c r="H149" s="8">
        <v>42099</v>
      </c>
      <c r="I149">
        <v>48405.93</v>
      </c>
      <c r="K149" s="8"/>
    </row>
    <row r="150" spans="1:11">
      <c r="A150">
        <v>100000149</v>
      </c>
      <c r="B150" t="s">
        <v>145</v>
      </c>
      <c r="C150" t="s">
        <v>157</v>
      </c>
      <c r="D150" t="s">
        <v>11</v>
      </c>
      <c r="E150" s="9">
        <v>33</v>
      </c>
      <c r="F150" t="s">
        <v>12</v>
      </c>
      <c r="G150" t="s">
        <v>13</v>
      </c>
      <c r="H150" s="7">
        <v>42099</v>
      </c>
      <c r="I150">
        <v>32467.1</v>
      </c>
      <c r="K150" s="7"/>
    </row>
    <row r="151" spans="1:11">
      <c r="A151">
        <v>100000150</v>
      </c>
      <c r="B151" t="s">
        <v>149</v>
      </c>
      <c r="C151" t="s">
        <v>212</v>
      </c>
      <c r="D151" t="s">
        <v>16</v>
      </c>
      <c r="E151" s="9">
        <v>29</v>
      </c>
      <c r="F151" t="s">
        <v>12</v>
      </c>
      <c r="G151" t="s">
        <v>13</v>
      </c>
      <c r="H151" s="8">
        <v>42099</v>
      </c>
      <c r="I151">
        <v>4020.51</v>
      </c>
      <c r="K151" s="8"/>
    </row>
    <row r="152" spans="1:11">
      <c r="A152">
        <v>100000151</v>
      </c>
      <c r="B152" t="s">
        <v>213</v>
      </c>
      <c r="C152" t="s">
        <v>39</v>
      </c>
      <c r="D152" t="s">
        <v>11</v>
      </c>
      <c r="E152" s="9">
        <v>33</v>
      </c>
      <c r="F152" t="s">
        <v>12</v>
      </c>
      <c r="G152" t="s">
        <v>13</v>
      </c>
      <c r="H152" s="7">
        <v>42099</v>
      </c>
      <c r="I152">
        <v>5160.2700000000004</v>
      </c>
      <c r="K152" s="7"/>
    </row>
    <row r="153" spans="1:11">
      <c r="A153">
        <v>100000152</v>
      </c>
      <c r="B153" t="s">
        <v>214</v>
      </c>
      <c r="C153" t="s">
        <v>210</v>
      </c>
      <c r="D153" t="s">
        <v>11</v>
      </c>
      <c r="E153" s="9">
        <v>32</v>
      </c>
      <c r="F153" t="s">
        <v>12</v>
      </c>
      <c r="G153" t="s">
        <v>13</v>
      </c>
      <c r="H153" s="8">
        <v>42099</v>
      </c>
      <c r="I153">
        <v>51576.88</v>
      </c>
      <c r="K153" s="8"/>
    </row>
    <row r="154" spans="1:11">
      <c r="A154">
        <v>100000153</v>
      </c>
      <c r="B154" t="s">
        <v>215</v>
      </c>
      <c r="C154" t="s">
        <v>129</v>
      </c>
      <c r="D154" t="s">
        <v>16</v>
      </c>
      <c r="E154" s="9">
        <v>36</v>
      </c>
      <c r="F154" t="s">
        <v>12</v>
      </c>
      <c r="G154" t="s">
        <v>13</v>
      </c>
      <c r="H154" s="7">
        <v>42099</v>
      </c>
      <c r="I154">
        <v>57019.91</v>
      </c>
      <c r="K154" s="7"/>
    </row>
    <row r="155" spans="1:11">
      <c r="A155">
        <v>100000154</v>
      </c>
      <c r="B155" t="s">
        <v>118</v>
      </c>
      <c r="C155" t="s">
        <v>167</v>
      </c>
      <c r="D155" t="s">
        <v>11</v>
      </c>
      <c r="E155" s="9">
        <v>46</v>
      </c>
      <c r="F155" t="s">
        <v>12</v>
      </c>
      <c r="G155" t="s">
        <v>13</v>
      </c>
      <c r="H155" s="8">
        <v>42099</v>
      </c>
      <c r="I155">
        <v>57365.32</v>
      </c>
      <c r="K155" s="8"/>
    </row>
    <row r="156" spans="1:11">
      <c r="A156">
        <v>100000155</v>
      </c>
      <c r="B156" t="s">
        <v>175</v>
      </c>
      <c r="C156" t="s">
        <v>216</v>
      </c>
      <c r="D156" t="s">
        <v>11</v>
      </c>
      <c r="E156" s="9">
        <v>33</v>
      </c>
      <c r="F156" t="s">
        <v>12</v>
      </c>
      <c r="G156" t="s">
        <v>18</v>
      </c>
      <c r="H156" s="7">
        <v>42099</v>
      </c>
      <c r="I156">
        <v>1455.6</v>
      </c>
      <c r="K156" s="7"/>
    </row>
    <row r="157" spans="1:11">
      <c r="A157">
        <v>100000156</v>
      </c>
      <c r="B157" t="s">
        <v>101</v>
      </c>
      <c r="C157" t="s">
        <v>127</v>
      </c>
      <c r="D157" t="s">
        <v>11</v>
      </c>
      <c r="E157" s="9">
        <v>24</v>
      </c>
      <c r="F157" t="s">
        <v>12</v>
      </c>
      <c r="G157" t="s">
        <v>33</v>
      </c>
      <c r="H157" s="8">
        <v>42099</v>
      </c>
      <c r="I157">
        <v>36256.199999999997</v>
      </c>
      <c r="K157" s="8"/>
    </row>
    <row r="158" spans="1:11">
      <c r="A158">
        <v>100000157</v>
      </c>
      <c r="B158" t="s">
        <v>217</v>
      </c>
      <c r="C158" t="s">
        <v>87</v>
      </c>
      <c r="D158" t="s">
        <v>11</v>
      </c>
      <c r="E158" s="9">
        <v>32</v>
      </c>
      <c r="F158" t="s">
        <v>12</v>
      </c>
      <c r="G158" t="s">
        <v>13</v>
      </c>
      <c r="H158" s="7">
        <v>42099</v>
      </c>
      <c r="I158">
        <v>24927.39</v>
      </c>
      <c r="K158" s="7"/>
    </row>
    <row r="159" spans="1:11">
      <c r="A159">
        <v>100000158</v>
      </c>
      <c r="B159" t="s">
        <v>133</v>
      </c>
      <c r="C159" t="s">
        <v>167</v>
      </c>
      <c r="D159" t="s">
        <v>11</v>
      </c>
      <c r="E159" s="9">
        <v>26</v>
      </c>
      <c r="F159" t="s">
        <v>12</v>
      </c>
      <c r="G159" t="s">
        <v>13</v>
      </c>
      <c r="H159" s="8">
        <v>42099</v>
      </c>
      <c r="I159">
        <v>1009.69</v>
      </c>
      <c r="K159" s="8"/>
    </row>
    <row r="160" spans="1:11">
      <c r="A160">
        <v>100000159</v>
      </c>
      <c r="B160" t="s">
        <v>70</v>
      </c>
      <c r="C160" t="s">
        <v>43</v>
      </c>
      <c r="D160" t="s">
        <v>11</v>
      </c>
      <c r="E160" s="9">
        <v>30</v>
      </c>
      <c r="F160" t="s">
        <v>12</v>
      </c>
      <c r="G160" t="s">
        <v>13</v>
      </c>
      <c r="H160" s="7">
        <v>42099</v>
      </c>
      <c r="I160">
        <v>21871.43</v>
      </c>
      <c r="K160" s="7"/>
    </row>
    <row r="161" spans="1:11">
      <c r="A161">
        <v>100000160</v>
      </c>
      <c r="B161" t="s">
        <v>218</v>
      </c>
      <c r="C161" t="s">
        <v>219</v>
      </c>
      <c r="D161" t="s">
        <v>11</v>
      </c>
      <c r="E161" s="9">
        <v>38</v>
      </c>
      <c r="F161" t="s">
        <v>12</v>
      </c>
      <c r="G161" t="s">
        <v>13</v>
      </c>
      <c r="H161" s="8">
        <v>42099</v>
      </c>
      <c r="I161">
        <v>7602.94</v>
      </c>
      <c r="K161" s="8"/>
    </row>
    <row r="162" spans="1:11">
      <c r="A162">
        <v>100000161</v>
      </c>
      <c r="B162" t="s">
        <v>168</v>
      </c>
      <c r="C162" t="s">
        <v>167</v>
      </c>
      <c r="D162" t="s">
        <v>16</v>
      </c>
      <c r="E162" s="9">
        <v>42</v>
      </c>
      <c r="F162" t="s">
        <v>12</v>
      </c>
      <c r="G162" t="s">
        <v>13</v>
      </c>
      <c r="H162" s="7">
        <v>42099</v>
      </c>
      <c r="I162">
        <v>2337</v>
      </c>
      <c r="K162" s="7"/>
    </row>
    <row r="163" spans="1:11">
      <c r="A163">
        <v>100000162</v>
      </c>
      <c r="B163" t="s">
        <v>165</v>
      </c>
      <c r="C163" t="s">
        <v>138</v>
      </c>
      <c r="D163" t="s">
        <v>16</v>
      </c>
      <c r="E163" s="9">
        <v>36</v>
      </c>
      <c r="F163" t="s">
        <v>12</v>
      </c>
      <c r="G163" t="s">
        <v>33</v>
      </c>
      <c r="H163" s="8">
        <v>42099</v>
      </c>
      <c r="I163">
        <v>61541.83</v>
      </c>
      <c r="K163" s="8"/>
    </row>
    <row r="164" spans="1:11">
      <c r="A164">
        <v>100000163</v>
      </c>
      <c r="B164" t="s">
        <v>220</v>
      </c>
      <c r="C164" t="s">
        <v>94</v>
      </c>
      <c r="D164" t="s">
        <v>16</v>
      </c>
      <c r="E164" s="9">
        <v>39</v>
      </c>
      <c r="F164" t="s">
        <v>12</v>
      </c>
      <c r="G164" t="s">
        <v>13</v>
      </c>
      <c r="H164" s="7">
        <v>42099</v>
      </c>
      <c r="I164">
        <v>4120.66</v>
      </c>
      <c r="K164" s="7"/>
    </row>
    <row r="165" spans="1:11">
      <c r="A165">
        <v>200000164</v>
      </c>
      <c r="B165" t="s">
        <v>221</v>
      </c>
      <c r="C165" t="s">
        <v>10</v>
      </c>
      <c r="D165" t="s">
        <v>16</v>
      </c>
      <c r="E165" s="9">
        <v>59</v>
      </c>
      <c r="F165" t="s">
        <v>32</v>
      </c>
      <c r="G165" t="s">
        <v>33</v>
      </c>
      <c r="H165" s="8">
        <v>42099</v>
      </c>
      <c r="I165">
        <v>67524.87</v>
      </c>
      <c r="K165" s="8"/>
    </row>
    <row r="166" spans="1:11">
      <c r="A166">
        <v>200000165</v>
      </c>
      <c r="B166" t="s">
        <v>143</v>
      </c>
      <c r="C166" t="s">
        <v>203</v>
      </c>
      <c r="D166" t="s">
        <v>11</v>
      </c>
      <c r="E166" s="9">
        <v>52</v>
      </c>
      <c r="F166" t="s">
        <v>32</v>
      </c>
      <c r="G166" t="s">
        <v>18</v>
      </c>
      <c r="H166" s="7">
        <v>42099</v>
      </c>
      <c r="I166">
        <v>4371.9799999999996</v>
      </c>
      <c r="K166" s="7"/>
    </row>
    <row r="167" spans="1:11">
      <c r="A167">
        <v>200000166</v>
      </c>
      <c r="B167" t="s">
        <v>51</v>
      </c>
      <c r="C167" t="s">
        <v>222</v>
      </c>
      <c r="D167" t="s">
        <v>11</v>
      </c>
      <c r="E167" s="9">
        <v>51</v>
      </c>
      <c r="F167" t="s">
        <v>32</v>
      </c>
      <c r="G167" t="s">
        <v>18</v>
      </c>
      <c r="H167" s="8">
        <v>42099</v>
      </c>
      <c r="I167">
        <v>10229.629999999999</v>
      </c>
      <c r="K167" s="8"/>
    </row>
    <row r="168" spans="1:11">
      <c r="A168">
        <v>300000167</v>
      </c>
      <c r="B168" t="s">
        <v>107</v>
      </c>
      <c r="C168" t="s">
        <v>170</v>
      </c>
      <c r="D168" t="s">
        <v>11</v>
      </c>
      <c r="E168" s="9">
        <v>24</v>
      </c>
      <c r="F168" t="s">
        <v>23</v>
      </c>
      <c r="G168" t="s">
        <v>18</v>
      </c>
      <c r="H168" s="7">
        <v>42099</v>
      </c>
      <c r="I168">
        <v>19064.650000000001</v>
      </c>
      <c r="K168" s="7"/>
    </row>
    <row r="169" spans="1:11">
      <c r="A169">
        <v>300000168</v>
      </c>
      <c r="B169" t="s">
        <v>146</v>
      </c>
      <c r="C169" t="s">
        <v>80</v>
      </c>
      <c r="D169" t="s">
        <v>16</v>
      </c>
      <c r="E169" s="9">
        <v>30</v>
      </c>
      <c r="F169" t="s">
        <v>23</v>
      </c>
      <c r="G169" t="s">
        <v>13</v>
      </c>
      <c r="H169" s="8">
        <v>42099</v>
      </c>
      <c r="I169">
        <v>30846.82</v>
      </c>
      <c r="K169" s="8"/>
    </row>
    <row r="170" spans="1:11">
      <c r="A170">
        <v>100000169</v>
      </c>
      <c r="B170" t="s">
        <v>152</v>
      </c>
      <c r="C170" t="s">
        <v>125</v>
      </c>
      <c r="D170" t="s">
        <v>11</v>
      </c>
      <c r="E170" s="9">
        <v>39</v>
      </c>
      <c r="F170" t="s">
        <v>12</v>
      </c>
      <c r="G170" t="s">
        <v>18</v>
      </c>
      <c r="H170" s="7">
        <v>42100</v>
      </c>
      <c r="I170">
        <v>71396.66</v>
      </c>
      <c r="K170" s="7"/>
    </row>
    <row r="171" spans="1:11">
      <c r="A171">
        <v>100000170</v>
      </c>
      <c r="B171" t="s">
        <v>223</v>
      </c>
      <c r="C171" t="s">
        <v>224</v>
      </c>
      <c r="D171" t="s">
        <v>16</v>
      </c>
      <c r="E171" s="9">
        <v>32</v>
      </c>
      <c r="F171" t="s">
        <v>12</v>
      </c>
      <c r="G171" t="s">
        <v>33</v>
      </c>
      <c r="H171" s="8">
        <v>42100</v>
      </c>
      <c r="I171">
        <v>3290.79</v>
      </c>
      <c r="K171" s="8"/>
    </row>
    <row r="172" spans="1:11">
      <c r="A172">
        <v>100000171</v>
      </c>
      <c r="B172" t="s">
        <v>190</v>
      </c>
      <c r="C172" t="s">
        <v>63</v>
      </c>
      <c r="D172" t="s">
        <v>11</v>
      </c>
      <c r="E172" s="9">
        <v>38</v>
      </c>
      <c r="F172" t="s">
        <v>12</v>
      </c>
      <c r="G172" t="s">
        <v>13</v>
      </c>
      <c r="H172" s="7">
        <v>42100</v>
      </c>
      <c r="I172">
        <v>13181.22</v>
      </c>
      <c r="K172" s="7"/>
    </row>
    <row r="173" spans="1:11">
      <c r="A173">
        <v>100000172</v>
      </c>
      <c r="B173" t="s">
        <v>46</v>
      </c>
      <c r="C173" t="s">
        <v>225</v>
      </c>
      <c r="D173" t="s">
        <v>11</v>
      </c>
      <c r="E173" s="9">
        <v>42</v>
      </c>
      <c r="F173" t="s">
        <v>12</v>
      </c>
      <c r="G173" t="s">
        <v>18</v>
      </c>
      <c r="H173" s="8">
        <v>42100</v>
      </c>
      <c r="I173">
        <v>62923.29</v>
      </c>
      <c r="K173" s="8"/>
    </row>
    <row r="174" spans="1:11">
      <c r="A174">
        <v>100000173</v>
      </c>
      <c r="B174" t="s">
        <v>128</v>
      </c>
      <c r="C174" t="s">
        <v>29</v>
      </c>
      <c r="D174" t="s">
        <v>16</v>
      </c>
      <c r="E174" s="9">
        <v>26</v>
      </c>
      <c r="F174" t="s">
        <v>12</v>
      </c>
      <c r="G174" t="s">
        <v>13</v>
      </c>
      <c r="H174" s="7">
        <v>42100</v>
      </c>
      <c r="I174">
        <v>93353.93</v>
      </c>
      <c r="K174" s="7"/>
    </row>
    <row r="175" spans="1:11">
      <c r="A175">
        <v>100000174</v>
      </c>
      <c r="B175" t="s">
        <v>226</v>
      </c>
      <c r="C175" t="s">
        <v>227</v>
      </c>
      <c r="D175" t="s">
        <v>16</v>
      </c>
      <c r="E175" s="9">
        <v>31</v>
      </c>
      <c r="F175" t="s">
        <v>12</v>
      </c>
      <c r="G175" t="s">
        <v>13</v>
      </c>
      <c r="H175" s="8">
        <v>42100</v>
      </c>
      <c r="I175">
        <v>46078.71</v>
      </c>
      <c r="K175" s="8"/>
    </row>
    <row r="176" spans="1:11">
      <c r="A176">
        <v>100000175</v>
      </c>
      <c r="B176" t="s">
        <v>228</v>
      </c>
      <c r="C176" t="s">
        <v>164</v>
      </c>
      <c r="D176" t="s">
        <v>11</v>
      </c>
      <c r="E176" s="9">
        <v>31</v>
      </c>
      <c r="F176" t="s">
        <v>12</v>
      </c>
      <c r="G176" t="s">
        <v>13</v>
      </c>
      <c r="H176" s="7">
        <v>42100</v>
      </c>
      <c r="I176">
        <v>15986.62</v>
      </c>
      <c r="K176" s="7"/>
    </row>
    <row r="177" spans="1:11">
      <c r="A177">
        <v>100000176</v>
      </c>
      <c r="B177" t="s">
        <v>229</v>
      </c>
      <c r="C177" t="s">
        <v>85</v>
      </c>
      <c r="D177" t="s">
        <v>16</v>
      </c>
      <c r="E177" s="9">
        <v>25</v>
      </c>
      <c r="F177" t="s">
        <v>12</v>
      </c>
      <c r="G177" t="s">
        <v>13</v>
      </c>
      <c r="H177" s="8">
        <v>42100</v>
      </c>
      <c r="I177">
        <v>27384.85</v>
      </c>
      <c r="K177" s="8"/>
    </row>
    <row r="178" spans="1:11">
      <c r="A178">
        <v>100000177</v>
      </c>
      <c r="B178" t="s">
        <v>42</v>
      </c>
      <c r="C178" t="s">
        <v>230</v>
      </c>
      <c r="D178" t="s">
        <v>11</v>
      </c>
      <c r="E178" s="9">
        <v>35</v>
      </c>
      <c r="F178" t="s">
        <v>12</v>
      </c>
      <c r="G178" t="s">
        <v>13</v>
      </c>
      <c r="H178" s="7">
        <v>42100</v>
      </c>
      <c r="I178">
        <v>70349.320000000007</v>
      </c>
      <c r="K178" s="7"/>
    </row>
    <row r="179" spans="1:11">
      <c r="A179">
        <v>100000178</v>
      </c>
      <c r="B179" t="s">
        <v>122</v>
      </c>
      <c r="C179" t="s">
        <v>123</v>
      </c>
      <c r="D179" t="s">
        <v>11</v>
      </c>
      <c r="E179" s="9">
        <v>33</v>
      </c>
      <c r="F179" t="s">
        <v>12</v>
      </c>
      <c r="G179" t="s">
        <v>18</v>
      </c>
      <c r="H179" s="8">
        <v>42100</v>
      </c>
      <c r="I179">
        <v>60748.04</v>
      </c>
      <c r="K179" s="8"/>
    </row>
    <row r="180" spans="1:11">
      <c r="A180">
        <v>100000179</v>
      </c>
      <c r="B180" t="s">
        <v>122</v>
      </c>
      <c r="C180" t="s">
        <v>210</v>
      </c>
      <c r="D180" t="s">
        <v>11</v>
      </c>
      <c r="E180" s="9">
        <v>24</v>
      </c>
      <c r="F180" t="s">
        <v>12</v>
      </c>
      <c r="G180" t="s">
        <v>18</v>
      </c>
      <c r="H180" s="7">
        <v>42100</v>
      </c>
      <c r="I180">
        <v>52862.29</v>
      </c>
      <c r="K180" s="7"/>
    </row>
    <row r="181" spans="1:11">
      <c r="A181">
        <v>400000180</v>
      </c>
      <c r="B181" t="s">
        <v>231</v>
      </c>
      <c r="C181" t="s">
        <v>196</v>
      </c>
      <c r="D181" t="s">
        <v>11</v>
      </c>
      <c r="E181" s="9">
        <v>29</v>
      </c>
      <c r="F181" t="s">
        <v>17</v>
      </c>
      <c r="G181" t="s">
        <v>18</v>
      </c>
      <c r="H181" s="8">
        <v>42100</v>
      </c>
      <c r="I181">
        <v>20516.509999999998</v>
      </c>
      <c r="K181" s="8"/>
    </row>
    <row r="182" spans="1:11">
      <c r="A182">
        <v>100000181</v>
      </c>
      <c r="B182" t="s">
        <v>232</v>
      </c>
      <c r="C182" t="s">
        <v>233</v>
      </c>
      <c r="D182" t="s">
        <v>16</v>
      </c>
      <c r="E182" s="9">
        <v>32</v>
      </c>
      <c r="F182" t="s">
        <v>12</v>
      </c>
      <c r="G182" t="s">
        <v>13</v>
      </c>
      <c r="H182" s="7">
        <v>42101</v>
      </c>
      <c r="I182">
        <v>99806.54</v>
      </c>
      <c r="K182" s="7"/>
    </row>
    <row r="183" spans="1:11">
      <c r="A183">
        <v>100000182</v>
      </c>
      <c r="B183" t="s">
        <v>234</v>
      </c>
      <c r="C183" t="s">
        <v>100</v>
      </c>
      <c r="D183" t="s">
        <v>11</v>
      </c>
      <c r="E183" s="9">
        <v>36</v>
      </c>
      <c r="F183" t="s">
        <v>12</v>
      </c>
      <c r="G183" t="s">
        <v>13</v>
      </c>
      <c r="H183" s="8">
        <v>42101</v>
      </c>
      <c r="I183">
        <v>21236.23</v>
      </c>
      <c r="K183" s="8"/>
    </row>
    <row r="184" spans="1:11">
      <c r="A184">
        <v>100000183</v>
      </c>
      <c r="B184" t="s">
        <v>235</v>
      </c>
      <c r="C184" t="s">
        <v>123</v>
      </c>
      <c r="D184" t="s">
        <v>11</v>
      </c>
      <c r="E184" s="9">
        <v>31</v>
      </c>
      <c r="F184" t="s">
        <v>12</v>
      </c>
      <c r="G184" t="s">
        <v>13</v>
      </c>
      <c r="H184" s="7">
        <v>42101</v>
      </c>
      <c r="I184">
        <v>115312.87</v>
      </c>
      <c r="K184" s="7"/>
    </row>
    <row r="185" spans="1:11">
      <c r="A185">
        <v>100000184</v>
      </c>
      <c r="B185" t="s">
        <v>193</v>
      </c>
      <c r="C185" t="s">
        <v>67</v>
      </c>
      <c r="D185" t="s">
        <v>11</v>
      </c>
      <c r="E185" s="9">
        <v>33</v>
      </c>
      <c r="F185" t="s">
        <v>12</v>
      </c>
      <c r="G185" t="s">
        <v>33</v>
      </c>
      <c r="H185" s="8">
        <v>42101</v>
      </c>
      <c r="I185">
        <v>80564.87</v>
      </c>
      <c r="K185" s="8"/>
    </row>
    <row r="186" spans="1:11">
      <c r="A186">
        <v>100000185</v>
      </c>
      <c r="B186" t="s">
        <v>107</v>
      </c>
      <c r="C186" t="s">
        <v>189</v>
      </c>
      <c r="D186" t="s">
        <v>11</v>
      </c>
      <c r="E186" s="9">
        <v>40</v>
      </c>
      <c r="F186" t="s">
        <v>12</v>
      </c>
      <c r="G186" t="s">
        <v>33</v>
      </c>
      <c r="H186" s="7">
        <v>42101</v>
      </c>
      <c r="I186">
        <v>21351.4</v>
      </c>
      <c r="K186" s="7"/>
    </row>
    <row r="187" spans="1:11">
      <c r="A187">
        <v>200000186</v>
      </c>
      <c r="B187" t="s">
        <v>236</v>
      </c>
      <c r="C187" t="s">
        <v>104</v>
      </c>
      <c r="D187" t="s">
        <v>16</v>
      </c>
      <c r="E187" s="9">
        <v>51</v>
      </c>
      <c r="F187" t="s">
        <v>32</v>
      </c>
      <c r="G187" t="s">
        <v>33</v>
      </c>
      <c r="H187" s="8">
        <v>42101</v>
      </c>
      <c r="I187">
        <v>58953.83</v>
      </c>
      <c r="K187" s="8"/>
    </row>
    <row r="188" spans="1:11">
      <c r="A188">
        <v>100000187</v>
      </c>
      <c r="B188" t="s">
        <v>165</v>
      </c>
      <c r="C188" t="s">
        <v>22</v>
      </c>
      <c r="D188" t="s">
        <v>16</v>
      </c>
      <c r="E188" s="9">
        <v>46</v>
      </c>
      <c r="F188" t="s">
        <v>12</v>
      </c>
      <c r="G188" t="s">
        <v>13</v>
      </c>
      <c r="H188" s="7">
        <v>42102</v>
      </c>
      <c r="I188">
        <v>40685.39</v>
      </c>
      <c r="K188" s="7"/>
    </row>
    <row r="189" spans="1:11">
      <c r="A189">
        <v>100000188</v>
      </c>
      <c r="B189" t="s">
        <v>146</v>
      </c>
      <c r="C189" t="s">
        <v>136</v>
      </c>
      <c r="D189" t="s">
        <v>16</v>
      </c>
      <c r="E189" s="9">
        <v>29</v>
      </c>
      <c r="F189" t="s">
        <v>12</v>
      </c>
      <c r="G189" t="s">
        <v>13</v>
      </c>
      <c r="H189" s="8">
        <v>42102</v>
      </c>
      <c r="I189">
        <v>22659.88</v>
      </c>
      <c r="K189" s="8"/>
    </row>
    <row r="190" spans="1:11">
      <c r="A190">
        <v>100000189</v>
      </c>
      <c r="B190" t="s">
        <v>229</v>
      </c>
      <c r="C190" t="s">
        <v>224</v>
      </c>
      <c r="D190" t="s">
        <v>16</v>
      </c>
      <c r="E190" s="9">
        <v>40</v>
      </c>
      <c r="F190" t="s">
        <v>12</v>
      </c>
      <c r="G190" t="s">
        <v>13</v>
      </c>
      <c r="H190" s="7">
        <v>42102</v>
      </c>
      <c r="I190">
        <v>9431.0400000000009</v>
      </c>
      <c r="K190" s="7"/>
    </row>
    <row r="191" spans="1:11">
      <c r="A191">
        <v>100000190</v>
      </c>
      <c r="B191" t="s">
        <v>182</v>
      </c>
      <c r="C191" t="s">
        <v>237</v>
      </c>
      <c r="D191" t="s">
        <v>16</v>
      </c>
      <c r="E191" s="9">
        <v>25</v>
      </c>
      <c r="F191" t="s">
        <v>12</v>
      </c>
      <c r="G191" t="s">
        <v>33</v>
      </c>
      <c r="H191" s="8">
        <v>42102</v>
      </c>
      <c r="I191">
        <v>58714.66</v>
      </c>
      <c r="K191" s="8"/>
    </row>
    <row r="192" spans="1:11">
      <c r="A192">
        <v>200000191</v>
      </c>
      <c r="B192" t="s">
        <v>57</v>
      </c>
      <c r="C192" t="s">
        <v>69</v>
      </c>
      <c r="D192" t="s">
        <v>11</v>
      </c>
      <c r="E192" s="9">
        <v>51</v>
      </c>
      <c r="F192" t="s">
        <v>32</v>
      </c>
      <c r="G192" t="s">
        <v>18</v>
      </c>
      <c r="H192" s="7">
        <v>42102</v>
      </c>
      <c r="I192">
        <v>1239.5999999999999</v>
      </c>
      <c r="K192" s="7"/>
    </row>
    <row r="193" spans="1:11">
      <c r="A193">
        <v>100000192</v>
      </c>
      <c r="B193" t="s">
        <v>129</v>
      </c>
      <c r="C193" t="s">
        <v>152</v>
      </c>
      <c r="D193" t="s">
        <v>11</v>
      </c>
      <c r="E193" s="9">
        <v>39</v>
      </c>
      <c r="F193" t="s">
        <v>12</v>
      </c>
      <c r="G193" t="s">
        <v>13</v>
      </c>
      <c r="H193" s="8">
        <v>42103</v>
      </c>
      <c r="I193">
        <v>48396.17</v>
      </c>
      <c r="K193" s="8"/>
    </row>
    <row r="194" spans="1:11">
      <c r="A194">
        <v>100000193</v>
      </c>
      <c r="B194" t="s">
        <v>154</v>
      </c>
      <c r="C194" t="s">
        <v>195</v>
      </c>
      <c r="D194" t="s">
        <v>16</v>
      </c>
      <c r="E194" s="9">
        <v>44</v>
      </c>
      <c r="F194" t="s">
        <v>12</v>
      </c>
      <c r="G194" t="s">
        <v>33</v>
      </c>
      <c r="H194" s="7">
        <v>42104</v>
      </c>
      <c r="I194">
        <v>12283.3</v>
      </c>
      <c r="K194" s="7"/>
    </row>
    <row r="195" spans="1:11">
      <c r="A195">
        <v>100000194</v>
      </c>
      <c r="B195" t="s">
        <v>103</v>
      </c>
      <c r="C195" t="s">
        <v>67</v>
      </c>
      <c r="D195" t="s">
        <v>11</v>
      </c>
      <c r="E195" s="9">
        <v>40</v>
      </c>
      <c r="F195" t="s">
        <v>12</v>
      </c>
      <c r="G195" t="s">
        <v>13</v>
      </c>
      <c r="H195" s="8">
        <v>42104</v>
      </c>
      <c r="I195">
        <v>29331.41</v>
      </c>
      <c r="K195" s="8"/>
    </row>
    <row r="196" spans="1:11">
      <c r="A196">
        <v>100000195</v>
      </c>
      <c r="B196" t="s">
        <v>220</v>
      </c>
      <c r="C196" t="s">
        <v>238</v>
      </c>
      <c r="D196" t="s">
        <v>16</v>
      </c>
      <c r="E196" s="9">
        <v>35</v>
      </c>
      <c r="F196" t="s">
        <v>12</v>
      </c>
      <c r="G196" t="s">
        <v>13</v>
      </c>
      <c r="H196" s="7">
        <v>42104</v>
      </c>
      <c r="I196">
        <v>16390.11</v>
      </c>
      <c r="K196" s="7"/>
    </row>
    <row r="197" spans="1:11">
      <c r="A197">
        <v>100000196</v>
      </c>
      <c r="B197" t="s">
        <v>62</v>
      </c>
      <c r="C197" t="s">
        <v>160</v>
      </c>
      <c r="D197" t="s">
        <v>16</v>
      </c>
      <c r="E197" s="9">
        <v>32</v>
      </c>
      <c r="F197" t="s">
        <v>12</v>
      </c>
      <c r="G197" t="s">
        <v>13</v>
      </c>
      <c r="H197" s="8">
        <v>42104</v>
      </c>
      <c r="I197">
        <v>87203.66</v>
      </c>
      <c r="K197" s="8"/>
    </row>
    <row r="198" spans="1:11">
      <c r="A198">
        <v>100000197</v>
      </c>
      <c r="B198" t="s">
        <v>152</v>
      </c>
      <c r="C198" t="s">
        <v>170</v>
      </c>
      <c r="D198" t="s">
        <v>11</v>
      </c>
      <c r="E198" s="9">
        <v>38</v>
      </c>
      <c r="F198" t="s">
        <v>12</v>
      </c>
      <c r="G198" t="s">
        <v>18</v>
      </c>
      <c r="H198" s="7">
        <v>42105</v>
      </c>
      <c r="I198">
        <v>3141.6</v>
      </c>
      <c r="K198" s="7"/>
    </row>
    <row r="199" spans="1:11">
      <c r="A199">
        <v>100000198</v>
      </c>
      <c r="B199" t="s">
        <v>175</v>
      </c>
      <c r="C199" t="s">
        <v>239</v>
      </c>
      <c r="D199" t="s">
        <v>11</v>
      </c>
      <c r="E199" s="9">
        <v>29</v>
      </c>
      <c r="F199" t="s">
        <v>12</v>
      </c>
      <c r="G199" t="s">
        <v>13</v>
      </c>
      <c r="H199" s="8">
        <v>42105</v>
      </c>
      <c r="I199">
        <v>2299.2600000000002</v>
      </c>
      <c r="K199" s="8"/>
    </row>
    <row r="200" spans="1:11">
      <c r="A200">
        <v>100000199</v>
      </c>
      <c r="B200" t="s">
        <v>14</v>
      </c>
      <c r="C200" t="s">
        <v>91</v>
      </c>
      <c r="D200" t="s">
        <v>16</v>
      </c>
      <c r="E200" s="9">
        <v>31</v>
      </c>
      <c r="F200" t="s">
        <v>12</v>
      </c>
      <c r="G200" t="s">
        <v>18</v>
      </c>
      <c r="H200" s="7">
        <v>42105</v>
      </c>
      <c r="I200">
        <v>44162.06</v>
      </c>
      <c r="K200" s="7"/>
    </row>
    <row r="201" spans="1:11">
      <c r="A201">
        <v>100000200</v>
      </c>
      <c r="B201" t="s">
        <v>81</v>
      </c>
      <c r="C201" t="s">
        <v>71</v>
      </c>
      <c r="D201" t="s">
        <v>16</v>
      </c>
      <c r="E201" s="9">
        <v>47</v>
      </c>
      <c r="F201" t="s">
        <v>12</v>
      </c>
      <c r="G201" t="s">
        <v>13</v>
      </c>
      <c r="H201" s="8">
        <v>42105</v>
      </c>
      <c r="I201">
        <v>90868.86</v>
      </c>
      <c r="K201" s="8"/>
    </row>
    <row r="202" spans="1:11">
      <c r="A202">
        <v>100000201</v>
      </c>
      <c r="B202" t="s">
        <v>129</v>
      </c>
      <c r="C202" t="s">
        <v>185</v>
      </c>
      <c r="D202" t="s">
        <v>11</v>
      </c>
      <c r="E202" s="9">
        <v>34</v>
      </c>
      <c r="F202" t="s">
        <v>12</v>
      </c>
      <c r="G202" t="s">
        <v>33</v>
      </c>
      <c r="H202" s="7">
        <v>42106</v>
      </c>
      <c r="I202">
        <v>37985.15</v>
      </c>
      <c r="K202" s="7"/>
    </row>
    <row r="203" spans="1:11">
      <c r="A203">
        <v>100000202</v>
      </c>
      <c r="B203" t="s">
        <v>117</v>
      </c>
      <c r="C203" t="s">
        <v>240</v>
      </c>
      <c r="D203" t="s">
        <v>16</v>
      </c>
      <c r="E203" s="9">
        <v>37</v>
      </c>
      <c r="F203" t="s">
        <v>12</v>
      </c>
      <c r="G203" t="s">
        <v>13</v>
      </c>
      <c r="H203" s="8">
        <v>42106</v>
      </c>
      <c r="I203">
        <v>54630.38</v>
      </c>
      <c r="K203" s="8"/>
    </row>
    <row r="204" spans="1:11">
      <c r="A204">
        <v>100000203</v>
      </c>
      <c r="B204" t="s">
        <v>83</v>
      </c>
      <c r="C204" t="s">
        <v>216</v>
      </c>
      <c r="D204" t="s">
        <v>16</v>
      </c>
      <c r="E204" s="9">
        <v>40</v>
      </c>
      <c r="F204" t="s">
        <v>12</v>
      </c>
      <c r="G204" t="s">
        <v>13</v>
      </c>
      <c r="H204" s="7">
        <v>42106</v>
      </c>
      <c r="I204">
        <v>60648.52</v>
      </c>
      <c r="K204" s="7"/>
    </row>
    <row r="205" spans="1:11">
      <c r="A205">
        <v>100000204</v>
      </c>
      <c r="B205" t="s">
        <v>117</v>
      </c>
      <c r="C205" t="s">
        <v>241</v>
      </c>
      <c r="D205" t="s">
        <v>16</v>
      </c>
      <c r="E205" s="9">
        <v>26</v>
      </c>
      <c r="F205" t="s">
        <v>12</v>
      </c>
      <c r="G205" t="s">
        <v>13</v>
      </c>
      <c r="H205" s="8">
        <v>42106</v>
      </c>
      <c r="I205">
        <v>18894.189999999999</v>
      </c>
      <c r="K205" s="8"/>
    </row>
    <row r="206" spans="1:11">
      <c r="A206">
        <v>100000205</v>
      </c>
      <c r="B206" t="s">
        <v>194</v>
      </c>
      <c r="C206" t="s">
        <v>212</v>
      </c>
      <c r="D206" t="s">
        <v>16</v>
      </c>
      <c r="E206" s="9">
        <v>25</v>
      </c>
      <c r="F206" t="s">
        <v>12</v>
      </c>
      <c r="G206" t="s">
        <v>18</v>
      </c>
      <c r="H206" s="7">
        <v>42106</v>
      </c>
      <c r="I206">
        <v>79603.360000000001</v>
      </c>
      <c r="K206" s="7"/>
    </row>
    <row r="207" spans="1:11">
      <c r="A207">
        <v>100000206</v>
      </c>
      <c r="B207" t="s">
        <v>150</v>
      </c>
      <c r="C207" t="s">
        <v>189</v>
      </c>
      <c r="D207" t="s">
        <v>16</v>
      </c>
      <c r="E207" s="9">
        <v>36</v>
      </c>
      <c r="F207" t="s">
        <v>12</v>
      </c>
      <c r="G207" t="s">
        <v>13</v>
      </c>
      <c r="H207" s="8">
        <v>42106</v>
      </c>
      <c r="I207">
        <v>109026.81</v>
      </c>
      <c r="K207" s="8"/>
    </row>
    <row r="208" spans="1:11">
      <c r="A208">
        <v>100000207</v>
      </c>
      <c r="B208" t="s">
        <v>152</v>
      </c>
      <c r="C208" t="s">
        <v>96</v>
      </c>
      <c r="D208" t="s">
        <v>11</v>
      </c>
      <c r="E208" s="9">
        <v>41</v>
      </c>
      <c r="F208" t="s">
        <v>12</v>
      </c>
      <c r="G208" t="s">
        <v>13</v>
      </c>
      <c r="H208" s="7">
        <v>42106</v>
      </c>
      <c r="I208">
        <v>73998.37</v>
      </c>
      <c r="K208" s="7"/>
    </row>
    <row r="209" spans="1:11">
      <c r="A209">
        <v>100000208</v>
      </c>
      <c r="B209" t="s">
        <v>112</v>
      </c>
      <c r="C209" t="s">
        <v>37</v>
      </c>
      <c r="D209" t="s">
        <v>11</v>
      </c>
      <c r="E209" s="9">
        <v>39</v>
      </c>
      <c r="F209" t="s">
        <v>12</v>
      </c>
      <c r="G209" t="s">
        <v>13</v>
      </c>
      <c r="H209" s="8">
        <v>42106</v>
      </c>
      <c r="I209">
        <v>3734.24</v>
      </c>
      <c r="K209" s="8"/>
    </row>
    <row r="210" spans="1:11">
      <c r="A210">
        <v>100000209</v>
      </c>
      <c r="B210" t="s">
        <v>235</v>
      </c>
      <c r="C210" t="s">
        <v>124</v>
      </c>
      <c r="D210" t="s">
        <v>11</v>
      </c>
      <c r="E210" s="9">
        <v>39</v>
      </c>
      <c r="F210" t="s">
        <v>12</v>
      </c>
      <c r="G210" t="s">
        <v>18</v>
      </c>
      <c r="H210" s="7">
        <v>42106</v>
      </c>
      <c r="I210">
        <v>23322.33</v>
      </c>
      <c r="K210" s="7"/>
    </row>
    <row r="211" spans="1:11">
      <c r="A211">
        <v>200000210</v>
      </c>
      <c r="B211" t="s">
        <v>152</v>
      </c>
      <c r="C211" t="s">
        <v>242</v>
      </c>
      <c r="D211" t="s">
        <v>11</v>
      </c>
      <c r="E211" s="9">
        <v>44</v>
      </c>
      <c r="F211" t="s">
        <v>32</v>
      </c>
      <c r="G211" t="s">
        <v>18</v>
      </c>
      <c r="H211" s="8">
        <v>42106</v>
      </c>
      <c r="I211">
        <v>64482.16</v>
      </c>
      <c r="K211" s="8"/>
    </row>
    <row r="212" spans="1:11">
      <c r="A212">
        <v>100000211</v>
      </c>
      <c r="B212" t="s">
        <v>86</v>
      </c>
      <c r="C212" t="s">
        <v>195</v>
      </c>
      <c r="D212" t="s">
        <v>11</v>
      </c>
      <c r="E212" s="9">
        <v>39</v>
      </c>
      <c r="F212" t="s">
        <v>12</v>
      </c>
      <c r="G212" t="s">
        <v>13</v>
      </c>
      <c r="H212" s="7">
        <v>42107</v>
      </c>
      <c r="I212">
        <v>52505.16</v>
      </c>
      <c r="K212" s="7"/>
    </row>
    <row r="213" spans="1:11">
      <c r="A213">
        <v>100000212</v>
      </c>
      <c r="B213" t="s">
        <v>231</v>
      </c>
      <c r="C213" t="s">
        <v>239</v>
      </c>
      <c r="D213" t="s">
        <v>11</v>
      </c>
      <c r="E213" s="9">
        <v>34</v>
      </c>
      <c r="F213" t="s">
        <v>12</v>
      </c>
      <c r="G213" t="s">
        <v>13</v>
      </c>
      <c r="H213" s="8">
        <v>42107</v>
      </c>
      <c r="I213">
        <v>16569.82</v>
      </c>
      <c r="K213" s="8"/>
    </row>
    <row r="214" spans="1:11">
      <c r="A214">
        <v>100000213</v>
      </c>
      <c r="B214" t="s">
        <v>243</v>
      </c>
      <c r="C214" t="s">
        <v>39</v>
      </c>
      <c r="D214" t="s">
        <v>16</v>
      </c>
      <c r="E214" s="9">
        <v>29</v>
      </c>
      <c r="F214" t="s">
        <v>12</v>
      </c>
      <c r="G214" t="s">
        <v>18</v>
      </c>
      <c r="H214" s="7">
        <v>42107</v>
      </c>
      <c r="I214">
        <v>21065.22</v>
      </c>
      <c r="K214" s="7"/>
    </row>
    <row r="215" spans="1:11">
      <c r="A215">
        <v>100000214</v>
      </c>
      <c r="B215" t="s">
        <v>244</v>
      </c>
      <c r="C215" t="s">
        <v>59</v>
      </c>
      <c r="D215" t="s">
        <v>16</v>
      </c>
      <c r="E215" s="9">
        <v>21</v>
      </c>
      <c r="F215" t="s">
        <v>12</v>
      </c>
      <c r="G215" t="s">
        <v>33</v>
      </c>
      <c r="H215" s="8">
        <v>42107</v>
      </c>
      <c r="I215">
        <v>13487.9</v>
      </c>
      <c r="K215" s="8"/>
    </row>
    <row r="216" spans="1:11">
      <c r="A216">
        <v>100000215</v>
      </c>
      <c r="B216" t="s">
        <v>245</v>
      </c>
      <c r="C216" t="s">
        <v>246</v>
      </c>
      <c r="D216" t="s">
        <v>11</v>
      </c>
      <c r="E216" s="9">
        <v>39</v>
      </c>
      <c r="F216" t="s">
        <v>12</v>
      </c>
      <c r="G216" t="s">
        <v>18</v>
      </c>
      <c r="H216" s="7">
        <v>42107</v>
      </c>
      <c r="I216">
        <v>34338.839999999997</v>
      </c>
      <c r="K216" s="7"/>
    </row>
    <row r="217" spans="1:11">
      <c r="A217">
        <v>100000216</v>
      </c>
      <c r="B217" t="s">
        <v>177</v>
      </c>
      <c r="C217" t="s">
        <v>247</v>
      </c>
      <c r="D217" t="s">
        <v>11</v>
      </c>
      <c r="E217" s="9">
        <v>38</v>
      </c>
      <c r="F217" t="s">
        <v>12</v>
      </c>
      <c r="G217" t="s">
        <v>13</v>
      </c>
      <c r="H217" s="8">
        <v>42107</v>
      </c>
      <c r="I217">
        <v>48146.54</v>
      </c>
      <c r="K217" s="8"/>
    </row>
    <row r="218" spans="1:11">
      <c r="A218">
        <v>100000217</v>
      </c>
      <c r="B218" t="s">
        <v>99</v>
      </c>
      <c r="C218" t="s">
        <v>248</v>
      </c>
      <c r="D218" t="s">
        <v>16</v>
      </c>
      <c r="E218" s="9">
        <v>28</v>
      </c>
      <c r="F218" t="s">
        <v>12</v>
      </c>
      <c r="G218" t="s">
        <v>13</v>
      </c>
      <c r="H218" s="7">
        <v>42107</v>
      </c>
      <c r="I218">
        <v>27008.87</v>
      </c>
      <c r="K218" s="7"/>
    </row>
    <row r="219" spans="1:11">
      <c r="A219">
        <v>100000218</v>
      </c>
      <c r="B219" t="s">
        <v>249</v>
      </c>
      <c r="C219" t="s">
        <v>39</v>
      </c>
      <c r="D219" t="s">
        <v>16</v>
      </c>
      <c r="E219" s="9">
        <v>29</v>
      </c>
      <c r="F219" t="s">
        <v>12</v>
      </c>
      <c r="G219" t="s">
        <v>13</v>
      </c>
      <c r="H219" s="8">
        <v>42108</v>
      </c>
      <c r="I219">
        <v>29907.72</v>
      </c>
      <c r="K219" s="8"/>
    </row>
    <row r="220" spans="1:11">
      <c r="A220">
        <v>100000219</v>
      </c>
      <c r="B220" t="s">
        <v>218</v>
      </c>
      <c r="C220" t="s">
        <v>52</v>
      </c>
      <c r="D220" t="s">
        <v>11</v>
      </c>
      <c r="E220" s="9">
        <v>25</v>
      </c>
      <c r="F220" t="s">
        <v>12</v>
      </c>
      <c r="G220" t="s">
        <v>13</v>
      </c>
      <c r="H220" s="7">
        <v>42108</v>
      </c>
      <c r="I220">
        <v>31660.86</v>
      </c>
      <c r="K220" s="7"/>
    </row>
    <row r="221" spans="1:11">
      <c r="A221">
        <v>100000220</v>
      </c>
      <c r="B221" t="s">
        <v>120</v>
      </c>
      <c r="C221" t="s">
        <v>130</v>
      </c>
      <c r="D221" t="s">
        <v>16</v>
      </c>
      <c r="E221" s="9">
        <v>38</v>
      </c>
      <c r="F221" t="s">
        <v>12</v>
      </c>
      <c r="G221" t="s">
        <v>33</v>
      </c>
      <c r="H221" s="8">
        <v>42108</v>
      </c>
      <c r="I221">
        <v>33509.17</v>
      </c>
      <c r="K221" s="8"/>
    </row>
    <row r="222" spans="1:11">
      <c r="A222">
        <v>100000221</v>
      </c>
      <c r="B222" t="s">
        <v>250</v>
      </c>
      <c r="C222" t="s">
        <v>216</v>
      </c>
      <c r="D222" t="s">
        <v>16</v>
      </c>
      <c r="E222" s="9">
        <v>45</v>
      </c>
      <c r="F222" t="s">
        <v>12</v>
      </c>
      <c r="G222" t="s">
        <v>18</v>
      </c>
      <c r="H222" s="7">
        <v>42108</v>
      </c>
      <c r="I222">
        <v>2575.63</v>
      </c>
      <c r="K222" s="7"/>
    </row>
    <row r="223" spans="1:11">
      <c r="A223">
        <v>100000222</v>
      </c>
      <c r="B223" t="s">
        <v>251</v>
      </c>
      <c r="C223" t="s">
        <v>224</v>
      </c>
      <c r="D223" t="s">
        <v>16</v>
      </c>
      <c r="E223" s="9">
        <v>33</v>
      </c>
      <c r="F223" t="s">
        <v>12</v>
      </c>
      <c r="G223" t="s">
        <v>13</v>
      </c>
      <c r="H223" s="8">
        <v>42108</v>
      </c>
      <c r="I223">
        <v>4072.58</v>
      </c>
      <c r="K223" s="8"/>
    </row>
    <row r="224" spans="1:11">
      <c r="A224">
        <v>100000223</v>
      </c>
      <c r="B224" t="s">
        <v>70</v>
      </c>
      <c r="C224" t="s">
        <v>252</v>
      </c>
      <c r="D224" t="s">
        <v>11</v>
      </c>
      <c r="E224" s="9">
        <v>32</v>
      </c>
      <c r="F224" t="s">
        <v>12</v>
      </c>
      <c r="G224" t="s">
        <v>13</v>
      </c>
      <c r="H224" s="7">
        <v>42108</v>
      </c>
      <c r="I224">
        <v>15375.41</v>
      </c>
      <c r="K224" s="7"/>
    </row>
    <row r="225" spans="1:11">
      <c r="A225">
        <v>100000224</v>
      </c>
      <c r="B225" t="s">
        <v>235</v>
      </c>
      <c r="C225" t="s">
        <v>253</v>
      </c>
      <c r="D225" t="s">
        <v>11</v>
      </c>
      <c r="E225" s="9">
        <v>43</v>
      </c>
      <c r="F225" t="s">
        <v>12</v>
      </c>
      <c r="G225" t="s">
        <v>13</v>
      </c>
      <c r="H225" s="8">
        <v>42108</v>
      </c>
      <c r="I225">
        <v>18103.72</v>
      </c>
      <c r="K225" s="8"/>
    </row>
    <row r="226" spans="1:11">
      <c r="A226">
        <v>100000225</v>
      </c>
      <c r="B226" t="s">
        <v>111</v>
      </c>
      <c r="C226" t="s">
        <v>114</v>
      </c>
      <c r="D226" t="s">
        <v>11</v>
      </c>
      <c r="E226" s="9">
        <v>31</v>
      </c>
      <c r="F226" t="s">
        <v>12</v>
      </c>
      <c r="G226" t="s">
        <v>13</v>
      </c>
      <c r="H226" s="7">
        <v>42108</v>
      </c>
      <c r="I226">
        <v>63230.57</v>
      </c>
      <c r="K226" s="7"/>
    </row>
    <row r="227" spans="1:11">
      <c r="A227">
        <v>100000226</v>
      </c>
      <c r="B227" t="s">
        <v>254</v>
      </c>
      <c r="C227" t="s">
        <v>65</v>
      </c>
      <c r="D227" t="s">
        <v>11</v>
      </c>
      <c r="E227" s="9">
        <v>40</v>
      </c>
      <c r="F227" t="s">
        <v>12</v>
      </c>
      <c r="G227" t="s">
        <v>13</v>
      </c>
      <c r="H227" s="8">
        <v>42108</v>
      </c>
      <c r="I227">
        <v>9875.43</v>
      </c>
      <c r="K227" s="8"/>
    </row>
    <row r="228" spans="1:11">
      <c r="A228">
        <v>100000227</v>
      </c>
      <c r="B228" t="s">
        <v>213</v>
      </c>
      <c r="C228" t="s">
        <v>85</v>
      </c>
      <c r="D228" t="s">
        <v>11</v>
      </c>
      <c r="E228" s="9">
        <v>29</v>
      </c>
      <c r="F228" t="s">
        <v>12</v>
      </c>
      <c r="G228" t="s">
        <v>33</v>
      </c>
      <c r="H228" s="7">
        <v>42109</v>
      </c>
      <c r="I228">
        <v>106172.13</v>
      </c>
      <c r="K228" s="7"/>
    </row>
    <row r="229" spans="1:11">
      <c r="A229">
        <v>100000228</v>
      </c>
      <c r="B229" t="s">
        <v>192</v>
      </c>
      <c r="C229" t="s">
        <v>116</v>
      </c>
      <c r="D229" t="s">
        <v>16</v>
      </c>
      <c r="E229" s="9">
        <v>37</v>
      </c>
      <c r="F229" t="s">
        <v>12</v>
      </c>
      <c r="G229" t="s">
        <v>13</v>
      </c>
      <c r="H229" s="8">
        <v>42109</v>
      </c>
      <c r="I229">
        <v>4611.5</v>
      </c>
      <c r="K229" s="8"/>
    </row>
    <row r="230" spans="1:11">
      <c r="A230">
        <v>100000229</v>
      </c>
      <c r="B230" t="s">
        <v>83</v>
      </c>
      <c r="C230" t="s">
        <v>56</v>
      </c>
      <c r="D230" t="s">
        <v>16</v>
      </c>
      <c r="E230" s="9">
        <v>36</v>
      </c>
      <c r="F230" t="s">
        <v>12</v>
      </c>
      <c r="G230" t="s">
        <v>13</v>
      </c>
      <c r="H230" s="7">
        <v>42109</v>
      </c>
      <c r="I230">
        <v>42635.27</v>
      </c>
      <c r="K230" s="7"/>
    </row>
    <row r="231" spans="1:11">
      <c r="A231">
        <v>100000230</v>
      </c>
      <c r="B231" t="s">
        <v>122</v>
      </c>
      <c r="C231" t="s">
        <v>91</v>
      </c>
      <c r="D231" t="s">
        <v>11</v>
      </c>
      <c r="E231" s="9">
        <v>42</v>
      </c>
      <c r="F231" t="s">
        <v>12</v>
      </c>
      <c r="G231" t="s">
        <v>13</v>
      </c>
      <c r="H231" s="8">
        <v>42109</v>
      </c>
      <c r="I231">
        <v>51923.76</v>
      </c>
      <c r="K231" s="8"/>
    </row>
    <row r="232" spans="1:11">
      <c r="A232">
        <v>100000231</v>
      </c>
      <c r="B232" t="s">
        <v>53</v>
      </c>
      <c r="C232" t="s">
        <v>67</v>
      </c>
      <c r="D232" t="s">
        <v>16</v>
      </c>
      <c r="E232" s="9">
        <v>45</v>
      </c>
      <c r="F232" t="s">
        <v>12</v>
      </c>
      <c r="G232" t="s">
        <v>13</v>
      </c>
      <c r="H232" s="7">
        <v>42109</v>
      </c>
      <c r="I232">
        <v>39249.25</v>
      </c>
      <c r="K232" s="7"/>
    </row>
    <row r="233" spans="1:11">
      <c r="A233">
        <v>100000232</v>
      </c>
      <c r="B233" t="s">
        <v>21</v>
      </c>
      <c r="C233" t="s">
        <v>198</v>
      </c>
      <c r="D233" t="s">
        <v>11</v>
      </c>
      <c r="E233" s="9">
        <v>41</v>
      </c>
      <c r="F233" t="s">
        <v>12</v>
      </c>
      <c r="G233" t="s">
        <v>18</v>
      </c>
      <c r="H233" s="8">
        <v>42109</v>
      </c>
      <c r="I233">
        <v>57762.79</v>
      </c>
      <c r="K233" s="8"/>
    </row>
    <row r="234" spans="1:11">
      <c r="A234">
        <v>100000233</v>
      </c>
      <c r="B234" t="s">
        <v>164</v>
      </c>
      <c r="C234" t="s">
        <v>25</v>
      </c>
      <c r="D234" t="s">
        <v>11</v>
      </c>
      <c r="E234" s="9">
        <v>42</v>
      </c>
      <c r="F234" t="s">
        <v>12</v>
      </c>
      <c r="G234" t="s">
        <v>13</v>
      </c>
      <c r="H234" s="7">
        <v>42110</v>
      </c>
      <c r="I234">
        <v>63869.71</v>
      </c>
      <c r="K234" s="7"/>
    </row>
    <row r="235" spans="1:11">
      <c r="A235">
        <v>100000234</v>
      </c>
      <c r="B235" t="s">
        <v>255</v>
      </c>
      <c r="C235" t="s">
        <v>144</v>
      </c>
      <c r="D235" t="s">
        <v>11</v>
      </c>
      <c r="E235" s="9">
        <v>42</v>
      </c>
      <c r="F235" t="s">
        <v>12</v>
      </c>
      <c r="G235" t="s">
        <v>13</v>
      </c>
      <c r="H235" s="8">
        <v>42110</v>
      </c>
      <c r="I235">
        <v>10199.66</v>
      </c>
      <c r="K235" s="8"/>
    </row>
    <row r="236" spans="1:11">
      <c r="A236">
        <v>100000235</v>
      </c>
      <c r="B236" t="s">
        <v>251</v>
      </c>
      <c r="C236" t="s">
        <v>103</v>
      </c>
      <c r="D236" t="s">
        <v>16</v>
      </c>
      <c r="E236" s="9">
        <v>40</v>
      </c>
      <c r="F236" t="s">
        <v>12</v>
      </c>
      <c r="G236" t="s">
        <v>13</v>
      </c>
      <c r="H236" s="7">
        <v>42110</v>
      </c>
      <c r="I236">
        <v>47518.92</v>
      </c>
      <c r="K236" s="7"/>
    </row>
    <row r="237" spans="1:11">
      <c r="A237">
        <v>100000236</v>
      </c>
      <c r="B237" t="s">
        <v>256</v>
      </c>
      <c r="C237" t="s">
        <v>152</v>
      </c>
      <c r="D237" t="s">
        <v>16</v>
      </c>
      <c r="E237" s="9">
        <v>43</v>
      </c>
      <c r="F237" t="s">
        <v>12</v>
      </c>
      <c r="G237" t="s">
        <v>13</v>
      </c>
      <c r="H237" s="8">
        <v>42110</v>
      </c>
      <c r="I237">
        <v>25542.15</v>
      </c>
      <c r="K237" s="8"/>
    </row>
    <row r="238" spans="1:11">
      <c r="A238">
        <v>100000237</v>
      </c>
      <c r="B238" t="s">
        <v>68</v>
      </c>
      <c r="C238" t="s">
        <v>257</v>
      </c>
      <c r="D238" t="s">
        <v>16</v>
      </c>
      <c r="E238" s="9">
        <v>43</v>
      </c>
      <c r="F238" t="s">
        <v>12</v>
      </c>
      <c r="G238" t="s">
        <v>13</v>
      </c>
      <c r="H238" s="7">
        <v>42110</v>
      </c>
      <c r="I238">
        <v>23887.45</v>
      </c>
      <c r="K238" s="7"/>
    </row>
    <row r="239" spans="1:11">
      <c r="A239">
        <v>300000238</v>
      </c>
      <c r="B239" t="s">
        <v>28</v>
      </c>
      <c r="C239" t="s">
        <v>15</v>
      </c>
      <c r="D239" t="s">
        <v>16</v>
      </c>
      <c r="E239" s="9">
        <v>27</v>
      </c>
      <c r="F239" t="s">
        <v>23</v>
      </c>
      <c r="G239" t="s">
        <v>33</v>
      </c>
      <c r="H239" s="8">
        <v>42110</v>
      </c>
      <c r="I239">
        <v>39264.03</v>
      </c>
      <c r="K239" s="8"/>
    </row>
    <row r="240" spans="1:11">
      <c r="A240">
        <v>100000239</v>
      </c>
      <c r="B240" t="s">
        <v>223</v>
      </c>
      <c r="C240" t="s">
        <v>258</v>
      </c>
      <c r="D240" t="s">
        <v>16</v>
      </c>
      <c r="E240" s="9">
        <v>35</v>
      </c>
      <c r="F240" t="s">
        <v>12</v>
      </c>
      <c r="G240" t="s">
        <v>13</v>
      </c>
      <c r="H240" s="7">
        <v>42111</v>
      </c>
      <c r="I240">
        <v>11880.47</v>
      </c>
      <c r="K240" s="7"/>
    </row>
    <row r="241" spans="1:11">
      <c r="A241">
        <v>100000240</v>
      </c>
      <c r="B241" t="s">
        <v>190</v>
      </c>
      <c r="C241" t="s">
        <v>253</v>
      </c>
      <c r="D241" t="s">
        <v>11</v>
      </c>
      <c r="E241" s="9">
        <v>32</v>
      </c>
      <c r="F241" t="s">
        <v>12</v>
      </c>
      <c r="G241" t="s">
        <v>13</v>
      </c>
      <c r="H241" s="8">
        <v>42111</v>
      </c>
      <c r="I241">
        <v>50658.95</v>
      </c>
      <c r="K241" s="8"/>
    </row>
    <row r="242" spans="1:11">
      <c r="A242">
        <v>100000241</v>
      </c>
      <c r="B242" t="s">
        <v>129</v>
      </c>
      <c r="C242" t="s">
        <v>167</v>
      </c>
      <c r="D242" t="s">
        <v>11</v>
      </c>
      <c r="E242" s="9">
        <v>43</v>
      </c>
      <c r="F242" t="s">
        <v>12</v>
      </c>
      <c r="G242" t="s">
        <v>13</v>
      </c>
      <c r="H242" s="7">
        <v>42111</v>
      </c>
      <c r="I242">
        <v>14946.79</v>
      </c>
      <c r="K242" s="7"/>
    </row>
    <row r="243" spans="1:11">
      <c r="A243">
        <v>100000242</v>
      </c>
      <c r="B243" t="s">
        <v>220</v>
      </c>
      <c r="C243" t="s">
        <v>259</v>
      </c>
      <c r="D243" t="s">
        <v>16</v>
      </c>
      <c r="E243" s="9">
        <v>34</v>
      </c>
      <c r="F243" t="s">
        <v>12</v>
      </c>
      <c r="G243" t="s">
        <v>18</v>
      </c>
      <c r="H243" s="8">
        <v>42111</v>
      </c>
      <c r="I243">
        <v>57148.41</v>
      </c>
      <c r="K243" s="8"/>
    </row>
    <row r="244" spans="1:11">
      <c r="A244">
        <v>100000243</v>
      </c>
      <c r="B244" t="s">
        <v>143</v>
      </c>
      <c r="C244" t="s">
        <v>157</v>
      </c>
      <c r="D244" t="s">
        <v>11</v>
      </c>
      <c r="E244" s="9">
        <v>47</v>
      </c>
      <c r="F244" t="s">
        <v>12</v>
      </c>
      <c r="G244" t="s">
        <v>18</v>
      </c>
      <c r="H244" s="7">
        <v>42111</v>
      </c>
      <c r="I244">
        <v>116144.95</v>
      </c>
      <c r="K244" s="7"/>
    </row>
    <row r="245" spans="1:11">
      <c r="A245">
        <v>100000244</v>
      </c>
      <c r="B245" t="s">
        <v>255</v>
      </c>
      <c r="C245" t="s">
        <v>189</v>
      </c>
      <c r="D245" t="s">
        <v>11</v>
      </c>
      <c r="E245" s="9">
        <v>39</v>
      </c>
      <c r="F245" t="s">
        <v>12</v>
      </c>
      <c r="G245" t="s">
        <v>13</v>
      </c>
      <c r="H245" s="8">
        <v>42111</v>
      </c>
      <c r="I245">
        <v>45135.16</v>
      </c>
      <c r="K245" s="8"/>
    </row>
    <row r="246" spans="1:11">
      <c r="A246">
        <v>100000245</v>
      </c>
      <c r="B246" t="s">
        <v>147</v>
      </c>
      <c r="C246" t="s">
        <v>260</v>
      </c>
      <c r="D246" t="s">
        <v>11</v>
      </c>
      <c r="E246" s="9">
        <v>31</v>
      </c>
      <c r="F246" t="s">
        <v>12</v>
      </c>
      <c r="G246" t="s">
        <v>13</v>
      </c>
      <c r="H246" s="7">
        <v>42111</v>
      </c>
      <c r="I246">
        <v>9867.56</v>
      </c>
      <c r="K246" s="7"/>
    </row>
    <row r="247" spans="1:11">
      <c r="A247">
        <v>100000246</v>
      </c>
      <c r="B247" t="s">
        <v>214</v>
      </c>
      <c r="C247" t="s">
        <v>178</v>
      </c>
      <c r="D247" t="s">
        <v>11</v>
      </c>
      <c r="E247" s="9">
        <v>30</v>
      </c>
      <c r="F247" t="s">
        <v>12</v>
      </c>
      <c r="G247" t="s">
        <v>13</v>
      </c>
      <c r="H247" s="8">
        <v>42111</v>
      </c>
      <c r="I247">
        <v>4442.71</v>
      </c>
      <c r="K247" s="8"/>
    </row>
    <row r="248" spans="1:11">
      <c r="A248">
        <v>100000247</v>
      </c>
      <c r="B248" t="s">
        <v>221</v>
      </c>
      <c r="C248" t="s">
        <v>185</v>
      </c>
      <c r="D248" t="s">
        <v>16</v>
      </c>
      <c r="E248" s="9">
        <v>33</v>
      </c>
      <c r="F248" t="s">
        <v>12</v>
      </c>
      <c r="G248" t="s">
        <v>13</v>
      </c>
      <c r="H248" s="7">
        <v>42111</v>
      </c>
      <c r="I248">
        <v>14380.27</v>
      </c>
      <c r="K248" s="7"/>
    </row>
    <row r="249" spans="1:11">
      <c r="A249">
        <v>100000248</v>
      </c>
      <c r="B249" t="s">
        <v>103</v>
      </c>
      <c r="C249" t="s">
        <v>15</v>
      </c>
      <c r="D249" t="s">
        <v>11</v>
      </c>
      <c r="E249" s="9">
        <v>37</v>
      </c>
      <c r="F249" t="s">
        <v>12</v>
      </c>
      <c r="G249" t="s">
        <v>13</v>
      </c>
      <c r="H249" s="8">
        <v>42111</v>
      </c>
      <c r="I249">
        <v>4263.53</v>
      </c>
      <c r="K249" s="8"/>
    </row>
    <row r="250" spans="1:11">
      <c r="A250">
        <v>100000249</v>
      </c>
      <c r="B250" t="s">
        <v>261</v>
      </c>
      <c r="C250" t="s">
        <v>196</v>
      </c>
      <c r="D250" t="s">
        <v>11</v>
      </c>
      <c r="E250" s="9">
        <v>43</v>
      </c>
      <c r="F250" t="s">
        <v>12</v>
      </c>
      <c r="G250" t="s">
        <v>13</v>
      </c>
      <c r="H250" s="7">
        <v>42111</v>
      </c>
      <c r="I250">
        <v>32667.33</v>
      </c>
      <c r="K250" s="7"/>
    </row>
    <row r="251" spans="1:11">
      <c r="A251">
        <v>100000250</v>
      </c>
      <c r="B251" t="s">
        <v>262</v>
      </c>
      <c r="C251" t="s">
        <v>136</v>
      </c>
      <c r="D251" t="s">
        <v>16</v>
      </c>
      <c r="E251" s="9">
        <v>30</v>
      </c>
      <c r="F251" t="s">
        <v>12</v>
      </c>
      <c r="G251" t="s">
        <v>18</v>
      </c>
      <c r="H251" s="8">
        <v>42111</v>
      </c>
      <c r="I251">
        <v>13407.54</v>
      </c>
      <c r="K251" s="8"/>
    </row>
    <row r="252" spans="1:11">
      <c r="A252">
        <v>100000251</v>
      </c>
      <c r="B252" t="s">
        <v>117</v>
      </c>
      <c r="C252" t="s">
        <v>54</v>
      </c>
      <c r="D252" t="s">
        <v>16</v>
      </c>
      <c r="E252" s="9">
        <v>33</v>
      </c>
      <c r="F252" t="s">
        <v>12</v>
      </c>
      <c r="G252" t="s">
        <v>13</v>
      </c>
      <c r="H252" s="7">
        <v>42111</v>
      </c>
      <c r="I252">
        <v>57127.03</v>
      </c>
      <c r="K252" s="7"/>
    </row>
    <row r="253" spans="1:11">
      <c r="A253">
        <v>100000252</v>
      </c>
      <c r="B253" t="s">
        <v>46</v>
      </c>
      <c r="C253" t="s">
        <v>183</v>
      </c>
      <c r="D253" t="s">
        <v>11</v>
      </c>
      <c r="E253" s="9">
        <v>30</v>
      </c>
      <c r="F253" t="s">
        <v>12</v>
      </c>
      <c r="G253" t="s">
        <v>13</v>
      </c>
      <c r="H253" s="8">
        <v>42111</v>
      </c>
      <c r="I253">
        <v>74588.31</v>
      </c>
      <c r="K253" s="8"/>
    </row>
    <row r="254" spans="1:11">
      <c r="A254">
        <v>100000253</v>
      </c>
      <c r="B254" t="s">
        <v>263</v>
      </c>
      <c r="C254" t="s">
        <v>100</v>
      </c>
      <c r="D254" t="s">
        <v>16</v>
      </c>
      <c r="E254" s="9">
        <v>29</v>
      </c>
      <c r="F254" t="s">
        <v>12</v>
      </c>
      <c r="G254" t="s">
        <v>13</v>
      </c>
      <c r="H254" s="7">
        <v>42111</v>
      </c>
      <c r="I254">
        <v>41237.660000000003</v>
      </c>
      <c r="K254" s="7"/>
    </row>
    <row r="255" spans="1:11">
      <c r="A255">
        <v>100000254</v>
      </c>
      <c r="B255" t="s">
        <v>164</v>
      </c>
      <c r="C255" t="s">
        <v>259</v>
      </c>
      <c r="D255" t="s">
        <v>11</v>
      </c>
      <c r="E255" s="9">
        <v>34</v>
      </c>
      <c r="F255" t="s">
        <v>12</v>
      </c>
      <c r="G255" t="s">
        <v>13</v>
      </c>
      <c r="H255" s="8">
        <v>42111</v>
      </c>
      <c r="I255">
        <v>20276.52</v>
      </c>
      <c r="K255" s="8"/>
    </row>
    <row r="256" spans="1:11">
      <c r="A256">
        <v>100000255</v>
      </c>
      <c r="B256" t="s">
        <v>92</v>
      </c>
      <c r="C256" t="s">
        <v>151</v>
      </c>
      <c r="D256" t="s">
        <v>16</v>
      </c>
      <c r="E256" s="9">
        <v>36</v>
      </c>
      <c r="F256" t="s">
        <v>12</v>
      </c>
      <c r="G256" t="s">
        <v>18</v>
      </c>
      <c r="H256" s="7">
        <v>42111</v>
      </c>
      <c r="I256">
        <v>20379</v>
      </c>
      <c r="K256" s="7"/>
    </row>
    <row r="257" spans="1:11">
      <c r="A257">
        <v>200000256</v>
      </c>
      <c r="B257" t="s">
        <v>264</v>
      </c>
      <c r="C257" t="s">
        <v>156</v>
      </c>
      <c r="D257" t="s">
        <v>11</v>
      </c>
      <c r="E257" s="9">
        <v>46</v>
      </c>
      <c r="F257" t="s">
        <v>32</v>
      </c>
      <c r="G257" t="s">
        <v>18</v>
      </c>
      <c r="H257" s="8">
        <v>42111</v>
      </c>
      <c r="I257">
        <v>29487.25</v>
      </c>
      <c r="K257" s="8"/>
    </row>
    <row r="258" spans="1:11">
      <c r="A258">
        <v>200000257</v>
      </c>
      <c r="B258" t="s">
        <v>214</v>
      </c>
      <c r="C258" t="s">
        <v>240</v>
      </c>
      <c r="D258" t="s">
        <v>11</v>
      </c>
      <c r="E258" s="9">
        <v>36</v>
      </c>
      <c r="F258" t="s">
        <v>32</v>
      </c>
      <c r="G258" t="s">
        <v>18</v>
      </c>
      <c r="H258" s="7">
        <v>42111</v>
      </c>
      <c r="I258">
        <v>79483.58</v>
      </c>
      <c r="K258" s="7"/>
    </row>
    <row r="259" spans="1:11">
      <c r="A259">
        <v>200000258</v>
      </c>
      <c r="B259" t="s">
        <v>197</v>
      </c>
      <c r="C259" t="s">
        <v>67</v>
      </c>
      <c r="D259" t="s">
        <v>11</v>
      </c>
      <c r="E259" s="9">
        <v>54</v>
      </c>
      <c r="F259" t="s">
        <v>32</v>
      </c>
      <c r="G259" t="s">
        <v>33</v>
      </c>
      <c r="H259" s="8">
        <v>42111</v>
      </c>
      <c r="I259">
        <v>2112.92</v>
      </c>
      <c r="K259" s="8"/>
    </row>
    <row r="260" spans="1:11">
      <c r="A260">
        <v>200000259</v>
      </c>
      <c r="B260" t="s">
        <v>68</v>
      </c>
      <c r="C260" t="s">
        <v>108</v>
      </c>
      <c r="D260" t="s">
        <v>16</v>
      </c>
      <c r="E260" s="9">
        <v>50</v>
      </c>
      <c r="F260" t="s">
        <v>32</v>
      </c>
      <c r="G260" t="s">
        <v>33</v>
      </c>
      <c r="H260" s="7">
        <v>42111</v>
      </c>
      <c r="I260">
        <v>18160.490000000002</v>
      </c>
      <c r="K260" s="7"/>
    </row>
    <row r="261" spans="1:11">
      <c r="A261">
        <v>200000260</v>
      </c>
      <c r="B261" t="s">
        <v>188</v>
      </c>
      <c r="C261" t="s">
        <v>10</v>
      </c>
      <c r="D261" t="s">
        <v>11</v>
      </c>
      <c r="E261" s="9">
        <v>45</v>
      </c>
      <c r="F261" t="s">
        <v>32</v>
      </c>
      <c r="G261" t="s">
        <v>18</v>
      </c>
      <c r="H261" s="8">
        <v>42111</v>
      </c>
      <c r="I261">
        <v>26059.74</v>
      </c>
      <c r="K261" s="8"/>
    </row>
    <row r="262" spans="1:11">
      <c r="A262">
        <v>200000261</v>
      </c>
      <c r="B262" t="s">
        <v>177</v>
      </c>
      <c r="C262" t="s">
        <v>116</v>
      </c>
      <c r="D262" t="s">
        <v>11</v>
      </c>
      <c r="E262" s="9">
        <v>47</v>
      </c>
      <c r="F262" t="s">
        <v>32</v>
      </c>
      <c r="G262" t="s">
        <v>18</v>
      </c>
      <c r="H262" s="7">
        <v>42111</v>
      </c>
      <c r="I262">
        <v>19177.310000000001</v>
      </c>
      <c r="K262" s="7"/>
    </row>
    <row r="263" spans="1:11">
      <c r="A263">
        <v>200000262</v>
      </c>
      <c r="B263" t="s">
        <v>265</v>
      </c>
      <c r="C263" t="s">
        <v>266</v>
      </c>
      <c r="D263" t="s">
        <v>16</v>
      </c>
      <c r="E263" s="9">
        <v>59</v>
      </c>
      <c r="F263" t="s">
        <v>32</v>
      </c>
      <c r="G263" t="s">
        <v>33</v>
      </c>
      <c r="H263" s="8">
        <v>42111</v>
      </c>
      <c r="I263">
        <v>23550.89</v>
      </c>
      <c r="K263" s="8"/>
    </row>
    <row r="264" spans="1:11">
      <c r="A264">
        <v>200000263</v>
      </c>
      <c r="B264" t="s">
        <v>267</v>
      </c>
      <c r="C264" t="s">
        <v>45</v>
      </c>
      <c r="D264" t="s">
        <v>16</v>
      </c>
      <c r="E264" s="9">
        <v>41</v>
      </c>
      <c r="F264" t="s">
        <v>32</v>
      </c>
      <c r="G264" t="s">
        <v>33</v>
      </c>
      <c r="H264" s="7">
        <v>42111</v>
      </c>
      <c r="I264">
        <v>87758.52</v>
      </c>
      <c r="K264" s="7"/>
    </row>
    <row r="265" spans="1:11">
      <c r="A265">
        <v>200000264</v>
      </c>
      <c r="B265" t="s">
        <v>268</v>
      </c>
      <c r="C265" t="s">
        <v>157</v>
      </c>
      <c r="D265" t="s">
        <v>16</v>
      </c>
      <c r="E265" s="9">
        <v>48</v>
      </c>
      <c r="F265" t="s">
        <v>32</v>
      </c>
      <c r="G265" t="s">
        <v>33</v>
      </c>
      <c r="H265" s="8">
        <v>42111</v>
      </c>
      <c r="I265">
        <v>10577.52</v>
      </c>
      <c r="K265" s="8"/>
    </row>
    <row r="266" spans="1:11">
      <c r="A266">
        <v>200000265</v>
      </c>
      <c r="B266" t="s">
        <v>175</v>
      </c>
      <c r="C266" t="s">
        <v>269</v>
      </c>
      <c r="D266" t="s">
        <v>11</v>
      </c>
      <c r="E266" s="9">
        <v>52</v>
      </c>
      <c r="F266" t="s">
        <v>32</v>
      </c>
      <c r="G266" t="s">
        <v>18</v>
      </c>
      <c r="H266" s="7">
        <v>42111</v>
      </c>
      <c r="I266">
        <v>45213.63</v>
      </c>
      <c r="K266" s="7"/>
    </row>
    <row r="267" spans="1:11">
      <c r="A267">
        <v>200000266</v>
      </c>
      <c r="B267" t="s">
        <v>81</v>
      </c>
      <c r="C267" t="s">
        <v>129</v>
      </c>
      <c r="D267" t="s">
        <v>16</v>
      </c>
      <c r="E267" s="9">
        <v>28</v>
      </c>
      <c r="F267" t="s">
        <v>32</v>
      </c>
      <c r="G267" t="s">
        <v>33</v>
      </c>
      <c r="H267" s="8">
        <v>42111</v>
      </c>
      <c r="I267">
        <v>13162.58</v>
      </c>
      <c r="K267" s="8"/>
    </row>
    <row r="268" spans="1:11">
      <c r="A268">
        <v>200000267</v>
      </c>
      <c r="B268" t="s">
        <v>72</v>
      </c>
      <c r="C268" t="s">
        <v>106</v>
      </c>
      <c r="D268" t="s">
        <v>11</v>
      </c>
      <c r="E268" s="9">
        <v>55</v>
      </c>
      <c r="F268" t="s">
        <v>32</v>
      </c>
      <c r="G268" t="s">
        <v>33</v>
      </c>
      <c r="H268" s="7">
        <v>42111</v>
      </c>
      <c r="I268">
        <v>36993.449999999997</v>
      </c>
      <c r="K268" s="7"/>
    </row>
    <row r="269" spans="1:11">
      <c r="A269">
        <v>300000268</v>
      </c>
      <c r="B269" t="s">
        <v>103</v>
      </c>
      <c r="C269" t="s">
        <v>129</v>
      </c>
      <c r="D269" t="s">
        <v>11</v>
      </c>
      <c r="E269" s="9">
        <v>28</v>
      </c>
      <c r="F269" t="s">
        <v>23</v>
      </c>
      <c r="G269" t="s">
        <v>18</v>
      </c>
      <c r="H269" s="8">
        <v>42111</v>
      </c>
      <c r="I269">
        <v>67180.28</v>
      </c>
      <c r="K269" s="8"/>
    </row>
    <row r="270" spans="1:11">
      <c r="A270">
        <v>300000269</v>
      </c>
      <c r="B270" t="s">
        <v>267</v>
      </c>
      <c r="C270" t="s">
        <v>167</v>
      </c>
      <c r="D270" t="s">
        <v>16</v>
      </c>
      <c r="E270" s="9">
        <v>42</v>
      </c>
      <c r="F270" t="s">
        <v>23</v>
      </c>
      <c r="G270" t="s">
        <v>33</v>
      </c>
      <c r="H270" s="7">
        <v>42111</v>
      </c>
      <c r="I270">
        <v>44094.63</v>
      </c>
      <c r="K270" s="7"/>
    </row>
    <row r="271" spans="1:11">
      <c r="A271">
        <v>300000270</v>
      </c>
      <c r="B271" t="s">
        <v>161</v>
      </c>
      <c r="C271" t="s">
        <v>93</v>
      </c>
      <c r="D271" t="s">
        <v>16</v>
      </c>
      <c r="E271" s="9">
        <v>63</v>
      </c>
      <c r="F271" t="s">
        <v>23</v>
      </c>
      <c r="G271" t="s">
        <v>33</v>
      </c>
      <c r="H271" s="8">
        <v>42111</v>
      </c>
      <c r="I271">
        <v>27020.99</v>
      </c>
      <c r="K271" s="8"/>
    </row>
    <row r="272" spans="1:11">
      <c r="A272">
        <v>300000271</v>
      </c>
      <c r="B272" t="s">
        <v>60</v>
      </c>
      <c r="C272" t="s">
        <v>270</v>
      </c>
      <c r="D272" t="s">
        <v>11</v>
      </c>
      <c r="E272" s="9">
        <v>30</v>
      </c>
      <c r="F272" t="s">
        <v>23</v>
      </c>
      <c r="G272" t="s">
        <v>13</v>
      </c>
      <c r="H272" s="7">
        <v>42111</v>
      </c>
      <c r="I272">
        <v>28912.799999999999</v>
      </c>
      <c r="K272" s="7"/>
    </row>
    <row r="273" spans="1:11">
      <c r="A273">
        <v>400000272</v>
      </c>
      <c r="B273" t="s">
        <v>271</v>
      </c>
      <c r="C273" t="s">
        <v>152</v>
      </c>
      <c r="D273" t="s">
        <v>16</v>
      </c>
      <c r="E273" s="9">
        <v>25</v>
      </c>
      <c r="F273" t="s">
        <v>17</v>
      </c>
      <c r="G273" t="s">
        <v>13</v>
      </c>
      <c r="H273" s="8">
        <v>42111</v>
      </c>
      <c r="I273">
        <v>48997.63</v>
      </c>
      <c r="K273" s="8"/>
    </row>
    <row r="274" spans="1:11">
      <c r="A274">
        <v>100000273</v>
      </c>
      <c r="B274" t="s">
        <v>79</v>
      </c>
      <c r="C274" t="s">
        <v>272</v>
      </c>
      <c r="D274" t="s">
        <v>11</v>
      </c>
      <c r="E274" s="9">
        <v>41</v>
      </c>
      <c r="F274" t="s">
        <v>12</v>
      </c>
      <c r="G274" t="s">
        <v>13</v>
      </c>
      <c r="H274" s="7">
        <v>42112</v>
      </c>
      <c r="I274">
        <v>41250.67</v>
      </c>
      <c r="K274" s="7"/>
    </row>
    <row r="275" spans="1:11">
      <c r="A275">
        <v>100000274</v>
      </c>
      <c r="B275" t="s">
        <v>271</v>
      </c>
      <c r="C275" t="s">
        <v>205</v>
      </c>
      <c r="D275" t="s">
        <v>16</v>
      </c>
      <c r="E275" s="9">
        <v>34</v>
      </c>
      <c r="F275" t="s">
        <v>12</v>
      </c>
      <c r="G275" t="s">
        <v>33</v>
      </c>
      <c r="H275" s="8">
        <v>42112</v>
      </c>
      <c r="I275">
        <v>111818.28</v>
      </c>
      <c r="K275" s="8"/>
    </row>
    <row r="276" spans="1:11">
      <c r="A276">
        <v>100000275</v>
      </c>
      <c r="B276" t="s">
        <v>273</v>
      </c>
      <c r="C276" t="s">
        <v>237</v>
      </c>
      <c r="D276" t="s">
        <v>11</v>
      </c>
      <c r="E276" s="9">
        <v>42</v>
      </c>
      <c r="F276" t="s">
        <v>12</v>
      </c>
      <c r="G276" t="s">
        <v>13</v>
      </c>
      <c r="H276" s="7">
        <v>42113</v>
      </c>
      <c r="I276">
        <v>10114.950000000001</v>
      </c>
      <c r="K276" s="7"/>
    </row>
    <row r="277" spans="1:11">
      <c r="A277">
        <v>100000276</v>
      </c>
      <c r="B277" t="s">
        <v>261</v>
      </c>
      <c r="C277" t="s">
        <v>15</v>
      </c>
      <c r="D277" t="s">
        <v>11</v>
      </c>
      <c r="E277" s="9">
        <v>30</v>
      </c>
      <c r="F277" t="s">
        <v>12</v>
      </c>
      <c r="G277" t="s">
        <v>18</v>
      </c>
      <c r="H277" s="8">
        <v>42113</v>
      </c>
      <c r="I277">
        <v>14034.12</v>
      </c>
      <c r="K277" s="8"/>
    </row>
    <row r="278" spans="1:11">
      <c r="A278">
        <v>100000277</v>
      </c>
      <c r="B278" t="s">
        <v>120</v>
      </c>
      <c r="C278" t="s">
        <v>216</v>
      </c>
      <c r="D278" t="s">
        <v>16</v>
      </c>
      <c r="E278" s="9">
        <v>37</v>
      </c>
      <c r="F278" t="s">
        <v>12</v>
      </c>
      <c r="G278" t="s">
        <v>13</v>
      </c>
      <c r="H278" s="7">
        <v>42113</v>
      </c>
      <c r="I278">
        <v>57574.38</v>
      </c>
      <c r="K278" s="7"/>
    </row>
    <row r="279" spans="1:11">
      <c r="A279">
        <v>100000278</v>
      </c>
      <c r="B279" t="s">
        <v>105</v>
      </c>
      <c r="C279" t="s">
        <v>274</v>
      </c>
      <c r="D279" t="s">
        <v>16</v>
      </c>
      <c r="E279" s="9">
        <v>30</v>
      </c>
      <c r="F279" t="s">
        <v>12</v>
      </c>
      <c r="G279" t="s">
        <v>18</v>
      </c>
      <c r="H279" s="8">
        <v>42113</v>
      </c>
      <c r="I279">
        <v>71596.179999999993</v>
      </c>
      <c r="K279" s="8"/>
    </row>
    <row r="280" spans="1:11">
      <c r="A280">
        <v>100000279</v>
      </c>
      <c r="B280" t="s">
        <v>152</v>
      </c>
      <c r="C280" t="s">
        <v>275</v>
      </c>
      <c r="D280" t="s">
        <v>11</v>
      </c>
      <c r="E280" s="9">
        <v>42</v>
      </c>
      <c r="F280" t="s">
        <v>12</v>
      </c>
      <c r="G280" t="s">
        <v>13</v>
      </c>
      <c r="H280" s="7">
        <v>42113</v>
      </c>
      <c r="I280">
        <v>32187.62</v>
      </c>
      <c r="K280" s="7"/>
    </row>
    <row r="281" spans="1:11">
      <c r="A281">
        <v>100000280</v>
      </c>
      <c r="B281" t="s">
        <v>276</v>
      </c>
      <c r="C281" t="s">
        <v>211</v>
      </c>
      <c r="D281" t="s">
        <v>16</v>
      </c>
      <c r="E281" s="9">
        <v>31</v>
      </c>
      <c r="F281" t="s">
        <v>12</v>
      </c>
      <c r="G281" t="s">
        <v>33</v>
      </c>
      <c r="H281" s="8">
        <v>42113</v>
      </c>
      <c r="I281">
        <v>717.13</v>
      </c>
      <c r="K281" s="8"/>
    </row>
    <row r="282" spans="1:11">
      <c r="A282">
        <v>100000281</v>
      </c>
      <c r="B282" t="s">
        <v>204</v>
      </c>
      <c r="C282" t="s">
        <v>277</v>
      </c>
      <c r="D282" t="s">
        <v>11</v>
      </c>
      <c r="E282" s="9">
        <v>37</v>
      </c>
      <c r="F282" t="s">
        <v>12</v>
      </c>
      <c r="G282" t="s">
        <v>18</v>
      </c>
      <c r="H282" s="7">
        <v>42113</v>
      </c>
      <c r="I282">
        <v>103875.81</v>
      </c>
      <c r="K282" s="7"/>
    </row>
    <row r="283" spans="1:11">
      <c r="A283">
        <v>100000282</v>
      </c>
      <c r="B283" t="s">
        <v>249</v>
      </c>
      <c r="C283" t="s">
        <v>45</v>
      </c>
      <c r="D283" t="s">
        <v>16</v>
      </c>
      <c r="E283" s="9">
        <v>29</v>
      </c>
      <c r="F283" t="s">
        <v>12</v>
      </c>
      <c r="G283" t="s">
        <v>13</v>
      </c>
      <c r="H283" s="8">
        <v>42114</v>
      </c>
      <c r="I283">
        <v>70403.649999999994</v>
      </c>
      <c r="K283" s="8"/>
    </row>
    <row r="284" spans="1:11">
      <c r="A284">
        <v>100000283</v>
      </c>
      <c r="B284" t="s">
        <v>276</v>
      </c>
      <c r="C284" t="s">
        <v>278</v>
      </c>
      <c r="D284" t="s">
        <v>16</v>
      </c>
      <c r="E284" s="9">
        <v>34</v>
      </c>
      <c r="F284" t="s">
        <v>12</v>
      </c>
      <c r="G284" t="s">
        <v>13</v>
      </c>
      <c r="H284" s="7">
        <v>42114</v>
      </c>
      <c r="I284">
        <v>12559.26</v>
      </c>
      <c r="K284" s="7"/>
    </row>
    <row r="285" spans="1:11">
      <c r="A285">
        <v>100000284</v>
      </c>
      <c r="B285" t="s">
        <v>268</v>
      </c>
      <c r="C285" t="s">
        <v>63</v>
      </c>
      <c r="D285" t="s">
        <v>16</v>
      </c>
      <c r="E285" s="9">
        <v>30</v>
      </c>
      <c r="F285" t="s">
        <v>12</v>
      </c>
      <c r="G285" t="s">
        <v>13</v>
      </c>
      <c r="H285" s="8">
        <v>42114</v>
      </c>
      <c r="I285">
        <v>7136.47</v>
      </c>
      <c r="K285" s="8"/>
    </row>
    <row r="286" spans="1:11">
      <c r="A286">
        <v>100000285</v>
      </c>
      <c r="B286" t="s">
        <v>147</v>
      </c>
      <c r="C286" t="s">
        <v>93</v>
      </c>
      <c r="D286" t="s">
        <v>11</v>
      </c>
      <c r="E286" s="9">
        <v>34</v>
      </c>
      <c r="F286" t="s">
        <v>12</v>
      </c>
      <c r="G286" t="s">
        <v>13</v>
      </c>
      <c r="H286" s="7">
        <v>42115</v>
      </c>
      <c r="I286">
        <v>51792.13</v>
      </c>
      <c r="K286" s="7"/>
    </row>
    <row r="287" spans="1:11">
      <c r="A287">
        <v>100000286</v>
      </c>
      <c r="B287" t="s">
        <v>34</v>
      </c>
      <c r="C287" t="s">
        <v>279</v>
      </c>
      <c r="D287" t="s">
        <v>16</v>
      </c>
      <c r="E287" s="9">
        <v>31</v>
      </c>
      <c r="F287" t="s">
        <v>12</v>
      </c>
      <c r="G287" t="s">
        <v>33</v>
      </c>
      <c r="H287" s="8">
        <v>42115</v>
      </c>
      <c r="I287">
        <v>96203.49</v>
      </c>
      <c r="K287" s="8"/>
    </row>
    <row r="288" spans="1:11">
      <c r="A288">
        <v>100000287</v>
      </c>
      <c r="B288" t="s">
        <v>193</v>
      </c>
      <c r="C288" t="s">
        <v>183</v>
      </c>
      <c r="D288" t="s">
        <v>11</v>
      </c>
      <c r="E288" s="9">
        <v>41</v>
      </c>
      <c r="F288" t="s">
        <v>12</v>
      </c>
      <c r="G288" t="s">
        <v>13</v>
      </c>
      <c r="H288" s="7">
        <v>42115</v>
      </c>
      <c r="I288">
        <v>64731.46</v>
      </c>
      <c r="K288" s="7"/>
    </row>
    <row r="289" spans="1:11">
      <c r="A289">
        <v>100000288</v>
      </c>
      <c r="B289" t="s">
        <v>19</v>
      </c>
      <c r="C289" t="s">
        <v>198</v>
      </c>
      <c r="D289" t="s">
        <v>11</v>
      </c>
      <c r="E289" s="9">
        <v>37</v>
      </c>
      <c r="F289" t="s">
        <v>12</v>
      </c>
      <c r="G289" t="s">
        <v>13</v>
      </c>
      <c r="H289" s="8">
        <v>42115</v>
      </c>
      <c r="I289">
        <v>37857</v>
      </c>
      <c r="K289" s="8"/>
    </row>
    <row r="290" spans="1:11">
      <c r="A290">
        <v>100000289</v>
      </c>
      <c r="B290" t="s">
        <v>131</v>
      </c>
      <c r="C290" t="s">
        <v>156</v>
      </c>
      <c r="D290" t="s">
        <v>16</v>
      </c>
      <c r="E290" s="9">
        <v>32</v>
      </c>
      <c r="F290" t="s">
        <v>12</v>
      </c>
      <c r="G290" t="s">
        <v>13</v>
      </c>
      <c r="H290" s="7">
        <v>42116</v>
      </c>
      <c r="I290">
        <v>51470.09</v>
      </c>
      <c r="K290" s="7"/>
    </row>
    <row r="291" spans="1:11">
      <c r="A291">
        <v>100000290</v>
      </c>
      <c r="B291" t="s">
        <v>174</v>
      </c>
      <c r="C291" t="s">
        <v>163</v>
      </c>
      <c r="D291" t="s">
        <v>11</v>
      </c>
      <c r="E291" s="9">
        <v>40</v>
      </c>
      <c r="F291" t="s">
        <v>12</v>
      </c>
      <c r="G291" t="s">
        <v>13</v>
      </c>
      <c r="H291" s="8">
        <v>42116</v>
      </c>
      <c r="I291">
        <v>70357.61</v>
      </c>
      <c r="K291" s="8"/>
    </row>
    <row r="292" spans="1:11">
      <c r="A292">
        <v>100000291</v>
      </c>
      <c r="B292" t="s">
        <v>150</v>
      </c>
      <c r="C292" t="s">
        <v>61</v>
      </c>
      <c r="D292" t="s">
        <v>16</v>
      </c>
      <c r="E292" s="9">
        <v>21</v>
      </c>
      <c r="F292" t="s">
        <v>12</v>
      </c>
      <c r="G292" t="s">
        <v>13</v>
      </c>
      <c r="H292" s="7">
        <v>42116</v>
      </c>
      <c r="I292">
        <v>5470.79</v>
      </c>
      <c r="K292" s="7"/>
    </row>
    <row r="293" spans="1:11">
      <c r="A293">
        <v>100000292</v>
      </c>
      <c r="B293" t="s">
        <v>81</v>
      </c>
      <c r="C293" t="s">
        <v>227</v>
      </c>
      <c r="D293" t="s">
        <v>16</v>
      </c>
      <c r="E293" s="9">
        <v>40</v>
      </c>
      <c r="F293" t="s">
        <v>12</v>
      </c>
      <c r="G293" t="s">
        <v>13</v>
      </c>
      <c r="H293" s="8">
        <v>42116</v>
      </c>
      <c r="I293">
        <v>25248.37</v>
      </c>
      <c r="K293" s="8"/>
    </row>
    <row r="294" spans="1:11">
      <c r="A294">
        <v>100000293</v>
      </c>
      <c r="B294" t="s">
        <v>177</v>
      </c>
      <c r="C294" t="s">
        <v>172</v>
      </c>
      <c r="D294" t="s">
        <v>11</v>
      </c>
      <c r="E294" s="9">
        <v>45</v>
      </c>
      <c r="F294" t="s">
        <v>12</v>
      </c>
      <c r="G294" t="s">
        <v>33</v>
      </c>
      <c r="H294" s="7">
        <v>42116</v>
      </c>
      <c r="I294">
        <v>65116.98</v>
      </c>
      <c r="K294" s="7"/>
    </row>
    <row r="295" spans="1:11">
      <c r="A295">
        <v>100000294</v>
      </c>
      <c r="B295" t="s">
        <v>261</v>
      </c>
      <c r="C295" t="s">
        <v>94</v>
      </c>
      <c r="D295" t="s">
        <v>11</v>
      </c>
      <c r="E295" s="9">
        <v>27</v>
      </c>
      <c r="F295" t="s">
        <v>12</v>
      </c>
      <c r="G295" t="s">
        <v>33</v>
      </c>
      <c r="H295" s="8">
        <v>42116</v>
      </c>
      <c r="I295">
        <v>23668.42</v>
      </c>
      <c r="K295" s="8"/>
    </row>
    <row r="296" spans="1:11">
      <c r="A296">
        <v>200000295</v>
      </c>
      <c r="B296" t="s">
        <v>175</v>
      </c>
      <c r="C296" t="s">
        <v>29</v>
      </c>
      <c r="D296" t="s">
        <v>11</v>
      </c>
      <c r="E296" s="9">
        <v>45</v>
      </c>
      <c r="F296" t="s">
        <v>32</v>
      </c>
      <c r="G296" t="s">
        <v>18</v>
      </c>
      <c r="H296" s="7">
        <v>42116</v>
      </c>
      <c r="I296">
        <v>16423.75</v>
      </c>
      <c r="K296" s="7"/>
    </row>
    <row r="297" spans="1:11">
      <c r="A297">
        <v>100000296</v>
      </c>
      <c r="B297" t="s">
        <v>226</v>
      </c>
      <c r="C297" t="s">
        <v>266</v>
      </c>
      <c r="D297" t="s">
        <v>16</v>
      </c>
      <c r="E297" s="9">
        <v>31</v>
      </c>
      <c r="F297" t="s">
        <v>12</v>
      </c>
      <c r="G297" t="s">
        <v>13</v>
      </c>
      <c r="H297" s="8">
        <v>42117</v>
      </c>
      <c r="I297">
        <v>50533.23</v>
      </c>
      <c r="K297" s="8"/>
    </row>
    <row r="298" spans="1:11">
      <c r="A298">
        <v>100000297</v>
      </c>
      <c r="B298" t="s">
        <v>84</v>
      </c>
      <c r="C298" t="s">
        <v>29</v>
      </c>
      <c r="D298" t="s">
        <v>16</v>
      </c>
      <c r="E298" s="9">
        <v>33</v>
      </c>
      <c r="F298" t="s">
        <v>12</v>
      </c>
      <c r="G298" t="s">
        <v>13</v>
      </c>
      <c r="H298" s="7">
        <v>42117</v>
      </c>
      <c r="I298">
        <v>152.91</v>
      </c>
      <c r="K298" s="7"/>
    </row>
    <row r="299" spans="1:11">
      <c r="A299">
        <v>100000298</v>
      </c>
      <c r="B299" t="s">
        <v>194</v>
      </c>
      <c r="C299" t="s">
        <v>103</v>
      </c>
      <c r="D299" t="s">
        <v>16</v>
      </c>
      <c r="E299" s="9">
        <v>26</v>
      </c>
      <c r="F299" t="s">
        <v>12</v>
      </c>
      <c r="G299" t="s">
        <v>13</v>
      </c>
      <c r="H299" s="8">
        <v>42117</v>
      </c>
      <c r="I299">
        <v>14758.38</v>
      </c>
      <c r="K299" s="8"/>
    </row>
    <row r="300" spans="1:11">
      <c r="A300">
        <v>100000299</v>
      </c>
      <c r="B300" t="s">
        <v>265</v>
      </c>
      <c r="C300" t="s">
        <v>56</v>
      </c>
      <c r="D300" t="s">
        <v>16</v>
      </c>
      <c r="E300" s="9">
        <v>40</v>
      </c>
      <c r="F300" t="s">
        <v>12</v>
      </c>
      <c r="G300" t="s">
        <v>13</v>
      </c>
      <c r="H300" s="7">
        <v>42117</v>
      </c>
      <c r="I300">
        <v>14730.54</v>
      </c>
      <c r="K300" s="7"/>
    </row>
    <row r="301" spans="1:11">
      <c r="A301">
        <v>200000300</v>
      </c>
      <c r="B301" t="s">
        <v>197</v>
      </c>
      <c r="C301" t="s">
        <v>278</v>
      </c>
      <c r="D301" t="s">
        <v>11</v>
      </c>
      <c r="E301" s="9">
        <v>53</v>
      </c>
      <c r="F301" t="s">
        <v>32</v>
      </c>
      <c r="G301" t="s">
        <v>18</v>
      </c>
      <c r="H301" s="8">
        <v>42117</v>
      </c>
      <c r="I301">
        <v>64309.53</v>
      </c>
      <c r="K301" s="8"/>
    </row>
    <row r="302" spans="1:11">
      <c r="A302">
        <v>200000301</v>
      </c>
      <c r="B302" t="s">
        <v>280</v>
      </c>
      <c r="C302" t="s">
        <v>142</v>
      </c>
      <c r="D302" t="s">
        <v>11</v>
      </c>
      <c r="E302" s="9">
        <v>41</v>
      </c>
      <c r="F302" t="s">
        <v>32</v>
      </c>
      <c r="G302" t="s">
        <v>18</v>
      </c>
      <c r="H302" s="7">
        <v>42117</v>
      </c>
      <c r="I302">
        <v>99190.79</v>
      </c>
      <c r="K302" s="7"/>
    </row>
    <row r="303" spans="1:11">
      <c r="A303">
        <v>300000302</v>
      </c>
      <c r="B303" t="s">
        <v>51</v>
      </c>
      <c r="C303" t="s">
        <v>73</v>
      </c>
      <c r="D303" t="s">
        <v>11</v>
      </c>
      <c r="E303" s="9">
        <v>30</v>
      </c>
      <c r="F303" t="s">
        <v>23</v>
      </c>
      <c r="G303" t="s">
        <v>18</v>
      </c>
      <c r="H303" s="8">
        <v>42117</v>
      </c>
      <c r="I303">
        <v>13597.9</v>
      </c>
      <c r="K303" s="8"/>
    </row>
    <row r="304" spans="1:11">
      <c r="A304">
        <v>100000303</v>
      </c>
      <c r="B304" t="s">
        <v>255</v>
      </c>
      <c r="C304" t="s">
        <v>205</v>
      </c>
      <c r="D304" t="s">
        <v>11</v>
      </c>
      <c r="E304" s="9">
        <v>42</v>
      </c>
      <c r="F304" t="s">
        <v>12</v>
      </c>
      <c r="G304" t="s">
        <v>18</v>
      </c>
      <c r="H304" s="7">
        <v>42118</v>
      </c>
      <c r="I304">
        <v>122903.78</v>
      </c>
      <c r="K304" s="7"/>
    </row>
    <row r="305" spans="1:11">
      <c r="A305">
        <v>100000304</v>
      </c>
      <c r="B305" t="s">
        <v>184</v>
      </c>
      <c r="C305" t="s">
        <v>281</v>
      </c>
      <c r="D305" t="s">
        <v>16</v>
      </c>
      <c r="E305" s="9">
        <v>42</v>
      </c>
      <c r="F305" t="s">
        <v>12</v>
      </c>
      <c r="G305" t="s">
        <v>13</v>
      </c>
      <c r="H305" s="8">
        <v>42118</v>
      </c>
      <c r="I305">
        <v>30474.69</v>
      </c>
      <c r="K305" s="8"/>
    </row>
    <row r="306" spans="1:11">
      <c r="A306">
        <v>100000305</v>
      </c>
      <c r="B306" t="s">
        <v>118</v>
      </c>
      <c r="C306" t="s">
        <v>282</v>
      </c>
      <c r="D306" t="s">
        <v>11</v>
      </c>
      <c r="E306" s="9">
        <v>29</v>
      </c>
      <c r="F306" t="s">
        <v>12</v>
      </c>
      <c r="G306" t="s">
        <v>13</v>
      </c>
      <c r="H306" s="7">
        <v>42118</v>
      </c>
      <c r="I306">
        <v>8802.24</v>
      </c>
      <c r="K306" s="7"/>
    </row>
    <row r="307" spans="1:11">
      <c r="A307">
        <v>100000306</v>
      </c>
      <c r="B307" t="s">
        <v>112</v>
      </c>
      <c r="C307" t="s">
        <v>39</v>
      </c>
      <c r="D307" t="s">
        <v>11</v>
      </c>
      <c r="E307" s="9">
        <v>32</v>
      </c>
      <c r="F307" t="s">
        <v>12</v>
      </c>
      <c r="G307" t="s">
        <v>13</v>
      </c>
      <c r="H307" s="8">
        <v>42118</v>
      </c>
      <c r="I307">
        <v>60487.89</v>
      </c>
      <c r="K307" s="8"/>
    </row>
    <row r="308" spans="1:11">
      <c r="A308">
        <v>100000307</v>
      </c>
      <c r="B308" t="s">
        <v>283</v>
      </c>
      <c r="C308" t="s">
        <v>49</v>
      </c>
      <c r="D308" t="s">
        <v>11</v>
      </c>
      <c r="E308" s="9">
        <v>33</v>
      </c>
      <c r="F308" t="s">
        <v>12</v>
      </c>
      <c r="G308" t="s">
        <v>18</v>
      </c>
      <c r="H308" s="7">
        <v>42118</v>
      </c>
      <c r="I308">
        <v>2457.4</v>
      </c>
      <c r="K308" s="7"/>
    </row>
    <row r="309" spans="1:11">
      <c r="A309">
        <v>100000308</v>
      </c>
      <c r="B309" t="s">
        <v>190</v>
      </c>
      <c r="C309" t="s">
        <v>35</v>
      </c>
      <c r="D309" t="s">
        <v>11</v>
      </c>
      <c r="E309" s="9">
        <v>43</v>
      </c>
      <c r="F309" t="s">
        <v>12</v>
      </c>
      <c r="G309" t="s">
        <v>13</v>
      </c>
      <c r="H309" s="8">
        <v>42118</v>
      </c>
      <c r="I309">
        <v>33311.31</v>
      </c>
      <c r="K309" s="8"/>
    </row>
    <row r="310" spans="1:11">
      <c r="A310">
        <v>100000309</v>
      </c>
      <c r="B310" t="s">
        <v>218</v>
      </c>
      <c r="C310" t="s">
        <v>77</v>
      </c>
      <c r="D310" t="s">
        <v>11</v>
      </c>
      <c r="E310" s="9">
        <v>30</v>
      </c>
      <c r="F310" t="s">
        <v>12</v>
      </c>
      <c r="G310" t="s">
        <v>13</v>
      </c>
      <c r="H310" s="7">
        <v>42118</v>
      </c>
      <c r="I310">
        <v>21296.27</v>
      </c>
      <c r="K310" s="7"/>
    </row>
    <row r="311" spans="1:11">
      <c r="A311">
        <v>100000310</v>
      </c>
      <c r="B311" t="s">
        <v>284</v>
      </c>
      <c r="C311" t="s">
        <v>285</v>
      </c>
      <c r="D311" t="s">
        <v>16</v>
      </c>
      <c r="E311" s="9">
        <v>33</v>
      </c>
      <c r="F311" t="s">
        <v>12</v>
      </c>
      <c r="G311" t="s">
        <v>13</v>
      </c>
      <c r="H311" s="8">
        <v>42118</v>
      </c>
      <c r="I311">
        <v>60876.78</v>
      </c>
      <c r="K311" s="8"/>
    </row>
    <row r="312" spans="1:11">
      <c r="A312">
        <v>100000311</v>
      </c>
      <c r="B312" t="s">
        <v>70</v>
      </c>
      <c r="C312" t="s">
        <v>237</v>
      </c>
      <c r="D312" t="s">
        <v>11</v>
      </c>
      <c r="E312" s="9">
        <v>30</v>
      </c>
      <c r="F312" t="s">
        <v>12</v>
      </c>
      <c r="G312" t="s">
        <v>18</v>
      </c>
      <c r="H312" s="7">
        <v>42119</v>
      </c>
      <c r="I312">
        <v>26572.16</v>
      </c>
      <c r="K312" s="7"/>
    </row>
    <row r="313" spans="1:11">
      <c r="A313">
        <v>100000312</v>
      </c>
      <c r="B313" t="s">
        <v>152</v>
      </c>
      <c r="C313" t="s">
        <v>257</v>
      </c>
      <c r="D313" t="s">
        <v>11</v>
      </c>
      <c r="E313" s="9">
        <v>45</v>
      </c>
      <c r="F313" t="s">
        <v>12</v>
      </c>
      <c r="G313" t="s">
        <v>18</v>
      </c>
      <c r="H313" s="8">
        <v>42119</v>
      </c>
      <c r="I313">
        <v>21150.98</v>
      </c>
      <c r="K313" s="8"/>
    </row>
    <row r="314" spans="1:11">
      <c r="A314">
        <v>100000313</v>
      </c>
      <c r="B314" t="s">
        <v>251</v>
      </c>
      <c r="C314" t="s">
        <v>123</v>
      </c>
      <c r="D314" t="s">
        <v>16</v>
      </c>
      <c r="E314" s="9">
        <v>40</v>
      </c>
      <c r="F314" t="s">
        <v>12</v>
      </c>
      <c r="G314" t="s">
        <v>13</v>
      </c>
      <c r="H314" s="7">
        <v>42120</v>
      </c>
      <c r="I314">
        <v>65947.69</v>
      </c>
      <c r="K314" s="7"/>
    </row>
    <row r="315" spans="1:11">
      <c r="A315">
        <v>100000314</v>
      </c>
      <c r="B315" t="s">
        <v>166</v>
      </c>
      <c r="C315" t="s">
        <v>266</v>
      </c>
      <c r="D315" t="s">
        <v>16</v>
      </c>
      <c r="E315" s="9">
        <v>31</v>
      </c>
      <c r="F315" t="s">
        <v>12</v>
      </c>
      <c r="G315" t="s">
        <v>13</v>
      </c>
      <c r="H315" s="8">
        <v>42120</v>
      </c>
      <c r="I315">
        <v>86849.17</v>
      </c>
      <c r="K315" s="8"/>
    </row>
    <row r="316" spans="1:11">
      <c r="A316">
        <v>100000315</v>
      </c>
      <c r="B316" t="s">
        <v>193</v>
      </c>
      <c r="C316" t="s">
        <v>210</v>
      </c>
      <c r="D316" t="s">
        <v>11</v>
      </c>
      <c r="E316" s="9">
        <v>27</v>
      </c>
      <c r="F316" t="s">
        <v>12</v>
      </c>
      <c r="G316" t="s">
        <v>33</v>
      </c>
      <c r="H316" s="7">
        <v>42120</v>
      </c>
      <c r="I316">
        <v>7336.33</v>
      </c>
      <c r="K316" s="7"/>
    </row>
    <row r="317" spans="1:11">
      <c r="A317">
        <v>100000316</v>
      </c>
      <c r="B317" t="s">
        <v>232</v>
      </c>
      <c r="C317" t="s">
        <v>286</v>
      </c>
      <c r="D317" t="s">
        <v>16</v>
      </c>
      <c r="E317" s="9">
        <v>37</v>
      </c>
      <c r="F317" t="s">
        <v>12</v>
      </c>
      <c r="G317" t="s">
        <v>13</v>
      </c>
      <c r="H317" s="8">
        <v>42120</v>
      </c>
      <c r="I317">
        <v>5611.36</v>
      </c>
      <c r="K317" s="8"/>
    </row>
    <row r="318" spans="1:11">
      <c r="A318">
        <v>100000317</v>
      </c>
      <c r="B318" t="s">
        <v>19</v>
      </c>
      <c r="C318" t="s">
        <v>164</v>
      </c>
      <c r="D318" t="s">
        <v>11</v>
      </c>
      <c r="E318" s="9">
        <v>35</v>
      </c>
      <c r="F318" t="s">
        <v>12</v>
      </c>
      <c r="G318" t="s">
        <v>13</v>
      </c>
      <c r="H318" s="7">
        <v>42120</v>
      </c>
      <c r="I318">
        <v>43790.83</v>
      </c>
      <c r="K318" s="7"/>
    </row>
    <row r="319" spans="1:11">
      <c r="A319">
        <v>100000318</v>
      </c>
      <c r="B319" t="s">
        <v>194</v>
      </c>
      <c r="C319" t="s">
        <v>106</v>
      </c>
      <c r="D319" t="s">
        <v>16</v>
      </c>
      <c r="E319" s="9">
        <v>43</v>
      </c>
      <c r="F319" t="s">
        <v>12</v>
      </c>
      <c r="G319" t="s">
        <v>18</v>
      </c>
      <c r="H319" s="8">
        <v>42121</v>
      </c>
      <c r="I319">
        <v>1537.23</v>
      </c>
      <c r="K319" s="8"/>
    </row>
    <row r="320" spans="1:11">
      <c r="A320">
        <v>100000319</v>
      </c>
      <c r="B320" t="s">
        <v>190</v>
      </c>
      <c r="C320" t="s">
        <v>134</v>
      </c>
      <c r="D320" t="s">
        <v>11</v>
      </c>
      <c r="E320" s="9">
        <v>30</v>
      </c>
      <c r="F320" t="s">
        <v>12</v>
      </c>
      <c r="G320" t="s">
        <v>13</v>
      </c>
      <c r="H320" s="7">
        <v>42121</v>
      </c>
      <c r="I320">
        <v>23015.54</v>
      </c>
      <c r="K320" s="7"/>
    </row>
    <row r="321" spans="1:11">
      <c r="A321">
        <v>100000320</v>
      </c>
      <c r="B321" t="s">
        <v>40</v>
      </c>
      <c r="C321" t="s">
        <v>224</v>
      </c>
      <c r="D321" t="s">
        <v>11</v>
      </c>
      <c r="E321" s="9">
        <v>34</v>
      </c>
      <c r="F321" t="s">
        <v>12</v>
      </c>
      <c r="G321" t="s">
        <v>13</v>
      </c>
      <c r="H321" s="8">
        <v>42121</v>
      </c>
      <c r="I321">
        <v>42984.36</v>
      </c>
      <c r="K321" s="8"/>
    </row>
    <row r="322" spans="1:11">
      <c r="A322">
        <v>100000321</v>
      </c>
      <c r="B322" t="s">
        <v>181</v>
      </c>
      <c r="C322" t="s">
        <v>124</v>
      </c>
      <c r="D322" t="s">
        <v>11</v>
      </c>
      <c r="E322" s="9">
        <v>43</v>
      </c>
      <c r="F322" t="s">
        <v>12</v>
      </c>
      <c r="G322" t="s">
        <v>18</v>
      </c>
      <c r="H322" s="7">
        <v>42121</v>
      </c>
      <c r="I322">
        <v>67809.289999999994</v>
      </c>
      <c r="K322" s="7"/>
    </row>
    <row r="323" spans="1:11">
      <c r="A323">
        <v>100000322</v>
      </c>
      <c r="B323" t="s">
        <v>68</v>
      </c>
      <c r="C323" t="s">
        <v>279</v>
      </c>
      <c r="D323" t="s">
        <v>16</v>
      </c>
      <c r="E323" s="9">
        <v>30</v>
      </c>
      <c r="F323" t="s">
        <v>12</v>
      </c>
      <c r="G323" t="s">
        <v>33</v>
      </c>
      <c r="H323" s="8">
        <v>42121</v>
      </c>
      <c r="I323">
        <v>35117.339999999997</v>
      </c>
      <c r="K323" s="8"/>
    </row>
    <row r="324" spans="1:11">
      <c r="A324">
        <v>100000323</v>
      </c>
      <c r="B324" t="s">
        <v>287</v>
      </c>
      <c r="C324" t="s">
        <v>69</v>
      </c>
      <c r="D324" t="s">
        <v>16</v>
      </c>
      <c r="E324" s="9">
        <v>21</v>
      </c>
      <c r="F324" t="s">
        <v>12</v>
      </c>
      <c r="G324" t="s">
        <v>13</v>
      </c>
      <c r="H324" s="7">
        <v>42121</v>
      </c>
      <c r="I324">
        <v>45045.19</v>
      </c>
      <c r="K324" s="7"/>
    </row>
    <row r="325" spans="1:11">
      <c r="A325">
        <v>100000324</v>
      </c>
      <c r="B325" t="s">
        <v>137</v>
      </c>
      <c r="C325" t="s">
        <v>47</v>
      </c>
      <c r="D325" t="s">
        <v>11</v>
      </c>
      <c r="E325" s="9">
        <v>54</v>
      </c>
      <c r="F325" t="s">
        <v>12</v>
      </c>
      <c r="G325" t="s">
        <v>13</v>
      </c>
      <c r="H325" s="8">
        <v>42121</v>
      </c>
      <c r="I325">
        <v>33113.21</v>
      </c>
      <c r="K325" s="8"/>
    </row>
    <row r="326" spans="1:11">
      <c r="A326">
        <v>100000325</v>
      </c>
      <c r="B326" t="s">
        <v>55</v>
      </c>
      <c r="C326" t="s">
        <v>219</v>
      </c>
      <c r="D326" t="s">
        <v>11</v>
      </c>
      <c r="E326" s="9">
        <v>35</v>
      </c>
      <c r="F326" t="s">
        <v>12</v>
      </c>
      <c r="G326" t="s">
        <v>33</v>
      </c>
      <c r="H326" s="7">
        <v>42122</v>
      </c>
      <c r="I326">
        <v>41080.730000000003</v>
      </c>
      <c r="K326" s="7"/>
    </row>
    <row r="327" spans="1:11">
      <c r="A327">
        <v>100000326</v>
      </c>
      <c r="B327" t="s">
        <v>284</v>
      </c>
      <c r="C327" t="s">
        <v>239</v>
      </c>
      <c r="D327" t="s">
        <v>16</v>
      </c>
      <c r="E327" s="9">
        <v>42</v>
      </c>
      <c r="F327" t="s">
        <v>12</v>
      </c>
      <c r="G327" t="s">
        <v>13</v>
      </c>
      <c r="H327" s="8">
        <v>42122</v>
      </c>
      <c r="I327">
        <v>71637.039999999994</v>
      </c>
      <c r="K327" s="8"/>
    </row>
    <row r="328" spans="1:11">
      <c r="A328">
        <v>100000327</v>
      </c>
      <c r="B328" t="s">
        <v>36</v>
      </c>
      <c r="C328" t="s">
        <v>15</v>
      </c>
      <c r="D328" t="s">
        <v>11</v>
      </c>
      <c r="E328" s="9">
        <v>40</v>
      </c>
      <c r="F328" t="s">
        <v>12</v>
      </c>
      <c r="G328" t="s">
        <v>33</v>
      </c>
      <c r="H328" s="7">
        <v>42122</v>
      </c>
      <c r="I328">
        <v>7463.59</v>
      </c>
      <c r="K328" s="7"/>
    </row>
    <row r="329" spans="1:11">
      <c r="A329">
        <v>100000328</v>
      </c>
      <c r="B329" t="s">
        <v>74</v>
      </c>
      <c r="C329" t="s">
        <v>288</v>
      </c>
      <c r="D329" t="s">
        <v>16</v>
      </c>
      <c r="E329" s="9">
        <v>34</v>
      </c>
      <c r="F329" t="s">
        <v>12</v>
      </c>
      <c r="G329" t="s">
        <v>13</v>
      </c>
      <c r="H329" s="8">
        <v>42122</v>
      </c>
      <c r="I329">
        <v>2016.84</v>
      </c>
      <c r="K329" s="8"/>
    </row>
    <row r="330" spans="1:11">
      <c r="A330">
        <v>100000329</v>
      </c>
      <c r="B330" t="s">
        <v>24</v>
      </c>
      <c r="C330" t="s">
        <v>27</v>
      </c>
      <c r="D330" t="s">
        <v>16</v>
      </c>
      <c r="E330" s="9">
        <v>37</v>
      </c>
      <c r="F330" t="s">
        <v>12</v>
      </c>
      <c r="G330" t="s">
        <v>13</v>
      </c>
      <c r="H330" s="7">
        <v>42122</v>
      </c>
      <c r="I330">
        <v>12405.07</v>
      </c>
      <c r="K330" s="7"/>
    </row>
    <row r="331" spans="1:11">
      <c r="A331">
        <v>100000330</v>
      </c>
      <c r="B331" t="s">
        <v>229</v>
      </c>
      <c r="C331" t="s">
        <v>247</v>
      </c>
      <c r="D331" t="s">
        <v>16</v>
      </c>
      <c r="E331" s="9">
        <v>31</v>
      </c>
      <c r="F331" t="s">
        <v>12</v>
      </c>
      <c r="G331" t="s">
        <v>13</v>
      </c>
      <c r="H331" s="8">
        <v>42122</v>
      </c>
      <c r="I331">
        <v>19933.38</v>
      </c>
      <c r="K331" s="8"/>
    </row>
    <row r="332" spans="1:11">
      <c r="A332">
        <v>100000331</v>
      </c>
      <c r="B332" t="s">
        <v>191</v>
      </c>
      <c r="C332" t="s">
        <v>289</v>
      </c>
      <c r="D332" t="s">
        <v>11</v>
      </c>
      <c r="E332" s="9">
        <v>44</v>
      </c>
      <c r="F332" t="s">
        <v>12</v>
      </c>
      <c r="G332" t="s">
        <v>13</v>
      </c>
      <c r="H332" s="7">
        <v>42122</v>
      </c>
      <c r="I332">
        <v>50015.54</v>
      </c>
      <c r="K332" s="7"/>
    </row>
    <row r="333" spans="1:11">
      <c r="A333">
        <v>100000332</v>
      </c>
      <c r="B333" t="s">
        <v>99</v>
      </c>
      <c r="C333" t="s">
        <v>95</v>
      </c>
      <c r="D333" t="s">
        <v>16</v>
      </c>
      <c r="E333" s="9">
        <v>34</v>
      </c>
      <c r="F333" t="s">
        <v>12</v>
      </c>
      <c r="G333" t="s">
        <v>13</v>
      </c>
      <c r="H333" s="8">
        <v>42122</v>
      </c>
      <c r="I333">
        <v>24709.89</v>
      </c>
      <c r="K333" s="8"/>
    </row>
    <row r="334" spans="1:11">
      <c r="A334">
        <v>200000333</v>
      </c>
      <c r="B334" t="s">
        <v>137</v>
      </c>
      <c r="C334" t="s">
        <v>224</v>
      </c>
      <c r="D334" t="s">
        <v>11</v>
      </c>
      <c r="E334" s="9">
        <v>54</v>
      </c>
      <c r="F334" t="s">
        <v>32</v>
      </c>
      <c r="G334" t="s">
        <v>18</v>
      </c>
      <c r="H334" s="7">
        <v>42122</v>
      </c>
      <c r="I334">
        <v>15859.07</v>
      </c>
      <c r="K334" s="7"/>
    </row>
    <row r="335" spans="1:11">
      <c r="A335">
        <v>100000334</v>
      </c>
      <c r="B335" t="s">
        <v>99</v>
      </c>
      <c r="C335" t="s">
        <v>127</v>
      </c>
      <c r="D335" t="s">
        <v>16</v>
      </c>
      <c r="E335" s="9">
        <v>33</v>
      </c>
      <c r="F335" t="s">
        <v>12</v>
      </c>
      <c r="G335" t="s">
        <v>13</v>
      </c>
      <c r="H335" s="8">
        <v>42123</v>
      </c>
      <c r="I335">
        <v>41128.519999999997</v>
      </c>
      <c r="K335" s="8"/>
    </row>
    <row r="336" spans="1:11">
      <c r="A336">
        <v>100000335</v>
      </c>
      <c r="B336" t="s">
        <v>81</v>
      </c>
      <c r="C336" t="s">
        <v>163</v>
      </c>
      <c r="D336" t="s">
        <v>16</v>
      </c>
      <c r="E336" s="9">
        <v>42</v>
      </c>
      <c r="F336" t="s">
        <v>12</v>
      </c>
      <c r="G336" t="s">
        <v>18</v>
      </c>
      <c r="H336" s="7">
        <v>42123</v>
      </c>
      <c r="I336">
        <v>7583.72</v>
      </c>
      <c r="K336" s="7"/>
    </row>
    <row r="337" spans="1:11">
      <c r="A337">
        <v>100000336</v>
      </c>
      <c r="B337" t="s">
        <v>243</v>
      </c>
      <c r="C337" t="s">
        <v>77</v>
      </c>
      <c r="D337" t="s">
        <v>16</v>
      </c>
      <c r="E337" s="9">
        <v>36</v>
      </c>
      <c r="F337" t="s">
        <v>12</v>
      </c>
      <c r="G337" t="s">
        <v>13</v>
      </c>
      <c r="H337" s="8">
        <v>42123</v>
      </c>
      <c r="I337">
        <v>25132.97</v>
      </c>
      <c r="K337" s="8"/>
    </row>
    <row r="338" spans="1:11">
      <c r="A338">
        <v>100000337</v>
      </c>
      <c r="B338" t="s">
        <v>243</v>
      </c>
      <c r="C338" t="s">
        <v>252</v>
      </c>
      <c r="D338" t="s">
        <v>16</v>
      </c>
      <c r="E338" s="9">
        <v>22</v>
      </c>
      <c r="F338" t="s">
        <v>12</v>
      </c>
      <c r="G338" t="s">
        <v>13</v>
      </c>
      <c r="H338" s="7">
        <v>42123</v>
      </c>
      <c r="I338">
        <v>70526.58</v>
      </c>
      <c r="K338" s="7"/>
    </row>
    <row r="339" spans="1:11">
      <c r="A339">
        <v>100000338</v>
      </c>
      <c r="B339" t="s">
        <v>79</v>
      </c>
      <c r="C339" t="s">
        <v>82</v>
      </c>
      <c r="D339" t="s">
        <v>11</v>
      </c>
      <c r="E339" s="9">
        <v>42</v>
      </c>
      <c r="F339" t="s">
        <v>12</v>
      </c>
      <c r="G339" t="s">
        <v>13</v>
      </c>
      <c r="H339" s="8">
        <v>42123</v>
      </c>
      <c r="I339">
        <v>31273.66</v>
      </c>
      <c r="K339" s="8"/>
    </row>
    <row r="340" spans="1:11">
      <c r="A340">
        <v>200000339</v>
      </c>
      <c r="B340" t="s">
        <v>249</v>
      </c>
      <c r="C340" t="s">
        <v>160</v>
      </c>
      <c r="D340" t="s">
        <v>16</v>
      </c>
      <c r="E340" s="9">
        <v>58</v>
      </c>
      <c r="F340" t="s">
        <v>32</v>
      </c>
      <c r="G340" t="s">
        <v>33</v>
      </c>
      <c r="H340" s="7">
        <v>42123</v>
      </c>
      <c r="I340">
        <v>33008.01</v>
      </c>
      <c r="K340" s="7"/>
    </row>
    <row r="341" spans="1:11">
      <c r="A341">
        <v>300000340</v>
      </c>
      <c r="B341" t="s">
        <v>158</v>
      </c>
      <c r="C341" t="s">
        <v>290</v>
      </c>
      <c r="D341" t="s">
        <v>16</v>
      </c>
      <c r="E341" s="9">
        <v>20</v>
      </c>
      <c r="F341" t="s">
        <v>23</v>
      </c>
      <c r="G341" t="s">
        <v>13</v>
      </c>
      <c r="H341" s="8">
        <v>42123</v>
      </c>
      <c r="I341">
        <v>1488.04</v>
      </c>
      <c r="K341" s="8"/>
    </row>
    <row r="342" spans="1:11">
      <c r="A342">
        <v>100000341</v>
      </c>
      <c r="B342" t="s">
        <v>14</v>
      </c>
      <c r="C342" t="s">
        <v>225</v>
      </c>
      <c r="D342" t="s">
        <v>16</v>
      </c>
      <c r="E342" s="9">
        <v>29</v>
      </c>
      <c r="F342" t="s">
        <v>12</v>
      </c>
      <c r="G342" t="s">
        <v>13</v>
      </c>
      <c r="H342" s="7">
        <v>42124</v>
      </c>
      <c r="I342">
        <v>4507.91</v>
      </c>
      <c r="K342" s="7"/>
    </row>
    <row r="343" spans="1:11">
      <c r="A343">
        <v>100000342</v>
      </c>
      <c r="B343" t="s">
        <v>235</v>
      </c>
      <c r="C343" t="s">
        <v>281</v>
      </c>
      <c r="D343" t="s">
        <v>11</v>
      </c>
      <c r="E343" s="9">
        <v>38</v>
      </c>
      <c r="F343" t="s">
        <v>12</v>
      </c>
      <c r="G343" t="s">
        <v>13</v>
      </c>
      <c r="H343" s="8">
        <v>42124</v>
      </c>
      <c r="I343">
        <v>18433.59</v>
      </c>
      <c r="K343" s="8"/>
    </row>
    <row r="344" spans="1:11">
      <c r="A344">
        <v>100000343</v>
      </c>
      <c r="B344" t="s">
        <v>231</v>
      </c>
      <c r="C344" t="s">
        <v>241</v>
      </c>
      <c r="D344" t="s">
        <v>11</v>
      </c>
      <c r="E344" s="9">
        <v>33</v>
      </c>
      <c r="F344" t="s">
        <v>12</v>
      </c>
      <c r="G344" t="s">
        <v>13</v>
      </c>
      <c r="H344" s="7">
        <v>42124</v>
      </c>
      <c r="I344">
        <v>30907.61</v>
      </c>
      <c r="K344" s="7"/>
    </row>
    <row r="345" spans="1:11">
      <c r="A345">
        <v>100000344</v>
      </c>
      <c r="B345" t="s">
        <v>194</v>
      </c>
      <c r="C345" t="s">
        <v>15</v>
      </c>
      <c r="D345" t="s">
        <v>16</v>
      </c>
      <c r="E345" s="9">
        <v>35</v>
      </c>
      <c r="F345" t="s">
        <v>12</v>
      </c>
      <c r="G345" t="s">
        <v>13</v>
      </c>
      <c r="H345" s="8">
        <v>42124</v>
      </c>
      <c r="I345">
        <v>58807.73</v>
      </c>
      <c r="K345" s="8"/>
    </row>
    <row r="346" spans="1:11">
      <c r="A346">
        <v>100000345</v>
      </c>
      <c r="B346" t="s">
        <v>38</v>
      </c>
      <c r="C346" t="s">
        <v>52</v>
      </c>
      <c r="D346" t="s">
        <v>11</v>
      </c>
      <c r="E346" s="9">
        <v>36</v>
      </c>
      <c r="F346" t="s">
        <v>12</v>
      </c>
      <c r="G346" t="s">
        <v>13</v>
      </c>
      <c r="H346" s="7">
        <v>42124</v>
      </c>
      <c r="I346">
        <v>10174.700000000001</v>
      </c>
      <c r="K346" s="7"/>
    </row>
    <row r="347" spans="1:11">
      <c r="A347">
        <v>100000346</v>
      </c>
      <c r="B347" t="s">
        <v>280</v>
      </c>
      <c r="C347" t="s">
        <v>140</v>
      </c>
      <c r="D347" t="s">
        <v>11</v>
      </c>
      <c r="E347" s="9">
        <v>31</v>
      </c>
      <c r="F347" t="s">
        <v>12</v>
      </c>
      <c r="G347" t="s">
        <v>13</v>
      </c>
      <c r="H347" s="8">
        <v>42126</v>
      </c>
      <c r="I347">
        <v>20570.41</v>
      </c>
      <c r="K347" s="8"/>
    </row>
    <row r="348" spans="1:11">
      <c r="A348">
        <v>200000347</v>
      </c>
      <c r="B348" t="s">
        <v>79</v>
      </c>
      <c r="C348" t="s">
        <v>289</v>
      </c>
      <c r="D348" t="s">
        <v>11</v>
      </c>
      <c r="E348" s="9">
        <v>56</v>
      </c>
      <c r="F348" t="s">
        <v>32</v>
      </c>
      <c r="G348" t="s">
        <v>33</v>
      </c>
      <c r="H348" s="7">
        <v>42126</v>
      </c>
      <c r="I348">
        <v>70950.09</v>
      </c>
      <c r="K348" s="7"/>
    </row>
    <row r="349" spans="1:11">
      <c r="A349">
        <v>200000348</v>
      </c>
      <c r="B349" t="s">
        <v>261</v>
      </c>
      <c r="C349" t="s">
        <v>291</v>
      </c>
      <c r="D349" t="s">
        <v>11</v>
      </c>
      <c r="E349" s="9">
        <v>51</v>
      </c>
      <c r="F349" t="s">
        <v>32</v>
      </c>
      <c r="G349" t="s">
        <v>33</v>
      </c>
      <c r="H349" s="8">
        <v>42126</v>
      </c>
      <c r="I349">
        <v>27842.09</v>
      </c>
      <c r="K349" s="8"/>
    </row>
    <row r="350" spans="1:11">
      <c r="A350">
        <v>200000349</v>
      </c>
      <c r="B350" t="s">
        <v>107</v>
      </c>
      <c r="C350" t="s">
        <v>292</v>
      </c>
      <c r="D350" t="s">
        <v>11</v>
      </c>
      <c r="E350" s="9">
        <v>55</v>
      </c>
      <c r="F350" t="s">
        <v>32</v>
      </c>
      <c r="G350" t="s">
        <v>18</v>
      </c>
      <c r="H350" s="7">
        <v>42126</v>
      </c>
      <c r="I350">
        <v>60036.51</v>
      </c>
      <c r="K350" s="7"/>
    </row>
    <row r="351" spans="1:11">
      <c r="A351">
        <v>200000350</v>
      </c>
      <c r="B351" t="s">
        <v>293</v>
      </c>
      <c r="C351" t="s">
        <v>294</v>
      </c>
      <c r="D351" t="s">
        <v>11</v>
      </c>
      <c r="E351" s="9">
        <v>61</v>
      </c>
      <c r="F351" t="s">
        <v>32</v>
      </c>
      <c r="G351" t="s">
        <v>18</v>
      </c>
      <c r="H351" s="8">
        <v>42126</v>
      </c>
      <c r="I351">
        <v>31920.69</v>
      </c>
      <c r="K351" s="8"/>
    </row>
    <row r="352" spans="1:11">
      <c r="A352">
        <v>300000351</v>
      </c>
      <c r="B352" t="s">
        <v>46</v>
      </c>
      <c r="C352" t="s">
        <v>103</v>
      </c>
      <c r="D352" t="s">
        <v>11</v>
      </c>
      <c r="E352" s="9">
        <v>38</v>
      </c>
      <c r="F352" t="s">
        <v>23</v>
      </c>
      <c r="G352" t="s">
        <v>18</v>
      </c>
      <c r="H352" s="7">
        <v>42126</v>
      </c>
      <c r="I352">
        <v>48457.2</v>
      </c>
      <c r="K352" s="7"/>
    </row>
    <row r="353" spans="1:11">
      <c r="A353">
        <v>200000352</v>
      </c>
      <c r="B353" t="s">
        <v>111</v>
      </c>
      <c r="C353" t="s">
        <v>203</v>
      </c>
      <c r="D353" t="s">
        <v>11</v>
      </c>
      <c r="E353" s="9">
        <v>51</v>
      </c>
      <c r="F353" t="s">
        <v>32</v>
      </c>
      <c r="G353" t="s">
        <v>13</v>
      </c>
      <c r="H353" s="8">
        <v>42127</v>
      </c>
      <c r="I353">
        <v>90573.15</v>
      </c>
      <c r="K353" s="8"/>
    </row>
    <row r="354" spans="1:11">
      <c r="A354">
        <v>200000353</v>
      </c>
      <c r="B354" t="s">
        <v>254</v>
      </c>
      <c r="C354" t="s">
        <v>104</v>
      </c>
      <c r="D354" t="s">
        <v>11</v>
      </c>
      <c r="E354" s="9">
        <v>58</v>
      </c>
      <c r="F354" t="s">
        <v>32</v>
      </c>
      <c r="G354" t="s">
        <v>18</v>
      </c>
      <c r="H354" s="7">
        <v>42127</v>
      </c>
      <c r="I354">
        <v>6416.8</v>
      </c>
      <c r="K354" s="7"/>
    </row>
    <row r="355" spans="1:11">
      <c r="A355">
        <v>200000354</v>
      </c>
      <c r="B355" t="s">
        <v>173</v>
      </c>
      <c r="C355" t="s">
        <v>295</v>
      </c>
      <c r="D355" t="s">
        <v>11</v>
      </c>
      <c r="E355" s="9">
        <v>42</v>
      </c>
      <c r="F355" t="s">
        <v>32</v>
      </c>
      <c r="G355" t="s">
        <v>33</v>
      </c>
      <c r="H355" s="8">
        <v>42127</v>
      </c>
      <c r="I355">
        <v>13414.22</v>
      </c>
      <c r="K355" s="8"/>
    </row>
    <row r="356" spans="1:11">
      <c r="A356">
        <v>200000355</v>
      </c>
      <c r="B356" t="s">
        <v>296</v>
      </c>
      <c r="C356" t="s">
        <v>258</v>
      </c>
      <c r="D356" t="s">
        <v>11</v>
      </c>
      <c r="E356" s="9">
        <v>46</v>
      </c>
      <c r="F356" t="s">
        <v>32</v>
      </c>
      <c r="G356" t="s">
        <v>18</v>
      </c>
      <c r="H356" s="7">
        <v>42127</v>
      </c>
      <c r="I356">
        <v>10950.36</v>
      </c>
      <c r="K356" s="7"/>
    </row>
    <row r="357" spans="1:11">
      <c r="A357">
        <v>200000356</v>
      </c>
      <c r="B357" t="s">
        <v>64</v>
      </c>
      <c r="C357" t="s">
        <v>297</v>
      </c>
      <c r="D357" t="s">
        <v>11</v>
      </c>
      <c r="E357" s="9">
        <v>42</v>
      </c>
      <c r="F357" t="s">
        <v>32</v>
      </c>
      <c r="G357" t="s">
        <v>18</v>
      </c>
      <c r="H357" s="8">
        <v>42127</v>
      </c>
      <c r="I357">
        <v>17740.509999999998</v>
      </c>
      <c r="K357" s="8"/>
    </row>
    <row r="358" spans="1:11">
      <c r="A358">
        <v>300000357</v>
      </c>
      <c r="B358" t="s">
        <v>232</v>
      </c>
      <c r="C358" t="s">
        <v>153</v>
      </c>
      <c r="D358" t="s">
        <v>16</v>
      </c>
      <c r="E358" s="9">
        <v>27</v>
      </c>
      <c r="F358" t="s">
        <v>23</v>
      </c>
      <c r="G358" t="s">
        <v>33</v>
      </c>
      <c r="H358" s="7">
        <v>42127</v>
      </c>
      <c r="I358">
        <v>18106.22</v>
      </c>
      <c r="K358" s="7"/>
    </row>
    <row r="359" spans="1:11">
      <c r="A359">
        <v>300000358</v>
      </c>
      <c r="B359" t="s">
        <v>9</v>
      </c>
      <c r="C359" t="s">
        <v>224</v>
      </c>
      <c r="D359" t="s">
        <v>11</v>
      </c>
      <c r="E359" s="9">
        <v>28</v>
      </c>
      <c r="F359" t="s">
        <v>23</v>
      </c>
      <c r="G359" t="s">
        <v>18</v>
      </c>
      <c r="H359" s="8">
        <v>42127</v>
      </c>
      <c r="I359">
        <v>6729.3</v>
      </c>
      <c r="K359" s="8"/>
    </row>
    <row r="360" spans="1:11">
      <c r="A360">
        <v>400000359</v>
      </c>
      <c r="B360" t="s">
        <v>267</v>
      </c>
      <c r="C360" t="s">
        <v>41</v>
      </c>
      <c r="D360" t="s">
        <v>16</v>
      </c>
      <c r="E360" s="9">
        <v>17</v>
      </c>
      <c r="F360" t="s">
        <v>17</v>
      </c>
      <c r="G360" t="s">
        <v>33</v>
      </c>
      <c r="H360" s="7">
        <v>42127</v>
      </c>
      <c r="I360">
        <v>65798.399999999994</v>
      </c>
      <c r="K360" s="7"/>
    </row>
    <row r="361" spans="1:11">
      <c r="A361">
        <v>100000360</v>
      </c>
      <c r="B361" t="s">
        <v>165</v>
      </c>
      <c r="C361" t="s">
        <v>69</v>
      </c>
      <c r="D361" t="s">
        <v>16</v>
      </c>
      <c r="E361" s="9">
        <v>44</v>
      </c>
      <c r="F361" t="s">
        <v>12</v>
      </c>
      <c r="G361" t="s">
        <v>13</v>
      </c>
      <c r="H361" s="8">
        <v>42128</v>
      </c>
      <c r="I361">
        <v>8118.3</v>
      </c>
      <c r="K361" s="8"/>
    </row>
    <row r="362" spans="1:11">
      <c r="A362">
        <v>200000361</v>
      </c>
      <c r="B362" t="s">
        <v>101</v>
      </c>
      <c r="C362" t="s">
        <v>288</v>
      </c>
      <c r="D362" t="s">
        <v>11</v>
      </c>
      <c r="E362" s="9">
        <v>45</v>
      </c>
      <c r="F362" t="s">
        <v>32</v>
      </c>
      <c r="G362" t="s">
        <v>18</v>
      </c>
      <c r="H362" s="7">
        <v>42128</v>
      </c>
      <c r="I362">
        <v>68256.88</v>
      </c>
      <c r="K362" s="7"/>
    </row>
    <row r="363" spans="1:11">
      <c r="A363">
        <v>200000362</v>
      </c>
      <c r="B363" t="s">
        <v>159</v>
      </c>
      <c r="C363" t="s">
        <v>240</v>
      </c>
      <c r="D363" t="s">
        <v>11</v>
      </c>
      <c r="E363" s="9">
        <v>52</v>
      </c>
      <c r="F363" t="s">
        <v>32</v>
      </c>
      <c r="G363" t="s">
        <v>13</v>
      </c>
      <c r="H363" s="8">
        <v>42128</v>
      </c>
      <c r="I363">
        <v>107185.54</v>
      </c>
      <c r="K363" s="8"/>
    </row>
    <row r="364" spans="1:11">
      <c r="A364">
        <v>200000363</v>
      </c>
      <c r="B364" t="s">
        <v>261</v>
      </c>
      <c r="C364" t="s">
        <v>56</v>
      </c>
      <c r="D364" t="s">
        <v>11</v>
      </c>
      <c r="E364" s="9">
        <v>45</v>
      </c>
      <c r="F364" t="s">
        <v>32</v>
      </c>
      <c r="G364" t="s">
        <v>18</v>
      </c>
      <c r="H364" s="7">
        <v>42128</v>
      </c>
      <c r="I364">
        <v>24064.3</v>
      </c>
      <c r="K364" s="7"/>
    </row>
    <row r="365" spans="1:11">
      <c r="A365">
        <v>300000364</v>
      </c>
      <c r="B365" t="s">
        <v>298</v>
      </c>
      <c r="C365" t="s">
        <v>116</v>
      </c>
      <c r="D365" t="s">
        <v>16</v>
      </c>
      <c r="E365" s="9">
        <v>34</v>
      </c>
      <c r="F365" t="s">
        <v>23</v>
      </c>
      <c r="G365" t="s">
        <v>13</v>
      </c>
      <c r="H365" s="8">
        <v>42128</v>
      </c>
      <c r="I365">
        <v>5654.34</v>
      </c>
      <c r="K365" s="8"/>
    </row>
    <row r="366" spans="1:11">
      <c r="A366">
        <v>300000365</v>
      </c>
      <c r="B366" t="s">
        <v>28</v>
      </c>
      <c r="C366" t="s">
        <v>58</v>
      </c>
      <c r="D366" t="s">
        <v>16</v>
      </c>
      <c r="E366" s="9">
        <v>28</v>
      </c>
      <c r="F366" t="s">
        <v>23</v>
      </c>
      <c r="G366" t="s">
        <v>33</v>
      </c>
      <c r="H366" s="7">
        <v>42128</v>
      </c>
      <c r="I366">
        <v>65204.55</v>
      </c>
      <c r="K366" s="7"/>
    </row>
    <row r="367" spans="1:11">
      <c r="A367">
        <v>300000366</v>
      </c>
      <c r="B367" t="s">
        <v>28</v>
      </c>
      <c r="C367" t="s">
        <v>299</v>
      </c>
      <c r="D367" t="s">
        <v>16</v>
      </c>
      <c r="E367" s="9">
        <v>35</v>
      </c>
      <c r="F367" t="s">
        <v>23</v>
      </c>
      <c r="G367" t="s">
        <v>13</v>
      </c>
      <c r="H367" s="8">
        <v>42128</v>
      </c>
      <c r="I367">
        <v>17495.5</v>
      </c>
      <c r="K367" s="8"/>
    </row>
    <row r="368" spans="1:11">
      <c r="A368">
        <v>300000367</v>
      </c>
      <c r="B368" t="s">
        <v>81</v>
      </c>
      <c r="C368" t="s">
        <v>209</v>
      </c>
      <c r="D368" t="s">
        <v>16</v>
      </c>
      <c r="E368" s="9">
        <v>32</v>
      </c>
      <c r="F368" t="s">
        <v>23</v>
      </c>
      <c r="G368" t="s">
        <v>13</v>
      </c>
      <c r="H368" s="7">
        <v>42128</v>
      </c>
      <c r="I368">
        <v>18897.91</v>
      </c>
      <c r="K368" s="7"/>
    </row>
    <row r="369" spans="1:11">
      <c r="A369">
        <v>400000368</v>
      </c>
      <c r="B369" t="s">
        <v>131</v>
      </c>
      <c r="C369" t="s">
        <v>130</v>
      </c>
      <c r="D369" t="s">
        <v>16</v>
      </c>
      <c r="E369" s="9">
        <v>31</v>
      </c>
      <c r="F369" t="s">
        <v>17</v>
      </c>
      <c r="G369" t="s">
        <v>33</v>
      </c>
      <c r="H369" s="8">
        <v>42128</v>
      </c>
      <c r="I369">
        <v>62299.63</v>
      </c>
      <c r="K369" s="8"/>
    </row>
    <row r="370" spans="1:11">
      <c r="A370">
        <v>100000369</v>
      </c>
      <c r="B370" t="s">
        <v>139</v>
      </c>
      <c r="C370" t="s">
        <v>61</v>
      </c>
      <c r="D370" t="s">
        <v>16</v>
      </c>
      <c r="E370" s="9">
        <v>38</v>
      </c>
      <c r="F370" t="s">
        <v>12</v>
      </c>
      <c r="G370" t="s">
        <v>13</v>
      </c>
      <c r="H370" s="7">
        <v>42129</v>
      </c>
      <c r="I370">
        <v>40010.06</v>
      </c>
      <c r="K370" s="7"/>
    </row>
    <row r="371" spans="1:11">
      <c r="A371">
        <v>200000370</v>
      </c>
      <c r="B371" t="s">
        <v>159</v>
      </c>
      <c r="C371" t="s">
        <v>172</v>
      </c>
      <c r="D371" t="s">
        <v>11</v>
      </c>
      <c r="E371" s="9">
        <v>62</v>
      </c>
      <c r="F371" t="s">
        <v>32</v>
      </c>
      <c r="G371" t="s">
        <v>33</v>
      </c>
      <c r="H371" s="8">
        <v>42129</v>
      </c>
      <c r="I371">
        <v>53342.1</v>
      </c>
      <c r="K371" s="8"/>
    </row>
    <row r="372" spans="1:11">
      <c r="A372">
        <v>200000371</v>
      </c>
      <c r="B372" t="s">
        <v>245</v>
      </c>
      <c r="C372" t="s">
        <v>294</v>
      </c>
      <c r="D372" t="s">
        <v>11</v>
      </c>
      <c r="E372" s="9">
        <v>44</v>
      </c>
      <c r="F372" t="s">
        <v>32</v>
      </c>
      <c r="G372" t="s">
        <v>33</v>
      </c>
      <c r="H372" s="7">
        <v>42129</v>
      </c>
      <c r="I372">
        <v>6288.73</v>
      </c>
      <c r="K372" s="7"/>
    </row>
    <row r="373" spans="1:11">
      <c r="A373">
        <v>200000372</v>
      </c>
      <c r="B373" t="s">
        <v>42</v>
      </c>
      <c r="C373" t="s">
        <v>88</v>
      </c>
      <c r="D373" t="s">
        <v>11</v>
      </c>
      <c r="E373" s="9">
        <v>54</v>
      </c>
      <c r="F373" t="s">
        <v>32</v>
      </c>
      <c r="G373" t="s">
        <v>18</v>
      </c>
      <c r="H373" s="8">
        <v>42129</v>
      </c>
      <c r="I373">
        <v>20205.919999999998</v>
      </c>
      <c r="K373" s="8"/>
    </row>
    <row r="374" spans="1:11">
      <c r="A374">
        <v>200000373</v>
      </c>
      <c r="B374" t="s">
        <v>70</v>
      </c>
      <c r="C374" t="s">
        <v>85</v>
      </c>
      <c r="D374" t="s">
        <v>11</v>
      </c>
      <c r="E374" s="9">
        <v>39</v>
      </c>
      <c r="F374" t="s">
        <v>32</v>
      </c>
      <c r="G374" t="s">
        <v>18</v>
      </c>
      <c r="H374" s="7">
        <v>42129</v>
      </c>
      <c r="I374">
        <v>16549.43</v>
      </c>
      <c r="K374" s="7"/>
    </row>
    <row r="375" spans="1:11">
      <c r="A375">
        <v>300000374</v>
      </c>
      <c r="B375" t="s">
        <v>190</v>
      </c>
      <c r="C375" t="s">
        <v>240</v>
      </c>
      <c r="D375" t="s">
        <v>11</v>
      </c>
      <c r="E375" s="9">
        <v>19</v>
      </c>
      <c r="F375" t="s">
        <v>23</v>
      </c>
      <c r="G375" t="s">
        <v>18</v>
      </c>
      <c r="H375" s="8">
        <v>42129</v>
      </c>
      <c r="I375">
        <v>94786.37</v>
      </c>
      <c r="K375" s="8"/>
    </row>
    <row r="376" spans="1:11">
      <c r="A376">
        <v>300000375</v>
      </c>
      <c r="B376" t="s">
        <v>300</v>
      </c>
      <c r="C376" t="s">
        <v>93</v>
      </c>
      <c r="D376" t="s">
        <v>16</v>
      </c>
      <c r="E376" s="9">
        <v>44</v>
      </c>
      <c r="F376" t="s">
        <v>23</v>
      </c>
      <c r="G376" t="s">
        <v>33</v>
      </c>
      <c r="H376" s="7">
        <v>42129</v>
      </c>
      <c r="I376">
        <v>47772.44</v>
      </c>
      <c r="K376" s="7"/>
    </row>
    <row r="377" spans="1:11">
      <c r="A377">
        <v>400000376</v>
      </c>
      <c r="B377" t="s">
        <v>74</v>
      </c>
      <c r="C377" t="s">
        <v>155</v>
      </c>
      <c r="D377" t="s">
        <v>16</v>
      </c>
      <c r="E377" s="9">
        <v>28</v>
      </c>
      <c r="F377" t="s">
        <v>17</v>
      </c>
      <c r="G377" t="s">
        <v>33</v>
      </c>
      <c r="H377" s="8">
        <v>42129</v>
      </c>
      <c r="I377">
        <v>44349.72</v>
      </c>
      <c r="K377" s="8"/>
    </row>
    <row r="378" spans="1:11">
      <c r="A378">
        <v>100000377</v>
      </c>
      <c r="B378" t="s">
        <v>50</v>
      </c>
      <c r="C378" t="s">
        <v>31</v>
      </c>
      <c r="D378" t="s">
        <v>16</v>
      </c>
      <c r="E378" s="9">
        <v>49</v>
      </c>
      <c r="F378" t="s">
        <v>12</v>
      </c>
      <c r="G378" t="s">
        <v>33</v>
      </c>
      <c r="H378" s="7">
        <v>42130</v>
      </c>
      <c r="I378">
        <v>9119.52</v>
      </c>
      <c r="K378" s="7"/>
    </row>
    <row r="379" spans="1:11">
      <c r="A379">
        <v>100000378</v>
      </c>
      <c r="B379" t="s">
        <v>188</v>
      </c>
      <c r="C379" t="s">
        <v>289</v>
      </c>
      <c r="D379" t="s">
        <v>11</v>
      </c>
      <c r="E379" s="9">
        <v>18</v>
      </c>
      <c r="F379" t="s">
        <v>12</v>
      </c>
      <c r="G379" t="s">
        <v>13</v>
      </c>
      <c r="H379" s="8">
        <v>42130</v>
      </c>
      <c r="I379">
        <v>311.26</v>
      </c>
      <c r="K379" s="8"/>
    </row>
    <row r="380" spans="1:11">
      <c r="A380">
        <v>100000379</v>
      </c>
      <c r="B380" t="s">
        <v>301</v>
      </c>
      <c r="C380" t="s">
        <v>151</v>
      </c>
      <c r="D380" t="s">
        <v>16</v>
      </c>
      <c r="E380" s="9">
        <v>38</v>
      </c>
      <c r="F380" t="s">
        <v>12</v>
      </c>
      <c r="G380" t="s">
        <v>33</v>
      </c>
      <c r="H380" s="7">
        <v>42130</v>
      </c>
      <c r="I380">
        <v>19744.490000000002</v>
      </c>
      <c r="K380" s="7"/>
    </row>
    <row r="381" spans="1:11">
      <c r="A381">
        <v>100000380</v>
      </c>
      <c r="B381" t="s">
        <v>111</v>
      </c>
      <c r="C381" t="s">
        <v>219</v>
      </c>
      <c r="D381" t="s">
        <v>11</v>
      </c>
      <c r="E381" s="9">
        <v>39</v>
      </c>
      <c r="F381" t="s">
        <v>12</v>
      </c>
      <c r="G381" t="s">
        <v>13</v>
      </c>
      <c r="H381" s="8">
        <v>42130</v>
      </c>
      <c r="I381">
        <v>48712.33</v>
      </c>
      <c r="K381" s="8"/>
    </row>
    <row r="382" spans="1:11">
      <c r="A382">
        <v>100000381</v>
      </c>
      <c r="B382" t="s">
        <v>102</v>
      </c>
      <c r="C382" t="s">
        <v>172</v>
      </c>
      <c r="D382" t="s">
        <v>16</v>
      </c>
      <c r="E382" s="9">
        <v>41</v>
      </c>
      <c r="F382" t="s">
        <v>12</v>
      </c>
      <c r="G382" t="s">
        <v>13</v>
      </c>
      <c r="H382" s="7">
        <v>42130</v>
      </c>
      <c r="I382">
        <v>13162.58</v>
      </c>
      <c r="K382" s="7"/>
    </row>
    <row r="383" spans="1:11">
      <c r="A383">
        <v>100000382</v>
      </c>
      <c r="B383" t="s">
        <v>217</v>
      </c>
      <c r="C383" t="s">
        <v>78</v>
      </c>
      <c r="D383" t="s">
        <v>11</v>
      </c>
      <c r="E383" s="9">
        <v>45</v>
      </c>
      <c r="F383" t="s">
        <v>12</v>
      </c>
      <c r="G383" t="s">
        <v>33</v>
      </c>
      <c r="H383" s="8">
        <v>42130</v>
      </c>
      <c r="I383">
        <v>53204.35</v>
      </c>
      <c r="K383" s="8"/>
    </row>
    <row r="384" spans="1:11">
      <c r="A384">
        <v>100000383</v>
      </c>
      <c r="B384" t="s">
        <v>14</v>
      </c>
      <c r="C384" t="s">
        <v>129</v>
      </c>
      <c r="D384" t="s">
        <v>16</v>
      </c>
      <c r="E384" s="9">
        <v>32</v>
      </c>
      <c r="F384" t="s">
        <v>12</v>
      </c>
      <c r="G384" t="s">
        <v>13</v>
      </c>
      <c r="H384" s="7">
        <v>42130</v>
      </c>
      <c r="I384">
        <v>67428.149999999994</v>
      </c>
      <c r="K384" s="7"/>
    </row>
    <row r="385" spans="1:11">
      <c r="A385">
        <v>200000384</v>
      </c>
      <c r="B385" t="s">
        <v>302</v>
      </c>
      <c r="C385" t="s">
        <v>230</v>
      </c>
      <c r="D385" t="s">
        <v>16</v>
      </c>
      <c r="E385" s="9">
        <v>42</v>
      </c>
      <c r="F385" t="s">
        <v>32</v>
      </c>
      <c r="G385" t="s">
        <v>33</v>
      </c>
      <c r="H385" s="8">
        <v>42130</v>
      </c>
      <c r="I385">
        <v>12088.72</v>
      </c>
      <c r="K385" s="8"/>
    </row>
    <row r="386" spans="1:11">
      <c r="A386">
        <v>200000385</v>
      </c>
      <c r="B386" t="s">
        <v>174</v>
      </c>
      <c r="C386" t="s">
        <v>277</v>
      </c>
      <c r="D386" t="s">
        <v>11</v>
      </c>
      <c r="E386" s="9">
        <v>41</v>
      </c>
      <c r="F386" t="s">
        <v>32</v>
      </c>
      <c r="G386" t="s">
        <v>18</v>
      </c>
      <c r="H386" s="7">
        <v>42130</v>
      </c>
      <c r="I386">
        <v>28710.54</v>
      </c>
      <c r="K386" s="7"/>
    </row>
    <row r="387" spans="1:11">
      <c r="A387">
        <v>200000386</v>
      </c>
      <c r="B387" t="s">
        <v>90</v>
      </c>
      <c r="C387" t="s">
        <v>45</v>
      </c>
      <c r="D387" t="s">
        <v>11</v>
      </c>
      <c r="E387" s="9">
        <v>51</v>
      </c>
      <c r="F387" t="s">
        <v>32</v>
      </c>
      <c r="G387" t="s">
        <v>33</v>
      </c>
      <c r="H387" s="8">
        <v>42130</v>
      </c>
      <c r="I387">
        <v>36923.01</v>
      </c>
      <c r="K387" s="8"/>
    </row>
    <row r="388" spans="1:11">
      <c r="A388">
        <v>200000387</v>
      </c>
      <c r="B388" t="s">
        <v>235</v>
      </c>
      <c r="C388" t="s">
        <v>152</v>
      </c>
      <c r="D388" t="s">
        <v>11</v>
      </c>
      <c r="E388" s="9">
        <v>56</v>
      </c>
      <c r="F388" t="s">
        <v>32</v>
      </c>
      <c r="G388" t="s">
        <v>18</v>
      </c>
      <c r="H388" s="7">
        <v>42130</v>
      </c>
      <c r="I388">
        <v>40540.01</v>
      </c>
      <c r="K388" s="7"/>
    </row>
    <row r="389" spans="1:11">
      <c r="A389">
        <v>200000388</v>
      </c>
      <c r="B389" t="s">
        <v>89</v>
      </c>
      <c r="C389" t="s">
        <v>269</v>
      </c>
      <c r="D389" t="s">
        <v>11</v>
      </c>
      <c r="E389" s="9">
        <v>58</v>
      </c>
      <c r="F389" t="s">
        <v>32</v>
      </c>
      <c r="G389" t="s">
        <v>18</v>
      </c>
      <c r="H389" s="8">
        <v>42130</v>
      </c>
      <c r="I389">
        <v>23001.06</v>
      </c>
      <c r="K389" s="8"/>
    </row>
    <row r="390" spans="1:11">
      <c r="A390">
        <v>200000389</v>
      </c>
      <c r="B390" t="s">
        <v>303</v>
      </c>
      <c r="C390" t="s">
        <v>29</v>
      </c>
      <c r="D390" t="s">
        <v>11</v>
      </c>
      <c r="E390" s="9">
        <v>38</v>
      </c>
      <c r="F390" t="s">
        <v>32</v>
      </c>
      <c r="G390" t="s">
        <v>18</v>
      </c>
      <c r="H390" s="7">
        <v>42130</v>
      </c>
      <c r="I390">
        <v>11418.92</v>
      </c>
      <c r="K390" s="7"/>
    </row>
    <row r="391" spans="1:11">
      <c r="A391">
        <v>200000390</v>
      </c>
      <c r="B391" t="s">
        <v>280</v>
      </c>
      <c r="C391" t="s">
        <v>151</v>
      </c>
      <c r="D391" t="s">
        <v>11</v>
      </c>
      <c r="E391" s="9">
        <v>46</v>
      </c>
      <c r="F391" t="s">
        <v>32</v>
      </c>
      <c r="G391" t="s">
        <v>18</v>
      </c>
      <c r="H391" s="8">
        <v>42130</v>
      </c>
      <c r="I391">
        <v>16431.169999999998</v>
      </c>
      <c r="K391" s="8"/>
    </row>
    <row r="392" spans="1:11">
      <c r="A392">
        <v>200000391</v>
      </c>
      <c r="B392" t="s">
        <v>89</v>
      </c>
      <c r="C392" t="s">
        <v>96</v>
      </c>
      <c r="D392" t="s">
        <v>11</v>
      </c>
      <c r="E392" s="9">
        <v>61</v>
      </c>
      <c r="F392" t="s">
        <v>32</v>
      </c>
      <c r="G392" t="s">
        <v>18</v>
      </c>
      <c r="H392" s="7">
        <v>42130</v>
      </c>
      <c r="I392">
        <v>56557.11</v>
      </c>
      <c r="K392" s="7"/>
    </row>
    <row r="393" spans="1:11">
      <c r="A393">
        <v>300000392</v>
      </c>
      <c r="B393" t="s">
        <v>83</v>
      </c>
      <c r="C393" t="s">
        <v>123</v>
      </c>
      <c r="D393" t="s">
        <v>16</v>
      </c>
      <c r="E393" s="9">
        <v>44</v>
      </c>
      <c r="F393" t="s">
        <v>23</v>
      </c>
      <c r="G393" t="s">
        <v>33</v>
      </c>
      <c r="H393" s="8">
        <v>42130</v>
      </c>
      <c r="I393">
        <v>25290.080000000002</v>
      </c>
      <c r="K393" s="8"/>
    </row>
    <row r="394" spans="1:11">
      <c r="A394">
        <v>300000393</v>
      </c>
      <c r="B394" t="s">
        <v>268</v>
      </c>
      <c r="C394" t="s">
        <v>183</v>
      </c>
      <c r="D394" t="s">
        <v>16</v>
      </c>
      <c r="E394" s="9">
        <v>34</v>
      </c>
      <c r="F394" t="s">
        <v>23</v>
      </c>
      <c r="G394" t="s">
        <v>33</v>
      </c>
      <c r="H394" s="7">
        <v>42130</v>
      </c>
      <c r="I394">
        <v>109225.68</v>
      </c>
      <c r="K394" s="7"/>
    </row>
    <row r="395" spans="1:11">
      <c r="A395">
        <v>300000394</v>
      </c>
      <c r="B395" t="s">
        <v>304</v>
      </c>
      <c r="C395" t="s">
        <v>305</v>
      </c>
      <c r="D395" t="s">
        <v>16</v>
      </c>
      <c r="E395" s="9">
        <v>42</v>
      </c>
      <c r="F395" t="s">
        <v>23</v>
      </c>
      <c r="G395" t="s">
        <v>18</v>
      </c>
      <c r="H395" s="8">
        <v>42130</v>
      </c>
      <c r="I395">
        <v>41572.1</v>
      </c>
      <c r="K395" s="8"/>
    </row>
    <row r="396" spans="1:11">
      <c r="A396">
        <v>300000395</v>
      </c>
      <c r="B396" t="s">
        <v>89</v>
      </c>
      <c r="C396" t="s">
        <v>129</v>
      </c>
      <c r="D396" t="s">
        <v>11</v>
      </c>
      <c r="E396" s="9">
        <v>32</v>
      </c>
      <c r="F396" t="s">
        <v>23</v>
      </c>
      <c r="G396" t="s">
        <v>33</v>
      </c>
      <c r="H396" s="7">
        <v>42130</v>
      </c>
      <c r="I396">
        <v>4820.58</v>
      </c>
      <c r="K396" s="7"/>
    </row>
    <row r="397" spans="1:11">
      <c r="A397">
        <v>400000396</v>
      </c>
      <c r="B397" t="s">
        <v>117</v>
      </c>
      <c r="C397" t="s">
        <v>140</v>
      </c>
      <c r="D397" t="s">
        <v>16</v>
      </c>
      <c r="E397" s="9">
        <v>32</v>
      </c>
      <c r="F397" t="s">
        <v>17</v>
      </c>
      <c r="G397" t="s">
        <v>18</v>
      </c>
      <c r="H397" s="8">
        <v>42130</v>
      </c>
      <c r="I397">
        <v>23059.56</v>
      </c>
      <c r="K397" s="8"/>
    </row>
    <row r="398" spans="1:11">
      <c r="A398">
        <v>400000397</v>
      </c>
      <c r="B398" t="s">
        <v>44</v>
      </c>
      <c r="C398" t="s">
        <v>295</v>
      </c>
      <c r="D398" t="s">
        <v>16</v>
      </c>
      <c r="E398" s="9">
        <v>36</v>
      </c>
      <c r="F398" t="s">
        <v>17</v>
      </c>
      <c r="G398" t="s">
        <v>33</v>
      </c>
      <c r="H398" s="7">
        <v>42130</v>
      </c>
      <c r="I398">
        <v>61911.69</v>
      </c>
      <c r="K398" s="7"/>
    </row>
    <row r="399" spans="1:11">
      <c r="A399">
        <v>400000398</v>
      </c>
      <c r="B399" t="s">
        <v>166</v>
      </c>
      <c r="C399" t="s">
        <v>306</v>
      </c>
      <c r="D399" t="s">
        <v>16</v>
      </c>
      <c r="E399" s="9">
        <v>37</v>
      </c>
      <c r="F399" t="s">
        <v>17</v>
      </c>
      <c r="G399" t="s">
        <v>33</v>
      </c>
      <c r="H399" s="8">
        <v>42130</v>
      </c>
      <c r="I399">
        <v>36603.019999999997</v>
      </c>
      <c r="K399" s="8"/>
    </row>
    <row r="400" spans="1:11">
      <c r="A400">
        <v>400000399</v>
      </c>
      <c r="B400" t="s">
        <v>180</v>
      </c>
      <c r="C400" t="s">
        <v>15</v>
      </c>
      <c r="D400" t="s">
        <v>16</v>
      </c>
      <c r="E400" s="9">
        <v>23</v>
      </c>
      <c r="F400" t="s">
        <v>17</v>
      </c>
      <c r="G400" t="s">
        <v>33</v>
      </c>
      <c r="H400" s="7">
        <v>42130</v>
      </c>
      <c r="I400">
        <v>20060.099999999999</v>
      </c>
      <c r="K400" s="7"/>
    </row>
    <row r="401" spans="1:11">
      <c r="A401">
        <v>100000400</v>
      </c>
      <c r="B401" t="s">
        <v>186</v>
      </c>
      <c r="C401" t="s">
        <v>69</v>
      </c>
      <c r="D401" t="s">
        <v>11</v>
      </c>
      <c r="E401" s="9">
        <v>35</v>
      </c>
      <c r="F401" t="s">
        <v>12</v>
      </c>
      <c r="G401" t="s">
        <v>13</v>
      </c>
      <c r="H401" s="8">
        <v>42131</v>
      </c>
      <c r="I401">
        <v>2423.46</v>
      </c>
      <c r="K401" s="8"/>
    </row>
    <row r="402" spans="1:11">
      <c r="A402">
        <v>100000401</v>
      </c>
      <c r="B402" t="s">
        <v>303</v>
      </c>
      <c r="C402" t="s">
        <v>178</v>
      </c>
      <c r="D402" t="s">
        <v>11</v>
      </c>
      <c r="E402" s="9">
        <v>41</v>
      </c>
      <c r="F402" t="s">
        <v>12</v>
      </c>
      <c r="G402" t="s">
        <v>13</v>
      </c>
      <c r="H402" s="7">
        <v>42131</v>
      </c>
      <c r="I402">
        <v>51459.45</v>
      </c>
      <c r="K402" s="7"/>
    </row>
    <row r="403" spans="1:11">
      <c r="A403">
        <v>100000402</v>
      </c>
      <c r="B403" t="s">
        <v>115</v>
      </c>
      <c r="C403" t="s">
        <v>59</v>
      </c>
      <c r="D403" t="s">
        <v>16</v>
      </c>
      <c r="E403" s="9">
        <v>32</v>
      </c>
      <c r="F403" t="s">
        <v>12</v>
      </c>
      <c r="G403" t="s">
        <v>13</v>
      </c>
      <c r="H403" s="8">
        <v>42131</v>
      </c>
      <c r="I403">
        <v>13621.48</v>
      </c>
      <c r="K403" s="8"/>
    </row>
    <row r="404" spans="1:11">
      <c r="A404">
        <v>100000403</v>
      </c>
      <c r="B404" t="s">
        <v>34</v>
      </c>
      <c r="C404" t="s">
        <v>130</v>
      </c>
      <c r="D404" t="s">
        <v>16</v>
      </c>
      <c r="E404" s="9">
        <v>39</v>
      </c>
      <c r="F404" t="s">
        <v>12</v>
      </c>
      <c r="G404" t="s">
        <v>13</v>
      </c>
      <c r="H404" s="7">
        <v>42131</v>
      </c>
      <c r="I404">
        <v>84925.13</v>
      </c>
      <c r="K404" s="7"/>
    </row>
    <row r="405" spans="1:11">
      <c r="A405">
        <v>100000404</v>
      </c>
      <c r="B405" t="s">
        <v>164</v>
      </c>
      <c r="C405" t="s">
        <v>75</v>
      </c>
      <c r="D405" t="s">
        <v>11</v>
      </c>
      <c r="E405" s="9">
        <v>38</v>
      </c>
      <c r="F405" t="s">
        <v>12</v>
      </c>
      <c r="G405" t="s">
        <v>13</v>
      </c>
      <c r="H405" s="8">
        <v>42131</v>
      </c>
      <c r="I405">
        <v>120732.35</v>
      </c>
      <c r="K405" s="8"/>
    </row>
    <row r="406" spans="1:11">
      <c r="A406">
        <v>100000405</v>
      </c>
      <c r="B406" t="s">
        <v>107</v>
      </c>
      <c r="C406" t="s">
        <v>152</v>
      </c>
      <c r="D406" t="s">
        <v>11</v>
      </c>
      <c r="E406" s="9">
        <v>36</v>
      </c>
      <c r="F406" t="s">
        <v>12</v>
      </c>
      <c r="G406" t="s">
        <v>13</v>
      </c>
      <c r="H406" s="7">
        <v>42131</v>
      </c>
      <c r="I406">
        <v>23722.37</v>
      </c>
      <c r="K406" s="7"/>
    </row>
    <row r="407" spans="1:11">
      <c r="A407">
        <v>200000406</v>
      </c>
      <c r="B407" t="s">
        <v>173</v>
      </c>
      <c r="C407" t="s">
        <v>163</v>
      </c>
      <c r="D407" t="s">
        <v>11</v>
      </c>
      <c r="E407" s="9">
        <v>39</v>
      </c>
      <c r="F407" t="s">
        <v>32</v>
      </c>
      <c r="G407" t="s">
        <v>18</v>
      </c>
      <c r="H407" s="8">
        <v>42131</v>
      </c>
      <c r="I407">
        <v>39343.24</v>
      </c>
      <c r="K407" s="8"/>
    </row>
    <row r="408" spans="1:11">
      <c r="A408">
        <v>200000407</v>
      </c>
      <c r="B408" t="s">
        <v>101</v>
      </c>
      <c r="C408" t="s">
        <v>109</v>
      </c>
      <c r="D408" t="s">
        <v>11</v>
      </c>
      <c r="E408" s="9">
        <v>48</v>
      </c>
      <c r="F408" t="s">
        <v>32</v>
      </c>
      <c r="G408" t="s">
        <v>33</v>
      </c>
      <c r="H408" s="7">
        <v>42131</v>
      </c>
      <c r="I408">
        <v>23703.79</v>
      </c>
      <c r="K408" s="7"/>
    </row>
    <row r="409" spans="1:11">
      <c r="A409">
        <v>200000408</v>
      </c>
      <c r="B409" t="s">
        <v>152</v>
      </c>
      <c r="C409" t="s">
        <v>95</v>
      </c>
      <c r="D409" t="s">
        <v>11</v>
      </c>
      <c r="E409" s="9">
        <v>55</v>
      </c>
      <c r="F409" t="s">
        <v>32</v>
      </c>
      <c r="G409" t="s">
        <v>18</v>
      </c>
      <c r="H409" s="8">
        <v>42131</v>
      </c>
      <c r="I409">
        <v>26811.22</v>
      </c>
      <c r="K409" s="8"/>
    </row>
    <row r="410" spans="1:11">
      <c r="A410">
        <v>300000409</v>
      </c>
      <c r="B410" t="s">
        <v>164</v>
      </c>
      <c r="C410" t="s">
        <v>305</v>
      </c>
      <c r="D410" t="s">
        <v>11</v>
      </c>
      <c r="E410" s="9">
        <v>45</v>
      </c>
      <c r="F410" t="s">
        <v>23</v>
      </c>
      <c r="G410" t="s">
        <v>33</v>
      </c>
      <c r="H410" s="7">
        <v>42131</v>
      </c>
      <c r="I410">
        <v>19287.919999999998</v>
      </c>
      <c r="K410" s="7"/>
    </row>
    <row r="411" spans="1:11">
      <c r="A411">
        <v>300000410</v>
      </c>
      <c r="B411" t="s">
        <v>208</v>
      </c>
      <c r="C411" t="s">
        <v>39</v>
      </c>
      <c r="D411" t="s">
        <v>11</v>
      </c>
      <c r="E411" s="9">
        <v>32</v>
      </c>
      <c r="F411" t="s">
        <v>23</v>
      </c>
      <c r="G411" t="s">
        <v>13</v>
      </c>
      <c r="H411" s="8">
        <v>42131</v>
      </c>
      <c r="I411">
        <v>50621.67</v>
      </c>
      <c r="K411" s="8"/>
    </row>
    <row r="412" spans="1:11">
      <c r="A412">
        <v>300000411</v>
      </c>
      <c r="B412" t="s">
        <v>90</v>
      </c>
      <c r="C412" t="s">
        <v>132</v>
      </c>
      <c r="D412" t="s">
        <v>11</v>
      </c>
      <c r="E412" s="9">
        <v>38</v>
      </c>
      <c r="F412" t="s">
        <v>23</v>
      </c>
      <c r="G412" t="s">
        <v>13</v>
      </c>
      <c r="H412" s="7">
        <v>42131</v>
      </c>
      <c r="I412">
        <v>97120.48</v>
      </c>
      <c r="K412" s="7"/>
    </row>
    <row r="413" spans="1:11">
      <c r="A413">
        <v>100000412</v>
      </c>
      <c r="B413" t="s">
        <v>122</v>
      </c>
      <c r="C413" t="s">
        <v>195</v>
      </c>
      <c r="D413" t="s">
        <v>11</v>
      </c>
      <c r="E413" s="9">
        <v>18</v>
      </c>
      <c r="F413" t="s">
        <v>12</v>
      </c>
      <c r="G413" t="s">
        <v>13</v>
      </c>
      <c r="H413" s="8">
        <v>42132</v>
      </c>
      <c r="I413">
        <v>6507.7</v>
      </c>
      <c r="K413" s="8"/>
    </row>
    <row r="414" spans="1:11">
      <c r="A414">
        <v>100000413</v>
      </c>
      <c r="B414" t="s">
        <v>55</v>
      </c>
      <c r="C414" t="s">
        <v>121</v>
      </c>
      <c r="D414" t="s">
        <v>11</v>
      </c>
      <c r="E414" s="9">
        <v>24</v>
      </c>
      <c r="F414" t="s">
        <v>12</v>
      </c>
      <c r="G414" t="s">
        <v>18</v>
      </c>
      <c r="H414" s="7">
        <v>42132</v>
      </c>
      <c r="I414">
        <v>38590.44</v>
      </c>
      <c r="K414" s="7"/>
    </row>
    <row r="415" spans="1:11">
      <c r="A415">
        <v>200000414</v>
      </c>
      <c r="B415" t="s">
        <v>296</v>
      </c>
      <c r="C415" t="s">
        <v>252</v>
      </c>
      <c r="D415" t="s">
        <v>11</v>
      </c>
      <c r="E415" s="9">
        <v>45</v>
      </c>
      <c r="F415" t="s">
        <v>32</v>
      </c>
      <c r="G415" t="s">
        <v>33</v>
      </c>
      <c r="H415" s="8">
        <v>42132</v>
      </c>
      <c r="I415">
        <v>8313.86</v>
      </c>
      <c r="K415" s="8"/>
    </row>
    <row r="416" spans="1:11">
      <c r="A416">
        <v>200000415</v>
      </c>
      <c r="B416" t="s">
        <v>79</v>
      </c>
      <c r="C416" t="s">
        <v>15</v>
      </c>
      <c r="D416" t="s">
        <v>11</v>
      </c>
      <c r="E416" s="9">
        <v>45</v>
      </c>
      <c r="F416" t="s">
        <v>32</v>
      </c>
      <c r="G416" t="s">
        <v>18</v>
      </c>
      <c r="H416" s="7">
        <v>42132</v>
      </c>
      <c r="I416">
        <v>35076.06</v>
      </c>
      <c r="K416" s="7"/>
    </row>
    <row r="417" spans="1:11">
      <c r="A417">
        <v>200000416</v>
      </c>
      <c r="B417" t="s">
        <v>254</v>
      </c>
      <c r="C417" t="s">
        <v>212</v>
      </c>
      <c r="D417" t="s">
        <v>11</v>
      </c>
      <c r="E417" s="9">
        <v>46</v>
      </c>
      <c r="F417" t="s">
        <v>32</v>
      </c>
      <c r="G417" t="s">
        <v>18</v>
      </c>
      <c r="H417" s="8">
        <v>42132</v>
      </c>
      <c r="I417">
        <v>64383.55</v>
      </c>
      <c r="K417" s="8"/>
    </row>
    <row r="418" spans="1:11">
      <c r="A418">
        <v>200000417</v>
      </c>
      <c r="B418" t="s">
        <v>208</v>
      </c>
      <c r="C418" t="s">
        <v>246</v>
      </c>
      <c r="D418" t="s">
        <v>11</v>
      </c>
      <c r="E418" s="9">
        <v>37</v>
      </c>
      <c r="F418" t="s">
        <v>32</v>
      </c>
      <c r="G418" t="s">
        <v>18</v>
      </c>
      <c r="H418" s="7">
        <v>42132</v>
      </c>
      <c r="I418">
        <v>31821.23</v>
      </c>
      <c r="K418" s="7"/>
    </row>
    <row r="419" spans="1:11">
      <c r="A419">
        <v>300000418</v>
      </c>
      <c r="B419" t="s">
        <v>235</v>
      </c>
      <c r="C419" t="s">
        <v>307</v>
      </c>
      <c r="D419" t="s">
        <v>11</v>
      </c>
      <c r="E419" s="9">
        <v>44</v>
      </c>
      <c r="F419" t="s">
        <v>23</v>
      </c>
      <c r="G419" t="s">
        <v>13</v>
      </c>
      <c r="H419" s="8">
        <v>42132</v>
      </c>
      <c r="I419">
        <v>9667.85</v>
      </c>
      <c r="K419" s="8"/>
    </row>
    <row r="420" spans="1:11">
      <c r="A420">
        <v>400000419</v>
      </c>
      <c r="B420" t="s">
        <v>68</v>
      </c>
      <c r="C420" t="s">
        <v>295</v>
      </c>
      <c r="D420" t="s">
        <v>16</v>
      </c>
      <c r="E420" s="9">
        <v>25</v>
      </c>
      <c r="F420" t="s">
        <v>17</v>
      </c>
      <c r="G420" t="s">
        <v>33</v>
      </c>
      <c r="H420" s="7">
        <v>42132</v>
      </c>
      <c r="I420">
        <v>1905.46</v>
      </c>
      <c r="K420" s="7"/>
    </row>
    <row r="421" spans="1:11">
      <c r="A421">
        <v>100000420</v>
      </c>
      <c r="B421" t="s">
        <v>50</v>
      </c>
      <c r="C421" t="s">
        <v>71</v>
      </c>
      <c r="D421" t="s">
        <v>16</v>
      </c>
      <c r="E421" s="9">
        <v>32</v>
      </c>
      <c r="F421" t="s">
        <v>12</v>
      </c>
      <c r="G421" t="s">
        <v>13</v>
      </c>
      <c r="H421" s="8">
        <v>42133</v>
      </c>
      <c r="I421">
        <v>4285.6000000000004</v>
      </c>
      <c r="K421" s="8"/>
    </row>
    <row r="422" spans="1:11">
      <c r="A422">
        <v>100000421</v>
      </c>
      <c r="B422" t="s">
        <v>102</v>
      </c>
      <c r="C422" t="s">
        <v>162</v>
      </c>
      <c r="D422" t="s">
        <v>16</v>
      </c>
      <c r="E422" s="9">
        <v>30</v>
      </c>
      <c r="F422" t="s">
        <v>12</v>
      </c>
      <c r="G422" t="s">
        <v>33</v>
      </c>
      <c r="H422" s="7">
        <v>42133</v>
      </c>
      <c r="I422">
        <v>5357.39</v>
      </c>
      <c r="K422" s="7"/>
    </row>
    <row r="423" spans="1:11">
      <c r="A423">
        <v>100000422</v>
      </c>
      <c r="B423" t="s">
        <v>255</v>
      </c>
      <c r="C423" t="s">
        <v>130</v>
      </c>
      <c r="D423" t="s">
        <v>11</v>
      </c>
      <c r="E423" s="9">
        <v>35</v>
      </c>
      <c r="F423" t="s">
        <v>12</v>
      </c>
      <c r="G423" t="s">
        <v>13</v>
      </c>
      <c r="H423" s="8">
        <v>42133</v>
      </c>
      <c r="I423">
        <v>8245.73</v>
      </c>
      <c r="K423" s="8"/>
    </row>
    <row r="424" spans="1:11">
      <c r="A424">
        <v>100000423</v>
      </c>
      <c r="B424" t="s">
        <v>229</v>
      </c>
      <c r="C424" t="s">
        <v>210</v>
      </c>
      <c r="D424" t="s">
        <v>16</v>
      </c>
      <c r="E424" s="9">
        <v>27</v>
      </c>
      <c r="F424" t="s">
        <v>12</v>
      </c>
      <c r="G424" t="s">
        <v>13</v>
      </c>
      <c r="H424" s="7">
        <v>42133</v>
      </c>
      <c r="I424">
        <v>60406.61</v>
      </c>
      <c r="K424" s="7"/>
    </row>
    <row r="425" spans="1:11">
      <c r="A425">
        <v>200000424</v>
      </c>
      <c r="B425" t="s">
        <v>202</v>
      </c>
      <c r="C425" t="s">
        <v>211</v>
      </c>
      <c r="D425" t="s">
        <v>11</v>
      </c>
      <c r="E425" s="9">
        <v>53</v>
      </c>
      <c r="F425" t="s">
        <v>32</v>
      </c>
      <c r="G425" t="s">
        <v>18</v>
      </c>
      <c r="H425" s="8">
        <v>42133</v>
      </c>
      <c r="I425">
        <v>67540.820000000007</v>
      </c>
      <c r="K425" s="8"/>
    </row>
    <row r="426" spans="1:11">
      <c r="A426">
        <v>200000425</v>
      </c>
      <c r="B426" t="s">
        <v>159</v>
      </c>
      <c r="C426" t="s">
        <v>52</v>
      </c>
      <c r="D426" t="s">
        <v>11</v>
      </c>
      <c r="E426" s="9">
        <v>45</v>
      </c>
      <c r="F426" t="s">
        <v>32</v>
      </c>
      <c r="G426" t="s">
        <v>33</v>
      </c>
      <c r="H426" s="7">
        <v>42133</v>
      </c>
      <c r="I426">
        <v>34870.839999999997</v>
      </c>
      <c r="K426" s="7"/>
    </row>
    <row r="427" spans="1:11">
      <c r="A427">
        <v>200000426</v>
      </c>
      <c r="B427" t="s">
        <v>208</v>
      </c>
      <c r="C427" t="s">
        <v>281</v>
      </c>
      <c r="D427" t="s">
        <v>11</v>
      </c>
      <c r="E427" s="9">
        <v>55</v>
      </c>
      <c r="F427" t="s">
        <v>32</v>
      </c>
      <c r="G427" t="s">
        <v>18</v>
      </c>
      <c r="H427" s="8">
        <v>42133</v>
      </c>
      <c r="I427">
        <v>40918.44</v>
      </c>
      <c r="K427" s="8"/>
    </row>
    <row r="428" spans="1:11">
      <c r="A428">
        <v>300000427</v>
      </c>
      <c r="B428" t="s">
        <v>36</v>
      </c>
      <c r="C428" t="s">
        <v>258</v>
      </c>
      <c r="D428" t="s">
        <v>11</v>
      </c>
      <c r="E428" s="9">
        <v>24</v>
      </c>
      <c r="F428" t="s">
        <v>23</v>
      </c>
      <c r="G428" t="s">
        <v>13</v>
      </c>
      <c r="H428" s="7">
        <v>42133</v>
      </c>
      <c r="I428">
        <v>65526.26</v>
      </c>
      <c r="K428" s="7"/>
    </row>
    <row r="429" spans="1:11">
      <c r="A429">
        <v>300000428</v>
      </c>
      <c r="B429" t="s">
        <v>168</v>
      </c>
      <c r="C429" t="s">
        <v>196</v>
      </c>
      <c r="D429" t="s">
        <v>16</v>
      </c>
      <c r="E429" s="9">
        <v>49</v>
      </c>
      <c r="F429" t="s">
        <v>23</v>
      </c>
      <c r="G429" t="s">
        <v>13</v>
      </c>
      <c r="H429" s="8">
        <v>42133</v>
      </c>
      <c r="I429">
        <v>20738.669999999998</v>
      </c>
      <c r="K429" s="8"/>
    </row>
    <row r="430" spans="1:11">
      <c r="A430">
        <v>300000429</v>
      </c>
      <c r="B430" t="s">
        <v>21</v>
      </c>
      <c r="C430" t="s">
        <v>153</v>
      </c>
      <c r="D430" t="s">
        <v>11</v>
      </c>
      <c r="E430" s="9">
        <v>37</v>
      </c>
      <c r="F430" t="s">
        <v>23</v>
      </c>
      <c r="G430" t="s">
        <v>33</v>
      </c>
      <c r="H430" s="7">
        <v>42133</v>
      </c>
      <c r="I430">
        <v>34401.949999999997</v>
      </c>
      <c r="K430" s="7"/>
    </row>
    <row r="431" spans="1:11">
      <c r="A431">
        <v>300000430</v>
      </c>
      <c r="B431" t="s">
        <v>180</v>
      </c>
      <c r="C431" t="s">
        <v>258</v>
      </c>
      <c r="D431" t="s">
        <v>16</v>
      </c>
      <c r="E431" s="9">
        <v>26</v>
      </c>
      <c r="F431" t="s">
        <v>23</v>
      </c>
      <c r="G431" t="s">
        <v>13</v>
      </c>
      <c r="H431" s="8">
        <v>42133</v>
      </c>
      <c r="I431">
        <v>20774.79</v>
      </c>
      <c r="K431" s="8"/>
    </row>
    <row r="432" spans="1:11">
      <c r="A432">
        <v>400000431</v>
      </c>
      <c r="B432" t="s">
        <v>308</v>
      </c>
      <c r="C432" t="s">
        <v>237</v>
      </c>
      <c r="D432" t="s">
        <v>16</v>
      </c>
      <c r="E432" s="9">
        <v>29</v>
      </c>
      <c r="F432" t="s">
        <v>17</v>
      </c>
      <c r="G432" t="s">
        <v>13</v>
      </c>
      <c r="H432" s="7">
        <v>42133</v>
      </c>
      <c r="I432">
        <v>743.29</v>
      </c>
      <c r="K432" s="7"/>
    </row>
    <row r="433" spans="1:11">
      <c r="A433">
        <v>400000432</v>
      </c>
      <c r="B433" t="s">
        <v>309</v>
      </c>
      <c r="C433" t="s">
        <v>310</v>
      </c>
      <c r="D433" t="s">
        <v>16</v>
      </c>
      <c r="E433" s="9">
        <v>29</v>
      </c>
      <c r="F433" t="s">
        <v>17</v>
      </c>
      <c r="G433" t="s">
        <v>33</v>
      </c>
      <c r="H433" s="8">
        <v>42133</v>
      </c>
      <c r="I433">
        <v>4287.78</v>
      </c>
      <c r="K433" s="8"/>
    </row>
    <row r="434" spans="1:11">
      <c r="A434">
        <v>400000433</v>
      </c>
      <c r="B434" t="s">
        <v>271</v>
      </c>
      <c r="C434" t="s">
        <v>142</v>
      </c>
      <c r="D434" t="s">
        <v>16</v>
      </c>
      <c r="E434" s="9">
        <v>27</v>
      </c>
      <c r="F434" t="s">
        <v>17</v>
      </c>
      <c r="G434" t="s">
        <v>13</v>
      </c>
      <c r="H434" s="7">
        <v>42133</v>
      </c>
      <c r="I434">
        <v>23871.79</v>
      </c>
      <c r="K434" s="7"/>
    </row>
    <row r="435" spans="1:11">
      <c r="A435">
        <v>400000434</v>
      </c>
      <c r="B435" t="s">
        <v>226</v>
      </c>
      <c r="C435" t="s">
        <v>178</v>
      </c>
      <c r="D435" t="s">
        <v>16</v>
      </c>
      <c r="E435" s="9">
        <v>27</v>
      </c>
      <c r="F435" t="s">
        <v>17</v>
      </c>
      <c r="G435" t="s">
        <v>33</v>
      </c>
      <c r="H435" s="8">
        <v>42133</v>
      </c>
      <c r="I435">
        <v>2437.23</v>
      </c>
      <c r="K435" s="8"/>
    </row>
    <row r="436" spans="1:11">
      <c r="A436">
        <v>100000435</v>
      </c>
      <c r="B436" t="s">
        <v>293</v>
      </c>
      <c r="C436" t="s">
        <v>242</v>
      </c>
      <c r="D436" t="s">
        <v>11</v>
      </c>
      <c r="E436" s="9">
        <v>35</v>
      </c>
      <c r="F436" t="s">
        <v>12</v>
      </c>
      <c r="G436" t="s">
        <v>13</v>
      </c>
      <c r="H436" s="7">
        <v>42134</v>
      </c>
      <c r="I436">
        <v>15042.08</v>
      </c>
      <c r="K436" s="7"/>
    </row>
    <row r="437" spans="1:11">
      <c r="A437">
        <v>100000436</v>
      </c>
      <c r="B437" t="s">
        <v>302</v>
      </c>
      <c r="C437" t="s">
        <v>134</v>
      </c>
      <c r="D437" t="s">
        <v>16</v>
      </c>
      <c r="E437" s="9">
        <v>24</v>
      </c>
      <c r="F437" t="s">
        <v>12</v>
      </c>
      <c r="G437" t="s">
        <v>33</v>
      </c>
      <c r="H437" s="8">
        <v>42134</v>
      </c>
      <c r="I437">
        <v>77908.67</v>
      </c>
      <c r="K437" s="8"/>
    </row>
    <row r="438" spans="1:11">
      <c r="A438">
        <v>100000437</v>
      </c>
      <c r="B438" t="s">
        <v>206</v>
      </c>
      <c r="C438" t="s">
        <v>269</v>
      </c>
      <c r="D438" t="s">
        <v>11</v>
      </c>
      <c r="E438" s="9">
        <v>31</v>
      </c>
      <c r="F438" t="s">
        <v>12</v>
      </c>
      <c r="G438" t="s">
        <v>18</v>
      </c>
      <c r="H438" s="7">
        <v>42134</v>
      </c>
      <c r="I438">
        <v>6459.02</v>
      </c>
      <c r="K438" s="7"/>
    </row>
    <row r="439" spans="1:11">
      <c r="A439">
        <v>200000438</v>
      </c>
      <c r="B439" t="s">
        <v>311</v>
      </c>
      <c r="C439" t="s">
        <v>116</v>
      </c>
      <c r="D439" t="s">
        <v>11</v>
      </c>
      <c r="E439" s="9">
        <v>60</v>
      </c>
      <c r="F439" t="s">
        <v>32</v>
      </c>
      <c r="G439" t="s">
        <v>13</v>
      </c>
      <c r="H439" s="8">
        <v>42134</v>
      </c>
      <c r="I439">
        <v>1860.46</v>
      </c>
      <c r="K439" s="8"/>
    </row>
    <row r="440" spans="1:11">
      <c r="A440">
        <v>300000439</v>
      </c>
      <c r="B440" t="s">
        <v>175</v>
      </c>
      <c r="C440" t="s">
        <v>15</v>
      </c>
      <c r="D440" t="s">
        <v>11</v>
      </c>
      <c r="E440" s="9">
        <v>26</v>
      </c>
      <c r="F440" t="s">
        <v>23</v>
      </c>
      <c r="G440" t="s">
        <v>18</v>
      </c>
      <c r="H440" s="7">
        <v>42134</v>
      </c>
      <c r="I440">
        <v>3209.28</v>
      </c>
      <c r="K440" s="7"/>
    </row>
    <row r="441" spans="1:11">
      <c r="A441">
        <v>300000440</v>
      </c>
      <c r="B441" t="s">
        <v>250</v>
      </c>
      <c r="C441" t="s">
        <v>222</v>
      </c>
      <c r="D441" t="s">
        <v>16</v>
      </c>
      <c r="E441" s="9">
        <v>23</v>
      </c>
      <c r="F441" t="s">
        <v>23</v>
      </c>
      <c r="G441" t="s">
        <v>13</v>
      </c>
      <c r="H441" s="8">
        <v>42134</v>
      </c>
      <c r="I441">
        <v>32658.92</v>
      </c>
      <c r="K441" s="8"/>
    </row>
    <row r="442" spans="1:11">
      <c r="A442">
        <v>400000441</v>
      </c>
      <c r="B442" t="s">
        <v>180</v>
      </c>
      <c r="C442" t="s">
        <v>246</v>
      </c>
      <c r="D442" t="s">
        <v>16</v>
      </c>
      <c r="E442" s="9">
        <v>21</v>
      </c>
      <c r="F442" t="s">
        <v>17</v>
      </c>
      <c r="G442" t="s">
        <v>18</v>
      </c>
      <c r="H442" s="7">
        <v>42134</v>
      </c>
      <c r="I442">
        <v>60338.07</v>
      </c>
      <c r="K442" s="7"/>
    </row>
    <row r="443" spans="1:11">
      <c r="A443">
        <v>400000442</v>
      </c>
      <c r="B443" t="s">
        <v>28</v>
      </c>
      <c r="C443" t="s">
        <v>292</v>
      </c>
      <c r="D443" t="s">
        <v>16</v>
      </c>
      <c r="E443" s="9">
        <v>33</v>
      </c>
      <c r="F443" t="s">
        <v>17</v>
      </c>
      <c r="G443" t="s">
        <v>33</v>
      </c>
      <c r="H443" s="8">
        <v>42134</v>
      </c>
      <c r="I443">
        <v>72810.899999999994</v>
      </c>
      <c r="K443" s="8"/>
    </row>
    <row r="444" spans="1:11">
      <c r="A444">
        <v>100000443</v>
      </c>
      <c r="B444" t="s">
        <v>214</v>
      </c>
      <c r="C444" t="s">
        <v>285</v>
      </c>
      <c r="D444" t="s">
        <v>11</v>
      </c>
      <c r="E444" s="9">
        <v>27</v>
      </c>
      <c r="F444" t="s">
        <v>12</v>
      </c>
      <c r="G444" t="s">
        <v>13</v>
      </c>
      <c r="H444" s="7">
        <v>42135</v>
      </c>
      <c r="I444">
        <v>107287.71</v>
      </c>
      <c r="K444" s="7"/>
    </row>
    <row r="445" spans="1:11">
      <c r="A445">
        <v>100000444</v>
      </c>
      <c r="B445" t="s">
        <v>301</v>
      </c>
      <c r="C445" t="s">
        <v>290</v>
      </c>
      <c r="D445" t="s">
        <v>16</v>
      </c>
      <c r="E445" s="9">
        <v>41</v>
      </c>
      <c r="F445" t="s">
        <v>12</v>
      </c>
      <c r="G445" t="s">
        <v>18</v>
      </c>
      <c r="H445" s="8">
        <v>42135</v>
      </c>
      <c r="I445">
        <v>18907.189999999999</v>
      </c>
      <c r="K445" s="8"/>
    </row>
    <row r="446" spans="1:11">
      <c r="A446">
        <v>100000445</v>
      </c>
      <c r="B446" t="s">
        <v>271</v>
      </c>
      <c r="C446" t="s">
        <v>285</v>
      </c>
      <c r="D446" t="s">
        <v>16</v>
      </c>
      <c r="E446" s="9">
        <v>43</v>
      </c>
      <c r="F446" t="s">
        <v>12</v>
      </c>
      <c r="G446" t="s">
        <v>13</v>
      </c>
      <c r="H446" s="7">
        <v>42135</v>
      </c>
      <c r="I446">
        <v>44996.7</v>
      </c>
      <c r="K446" s="7"/>
    </row>
    <row r="447" spans="1:11">
      <c r="A447">
        <v>100000446</v>
      </c>
      <c r="B447" t="s">
        <v>235</v>
      </c>
      <c r="C447" t="s">
        <v>270</v>
      </c>
      <c r="D447" t="s">
        <v>11</v>
      </c>
      <c r="E447" s="9">
        <v>37</v>
      </c>
      <c r="F447" t="s">
        <v>12</v>
      </c>
      <c r="G447" t="s">
        <v>13</v>
      </c>
      <c r="H447" s="8">
        <v>42135</v>
      </c>
      <c r="I447">
        <v>66791.820000000007</v>
      </c>
      <c r="K447" s="8"/>
    </row>
    <row r="448" spans="1:11">
      <c r="A448">
        <v>200000447</v>
      </c>
      <c r="B448" t="s">
        <v>141</v>
      </c>
      <c r="C448" t="s">
        <v>27</v>
      </c>
      <c r="D448" t="s">
        <v>11</v>
      </c>
      <c r="E448" s="9">
        <v>33</v>
      </c>
      <c r="F448" t="s">
        <v>32</v>
      </c>
      <c r="G448" t="s">
        <v>18</v>
      </c>
      <c r="H448" s="7">
        <v>42135</v>
      </c>
      <c r="I448">
        <v>76071.149999999994</v>
      </c>
      <c r="K448" s="7"/>
    </row>
    <row r="449" spans="1:11">
      <c r="A449">
        <v>200000448</v>
      </c>
      <c r="B449" t="s">
        <v>312</v>
      </c>
      <c r="C449" t="s">
        <v>248</v>
      </c>
      <c r="D449" t="s">
        <v>11</v>
      </c>
      <c r="E449" s="9">
        <v>41</v>
      </c>
      <c r="F449" t="s">
        <v>32</v>
      </c>
      <c r="G449" t="s">
        <v>18</v>
      </c>
      <c r="H449" s="8">
        <v>42135</v>
      </c>
      <c r="I449">
        <v>21536.61</v>
      </c>
      <c r="K449" s="8"/>
    </row>
    <row r="450" spans="1:11">
      <c r="A450">
        <v>400000449</v>
      </c>
      <c r="B450" t="s">
        <v>90</v>
      </c>
      <c r="C450" t="s">
        <v>140</v>
      </c>
      <c r="D450" t="s">
        <v>11</v>
      </c>
      <c r="E450" s="9">
        <v>30</v>
      </c>
      <c r="F450" t="s">
        <v>17</v>
      </c>
      <c r="G450" t="s">
        <v>13</v>
      </c>
      <c r="H450" s="7">
        <v>42135</v>
      </c>
      <c r="I450">
        <v>41273.449999999997</v>
      </c>
      <c r="K450" s="7"/>
    </row>
    <row r="451" spans="1:11">
      <c r="A451">
        <v>400000450</v>
      </c>
      <c r="B451" t="s">
        <v>79</v>
      </c>
      <c r="C451" t="s">
        <v>87</v>
      </c>
      <c r="D451" t="s">
        <v>11</v>
      </c>
      <c r="E451" s="9">
        <v>39</v>
      </c>
      <c r="F451" t="s">
        <v>17</v>
      </c>
      <c r="G451" t="s">
        <v>18</v>
      </c>
      <c r="H451" s="8">
        <v>42135</v>
      </c>
      <c r="I451">
        <v>2838.91</v>
      </c>
      <c r="K451" s="8"/>
    </row>
    <row r="452" spans="1:11">
      <c r="A452">
        <v>100000451</v>
      </c>
      <c r="B452" t="s">
        <v>243</v>
      </c>
      <c r="C452" t="s">
        <v>29</v>
      </c>
      <c r="D452" t="s">
        <v>16</v>
      </c>
      <c r="E452" s="9">
        <v>36</v>
      </c>
      <c r="F452" t="s">
        <v>12</v>
      </c>
      <c r="G452" t="s">
        <v>18</v>
      </c>
      <c r="H452" s="7">
        <v>42136</v>
      </c>
      <c r="I452">
        <v>10303.92</v>
      </c>
      <c r="K452" s="7"/>
    </row>
    <row r="453" spans="1:11">
      <c r="A453">
        <v>100000452</v>
      </c>
      <c r="B453" t="s">
        <v>193</v>
      </c>
      <c r="C453" t="s">
        <v>61</v>
      </c>
      <c r="D453" t="s">
        <v>11</v>
      </c>
      <c r="E453" s="9">
        <v>40</v>
      </c>
      <c r="F453" t="s">
        <v>12</v>
      </c>
      <c r="G453" t="s">
        <v>13</v>
      </c>
      <c r="H453" s="8">
        <v>42136</v>
      </c>
      <c r="I453">
        <v>15488.15</v>
      </c>
      <c r="K453" s="8"/>
    </row>
    <row r="454" spans="1:11">
      <c r="A454">
        <v>100000453</v>
      </c>
      <c r="B454" t="s">
        <v>102</v>
      </c>
      <c r="C454" t="s">
        <v>313</v>
      </c>
      <c r="D454" t="s">
        <v>16</v>
      </c>
      <c r="E454" s="9">
        <v>23</v>
      </c>
      <c r="F454" t="s">
        <v>12</v>
      </c>
      <c r="G454" t="s">
        <v>13</v>
      </c>
      <c r="H454" s="7">
        <v>42136</v>
      </c>
      <c r="I454">
        <v>17253.97</v>
      </c>
      <c r="K454" s="7"/>
    </row>
    <row r="455" spans="1:11">
      <c r="A455">
        <v>100000454</v>
      </c>
      <c r="B455" t="s">
        <v>90</v>
      </c>
      <c r="C455" t="s">
        <v>248</v>
      </c>
      <c r="D455" t="s">
        <v>11</v>
      </c>
      <c r="E455" s="9">
        <v>26</v>
      </c>
      <c r="F455" t="s">
        <v>12</v>
      </c>
      <c r="G455" t="s">
        <v>33</v>
      </c>
      <c r="H455" s="8">
        <v>42136</v>
      </c>
      <c r="I455">
        <v>22143.77</v>
      </c>
      <c r="K455" s="8"/>
    </row>
    <row r="456" spans="1:11">
      <c r="A456">
        <v>100000455</v>
      </c>
      <c r="B456" t="s">
        <v>231</v>
      </c>
      <c r="C456" t="s">
        <v>151</v>
      </c>
      <c r="D456" t="s">
        <v>11</v>
      </c>
      <c r="E456" s="9">
        <v>35</v>
      </c>
      <c r="F456" t="s">
        <v>12</v>
      </c>
      <c r="G456" t="s">
        <v>18</v>
      </c>
      <c r="H456" s="7">
        <v>42136</v>
      </c>
      <c r="I456">
        <v>1760.36</v>
      </c>
      <c r="K456" s="7"/>
    </row>
    <row r="457" spans="1:11">
      <c r="A457">
        <v>100000456</v>
      </c>
      <c r="B457" t="s">
        <v>220</v>
      </c>
      <c r="C457" t="s">
        <v>100</v>
      </c>
      <c r="D457" t="s">
        <v>16</v>
      </c>
      <c r="E457" s="9">
        <v>51</v>
      </c>
      <c r="F457" t="s">
        <v>12</v>
      </c>
      <c r="G457" t="s">
        <v>13</v>
      </c>
      <c r="H457" s="8">
        <v>42136</v>
      </c>
      <c r="I457">
        <v>28034.11</v>
      </c>
      <c r="K457" s="8"/>
    </row>
    <row r="458" spans="1:11">
      <c r="A458">
        <v>200000457</v>
      </c>
      <c r="B458" t="s">
        <v>50</v>
      </c>
      <c r="C458" t="s">
        <v>144</v>
      </c>
      <c r="D458" t="s">
        <v>16</v>
      </c>
      <c r="E458" s="9">
        <v>48</v>
      </c>
      <c r="F458" t="s">
        <v>32</v>
      </c>
      <c r="G458" t="s">
        <v>18</v>
      </c>
      <c r="H458" s="7">
        <v>42136</v>
      </c>
      <c r="I458">
        <v>18739.740000000002</v>
      </c>
      <c r="K458" s="7"/>
    </row>
    <row r="459" spans="1:11">
      <c r="A459">
        <v>200000458</v>
      </c>
      <c r="B459" t="s">
        <v>70</v>
      </c>
      <c r="C459" t="s">
        <v>288</v>
      </c>
      <c r="D459" t="s">
        <v>11</v>
      </c>
      <c r="E459" s="9">
        <v>59</v>
      </c>
      <c r="F459" t="s">
        <v>32</v>
      </c>
      <c r="G459" t="s">
        <v>18</v>
      </c>
      <c r="H459" s="8">
        <v>42136</v>
      </c>
      <c r="I459">
        <v>34640.400000000001</v>
      </c>
      <c r="K459" s="8"/>
    </row>
    <row r="460" spans="1:11">
      <c r="A460">
        <v>200000459</v>
      </c>
      <c r="B460" t="s">
        <v>101</v>
      </c>
      <c r="C460" t="s">
        <v>20</v>
      </c>
      <c r="D460" t="s">
        <v>11</v>
      </c>
      <c r="E460" s="9">
        <v>43</v>
      </c>
      <c r="F460" t="s">
        <v>32</v>
      </c>
      <c r="G460" t="s">
        <v>33</v>
      </c>
      <c r="H460" s="7">
        <v>42136</v>
      </c>
      <c r="I460">
        <v>57551.21</v>
      </c>
      <c r="K460" s="7"/>
    </row>
    <row r="461" spans="1:11">
      <c r="A461">
        <v>200000460</v>
      </c>
      <c r="B461" t="s">
        <v>131</v>
      </c>
      <c r="C461" t="s">
        <v>247</v>
      </c>
      <c r="D461" t="s">
        <v>16</v>
      </c>
      <c r="E461" s="9">
        <v>54</v>
      </c>
      <c r="F461" t="s">
        <v>32</v>
      </c>
      <c r="G461" t="s">
        <v>33</v>
      </c>
      <c r="H461" s="8">
        <v>42136</v>
      </c>
      <c r="I461">
        <v>18720.84</v>
      </c>
      <c r="K461" s="8"/>
    </row>
    <row r="462" spans="1:11">
      <c r="A462">
        <v>200000461</v>
      </c>
      <c r="B462" t="s">
        <v>245</v>
      </c>
      <c r="C462" t="s">
        <v>39</v>
      </c>
      <c r="D462" t="s">
        <v>11</v>
      </c>
      <c r="E462" s="9">
        <v>52</v>
      </c>
      <c r="F462" t="s">
        <v>32</v>
      </c>
      <c r="G462" t="s">
        <v>13</v>
      </c>
      <c r="H462" s="7">
        <v>42136</v>
      </c>
      <c r="I462">
        <v>29971.21</v>
      </c>
      <c r="K462" s="7"/>
    </row>
    <row r="463" spans="1:11">
      <c r="A463">
        <v>200000462</v>
      </c>
      <c r="B463" t="s">
        <v>143</v>
      </c>
      <c r="C463" t="s">
        <v>88</v>
      </c>
      <c r="D463" t="s">
        <v>11</v>
      </c>
      <c r="E463" s="9">
        <v>52</v>
      </c>
      <c r="F463" t="s">
        <v>32</v>
      </c>
      <c r="G463" t="s">
        <v>33</v>
      </c>
      <c r="H463" s="8">
        <v>42136</v>
      </c>
      <c r="I463">
        <v>6967.51</v>
      </c>
      <c r="K463" s="8"/>
    </row>
    <row r="464" spans="1:11">
      <c r="A464">
        <v>200000463</v>
      </c>
      <c r="B464" t="s">
        <v>143</v>
      </c>
      <c r="C464" t="s">
        <v>153</v>
      </c>
      <c r="D464" t="s">
        <v>11</v>
      </c>
      <c r="E464" s="9">
        <v>46</v>
      </c>
      <c r="F464" t="s">
        <v>32</v>
      </c>
      <c r="G464" t="s">
        <v>18</v>
      </c>
      <c r="H464" s="7">
        <v>42136</v>
      </c>
      <c r="I464">
        <v>131848.63</v>
      </c>
      <c r="K464" s="7"/>
    </row>
    <row r="465" spans="1:11">
      <c r="A465">
        <v>200000464</v>
      </c>
      <c r="B465" t="s">
        <v>181</v>
      </c>
      <c r="C465" t="s">
        <v>82</v>
      </c>
      <c r="D465" t="s">
        <v>11</v>
      </c>
      <c r="E465" s="9">
        <v>57</v>
      </c>
      <c r="F465" t="s">
        <v>32</v>
      </c>
      <c r="G465" t="s">
        <v>18</v>
      </c>
      <c r="H465" s="8">
        <v>42136</v>
      </c>
      <c r="I465">
        <v>26601.439999999999</v>
      </c>
      <c r="K465" s="8"/>
    </row>
    <row r="466" spans="1:11">
      <c r="A466">
        <v>200000465</v>
      </c>
      <c r="B466" t="s">
        <v>314</v>
      </c>
      <c r="C466" t="s">
        <v>43</v>
      </c>
      <c r="D466" t="s">
        <v>16</v>
      </c>
      <c r="E466" s="9">
        <v>42</v>
      </c>
      <c r="F466" t="s">
        <v>32</v>
      </c>
      <c r="G466" t="s">
        <v>33</v>
      </c>
      <c r="H466" s="7">
        <v>42136</v>
      </c>
      <c r="I466">
        <v>48457.47</v>
      </c>
      <c r="K466" s="7"/>
    </row>
    <row r="467" spans="1:11">
      <c r="A467">
        <v>300000466</v>
      </c>
      <c r="B467" t="s">
        <v>180</v>
      </c>
      <c r="C467" t="s">
        <v>157</v>
      </c>
      <c r="D467" t="s">
        <v>16</v>
      </c>
      <c r="E467" s="9">
        <v>39</v>
      </c>
      <c r="F467" t="s">
        <v>23</v>
      </c>
      <c r="G467" t="s">
        <v>13</v>
      </c>
      <c r="H467" s="8">
        <v>42136</v>
      </c>
      <c r="I467">
        <v>83260.179999999993</v>
      </c>
      <c r="K467" s="8"/>
    </row>
    <row r="468" spans="1:11">
      <c r="A468">
        <v>300000467</v>
      </c>
      <c r="B468" t="s">
        <v>126</v>
      </c>
      <c r="C468" t="s">
        <v>224</v>
      </c>
      <c r="D468" t="s">
        <v>16</v>
      </c>
      <c r="E468" s="9">
        <v>20</v>
      </c>
      <c r="F468" t="s">
        <v>23</v>
      </c>
      <c r="G468" t="s">
        <v>33</v>
      </c>
      <c r="H468" s="7">
        <v>42136</v>
      </c>
      <c r="I468">
        <v>1291.01</v>
      </c>
      <c r="K468" s="7"/>
    </row>
    <row r="469" spans="1:11">
      <c r="A469">
        <v>300000468</v>
      </c>
      <c r="B469" t="s">
        <v>14</v>
      </c>
      <c r="C469" t="s">
        <v>315</v>
      </c>
      <c r="D469" t="s">
        <v>16</v>
      </c>
      <c r="E469" s="9">
        <v>45</v>
      </c>
      <c r="F469" t="s">
        <v>23</v>
      </c>
      <c r="G469" t="s">
        <v>33</v>
      </c>
      <c r="H469" s="8">
        <v>42136</v>
      </c>
      <c r="I469">
        <v>64149.120000000003</v>
      </c>
      <c r="K469" s="8"/>
    </row>
    <row r="470" spans="1:11">
      <c r="A470">
        <v>300000469</v>
      </c>
      <c r="B470" t="s">
        <v>193</v>
      </c>
      <c r="C470" t="s">
        <v>277</v>
      </c>
      <c r="D470" t="s">
        <v>11</v>
      </c>
      <c r="E470" s="9">
        <v>38</v>
      </c>
      <c r="F470" t="s">
        <v>23</v>
      </c>
      <c r="G470" t="s">
        <v>18</v>
      </c>
      <c r="H470" s="7">
        <v>42136</v>
      </c>
      <c r="I470">
        <v>64271.06</v>
      </c>
      <c r="K470" s="7"/>
    </row>
    <row r="471" spans="1:11">
      <c r="A471">
        <v>400000470</v>
      </c>
      <c r="B471" t="s">
        <v>103</v>
      </c>
      <c r="C471" t="s">
        <v>114</v>
      </c>
      <c r="D471" t="s">
        <v>11</v>
      </c>
      <c r="E471" s="9">
        <v>27</v>
      </c>
      <c r="F471" t="s">
        <v>17</v>
      </c>
      <c r="G471" t="s">
        <v>13</v>
      </c>
      <c r="H471" s="8">
        <v>42136</v>
      </c>
      <c r="I471">
        <v>14890.26</v>
      </c>
      <c r="K471" s="8"/>
    </row>
    <row r="472" spans="1:11">
      <c r="A472">
        <v>400000471</v>
      </c>
      <c r="B472" t="s">
        <v>139</v>
      </c>
      <c r="C472" t="s">
        <v>152</v>
      </c>
      <c r="D472" t="s">
        <v>16</v>
      </c>
      <c r="E472" s="9">
        <v>35</v>
      </c>
      <c r="F472" t="s">
        <v>17</v>
      </c>
      <c r="G472" t="s">
        <v>13</v>
      </c>
      <c r="H472" s="7">
        <v>42136</v>
      </c>
      <c r="I472">
        <v>27867.83</v>
      </c>
      <c r="K472" s="7"/>
    </row>
    <row r="473" spans="1:11">
      <c r="A473">
        <v>400000472</v>
      </c>
      <c r="B473" t="s">
        <v>267</v>
      </c>
      <c r="C473" t="s">
        <v>179</v>
      </c>
      <c r="D473" t="s">
        <v>16</v>
      </c>
      <c r="E473" s="9">
        <v>23</v>
      </c>
      <c r="F473" t="s">
        <v>17</v>
      </c>
      <c r="G473" t="s">
        <v>33</v>
      </c>
      <c r="H473" s="8">
        <v>42136</v>
      </c>
      <c r="I473">
        <v>58442.19</v>
      </c>
      <c r="K473" s="8"/>
    </row>
    <row r="474" spans="1:11">
      <c r="A474">
        <v>400000473</v>
      </c>
      <c r="B474" t="s">
        <v>103</v>
      </c>
      <c r="C474" t="s">
        <v>295</v>
      </c>
      <c r="D474" t="s">
        <v>11</v>
      </c>
      <c r="E474" s="9">
        <v>32</v>
      </c>
      <c r="F474" t="s">
        <v>17</v>
      </c>
      <c r="G474" t="s">
        <v>33</v>
      </c>
      <c r="H474" s="7">
        <v>42136</v>
      </c>
      <c r="I474">
        <v>36854.57</v>
      </c>
      <c r="K474" s="7"/>
    </row>
    <row r="475" spans="1:11">
      <c r="A475">
        <v>400000474</v>
      </c>
      <c r="B475" t="s">
        <v>188</v>
      </c>
      <c r="C475" t="s">
        <v>156</v>
      </c>
      <c r="D475" t="s">
        <v>11</v>
      </c>
      <c r="E475" s="9">
        <v>33</v>
      </c>
      <c r="F475" t="s">
        <v>17</v>
      </c>
      <c r="G475" t="s">
        <v>13</v>
      </c>
      <c r="H475" s="8">
        <v>42136</v>
      </c>
      <c r="I475">
        <v>66642.91</v>
      </c>
      <c r="K475" s="8"/>
    </row>
    <row r="476" spans="1:11">
      <c r="A476">
        <v>100000475</v>
      </c>
      <c r="B476" t="s">
        <v>118</v>
      </c>
      <c r="C476" t="s">
        <v>103</v>
      </c>
      <c r="D476" t="s">
        <v>11</v>
      </c>
      <c r="E476" s="9">
        <v>37</v>
      </c>
      <c r="F476" t="s">
        <v>12</v>
      </c>
      <c r="G476" t="s">
        <v>13</v>
      </c>
      <c r="H476" s="7">
        <v>42137</v>
      </c>
      <c r="I476">
        <v>101697.71</v>
      </c>
      <c r="K476" s="7"/>
    </row>
    <row r="477" spans="1:11">
      <c r="A477">
        <v>100000476</v>
      </c>
      <c r="B477" t="s">
        <v>110</v>
      </c>
      <c r="C477" t="s">
        <v>142</v>
      </c>
      <c r="D477" t="s">
        <v>16</v>
      </c>
      <c r="E477" s="9">
        <v>33</v>
      </c>
      <c r="F477" t="s">
        <v>12</v>
      </c>
      <c r="G477" t="s">
        <v>13</v>
      </c>
      <c r="H477" s="8">
        <v>42137</v>
      </c>
      <c r="I477">
        <v>30862.639999999999</v>
      </c>
      <c r="K477" s="8"/>
    </row>
    <row r="478" spans="1:11">
      <c r="A478">
        <v>100000477</v>
      </c>
      <c r="B478" t="s">
        <v>316</v>
      </c>
      <c r="C478" t="s">
        <v>106</v>
      </c>
      <c r="D478" t="s">
        <v>16</v>
      </c>
      <c r="E478" s="9">
        <v>31</v>
      </c>
      <c r="F478" t="s">
        <v>12</v>
      </c>
      <c r="G478" t="s">
        <v>13</v>
      </c>
      <c r="H478" s="7">
        <v>42137</v>
      </c>
      <c r="I478">
        <v>36911.96</v>
      </c>
      <c r="K478" s="7"/>
    </row>
    <row r="479" spans="1:11">
      <c r="A479">
        <v>100000478</v>
      </c>
      <c r="B479" t="s">
        <v>119</v>
      </c>
      <c r="C479" t="s">
        <v>155</v>
      </c>
      <c r="D479" t="s">
        <v>16</v>
      </c>
      <c r="E479" s="9">
        <v>33</v>
      </c>
      <c r="F479" t="s">
        <v>12</v>
      </c>
      <c r="G479" t="s">
        <v>13</v>
      </c>
      <c r="H479" s="8">
        <v>42137</v>
      </c>
      <c r="I479">
        <v>9069.4699999999993</v>
      </c>
      <c r="K479" s="8"/>
    </row>
    <row r="480" spans="1:11">
      <c r="A480">
        <v>200000479</v>
      </c>
      <c r="B480" t="s">
        <v>213</v>
      </c>
      <c r="C480" t="s">
        <v>106</v>
      </c>
      <c r="D480" t="s">
        <v>11</v>
      </c>
      <c r="E480" s="9">
        <v>43</v>
      </c>
      <c r="F480" t="s">
        <v>32</v>
      </c>
      <c r="G480" t="s">
        <v>33</v>
      </c>
      <c r="H480" s="7">
        <v>42137</v>
      </c>
      <c r="I480">
        <v>41525.24</v>
      </c>
      <c r="K480" s="7"/>
    </row>
    <row r="481" spans="1:11">
      <c r="A481">
        <v>200000480</v>
      </c>
      <c r="B481" t="s">
        <v>188</v>
      </c>
      <c r="C481" t="s">
        <v>153</v>
      </c>
      <c r="D481" t="s">
        <v>11</v>
      </c>
      <c r="E481" s="9">
        <v>45</v>
      </c>
      <c r="F481" t="s">
        <v>32</v>
      </c>
      <c r="G481" t="s">
        <v>18</v>
      </c>
      <c r="H481" s="8">
        <v>42137</v>
      </c>
      <c r="I481">
        <v>25671.22</v>
      </c>
      <c r="K481" s="8"/>
    </row>
    <row r="482" spans="1:11">
      <c r="A482">
        <v>200000481</v>
      </c>
      <c r="B482" t="s">
        <v>139</v>
      </c>
      <c r="C482" t="s">
        <v>209</v>
      </c>
      <c r="D482" t="s">
        <v>16</v>
      </c>
      <c r="E482" s="9">
        <v>48</v>
      </c>
      <c r="F482" t="s">
        <v>32</v>
      </c>
      <c r="G482" t="s">
        <v>18</v>
      </c>
      <c r="H482" s="7">
        <v>42137</v>
      </c>
      <c r="I482">
        <v>74211.7</v>
      </c>
      <c r="K482" s="7"/>
    </row>
    <row r="483" spans="1:11">
      <c r="A483">
        <v>200000482</v>
      </c>
      <c r="B483" t="s">
        <v>214</v>
      </c>
      <c r="C483" t="s">
        <v>260</v>
      </c>
      <c r="D483" t="s">
        <v>11</v>
      </c>
      <c r="E483" s="9">
        <v>53</v>
      </c>
      <c r="F483" t="s">
        <v>32</v>
      </c>
      <c r="G483" t="s">
        <v>13</v>
      </c>
      <c r="H483" s="8">
        <v>42137</v>
      </c>
      <c r="I483">
        <v>19032.02</v>
      </c>
      <c r="K483" s="8"/>
    </row>
    <row r="484" spans="1:11">
      <c r="A484">
        <v>200000483</v>
      </c>
      <c r="B484" t="s">
        <v>217</v>
      </c>
      <c r="C484" t="s">
        <v>85</v>
      </c>
      <c r="D484" t="s">
        <v>11</v>
      </c>
      <c r="E484" s="9">
        <v>47</v>
      </c>
      <c r="F484" t="s">
        <v>32</v>
      </c>
      <c r="G484" t="s">
        <v>33</v>
      </c>
      <c r="H484" s="7">
        <v>42137</v>
      </c>
      <c r="I484">
        <v>18970.240000000002</v>
      </c>
      <c r="K484" s="7"/>
    </row>
    <row r="485" spans="1:11">
      <c r="A485">
        <v>200000484</v>
      </c>
      <c r="B485" t="s">
        <v>173</v>
      </c>
      <c r="C485" t="s">
        <v>224</v>
      </c>
      <c r="D485" t="s">
        <v>11</v>
      </c>
      <c r="E485" s="9">
        <v>39</v>
      </c>
      <c r="F485" t="s">
        <v>32</v>
      </c>
      <c r="G485" t="s">
        <v>18</v>
      </c>
      <c r="H485" s="8">
        <v>42137</v>
      </c>
      <c r="I485">
        <v>6572.36</v>
      </c>
      <c r="K485" s="8"/>
    </row>
    <row r="486" spans="1:11">
      <c r="A486">
        <v>200000485</v>
      </c>
      <c r="B486" t="s">
        <v>245</v>
      </c>
      <c r="C486" t="s">
        <v>246</v>
      </c>
      <c r="D486" t="s">
        <v>11</v>
      </c>
      <c r="E486" s="9">
        <v>54</v>
      </c>
      <c r="F486" t="s">
        <v>32</v>
      </c>
      <c r="G486" t="s">
        <v>13</v>
      </c>
      <c r="H486" s="7">
        <v>42137</v>
      </c>
      <c r="I486">
        <v>72492.490000000005</v>
      </c>
      <c r="K486" s="7"/>
    </row>
    <row r="487" spans="1:11">
      <c r="A487">
        <v>200000486</v>
      </c>
      <c r="B487" t="s">
        <v>303</v>
      </c>
      <c r="C487" t="s">
        <v>95</v>
      </c>
      <c r="D487" t="s">
        <v>11</v>
      </c>
      <c r="E487" s="9">
        <v>53</v>
      </c>
      <c r="F487" t="s">
        <v>32</v>
      </c>
      <c r="G487" t="s">
        <v>18</v>
      </c>
      <c r="H487" s="8">
        <v>42137</v>
      </c>
      <c r="I487">
        <v>19641.849999999999</v>
      </c>
      <c r="K487" s="8"/>
    </row>
    <row r="488" spans="1:11">
      <c r="A488">
        <v>300000487</v>
      </c>
      <c r="B488" t="s">
        <v>161</v>
      </c>
      <c r="C488" t="s">
        <v>170</v>
      </c>
      <c r="D488" t="s">
        <v>16</v>
      </c>
      <c r="E488" s="9">
        <v>19</v>
      </c>
      <c r="F488" t="s">
        <v>23</v>
      </c>
      <c r="G488" t="s">
        <v>13</v>
      </c>
      <c r="H488" s="7">
        <v>42137</v>
      </c>
      <c r="I488">
        <v>30972.98</v>
      </c>
      <c r="K488" s="7"/>
    </row>
    <row r="489" spans="1:11">
      <c r="A489">
        <v>400000488</v>
      </c>
      <c r="B489" t="s">
        <v>236</v>
      </c>
      <c r="C489" t="s">
        <v>224</v>
      </c>
      <c r="D489" t="s">
        <v>16</v>
      </c>
      <c r="E489" s="9">
        <v>35</v>
      </c>
      <c r="F489" t="s">
        <v>17</v>
      </c>
      <c r="G489" t="s">
        <v>33</v>
      </c>
      <c r="H489" s="8">
        <v>42137</v>
      </c>
      <c r="I489">
        <v>38769.69</v>
      </c>
      <c r="K489" s="8"/>
    </row>
    <row r="490" spans="1:11">
      <c r="A490">
        <v>100000489</v>
      </c>
      <c r="B490" t="s">
        <v>118</v>
      </c>
      <c r="C490" t="s">
        <v>195</v>
      </c>
      <c r="D490" t="s">
        <v>11</v>
      </c>
      <c r="E490" s="9">
        <v>41</v>
      </c>
      <c r="F490" t="s">
        <v>12</v>
      </c>
      <c r="G490" t="s">
        <v>13</v>
      </c>
      <c r="H490" s="7">
        <v>42138</v>
      </c>
      <c r="I490">
        <v>80877.94</v>
      </c>
      <c r="K490" s="7"/>
    </row>
    <row r="491" spans="1:11">
      <c r="A491">
        <v>200000490</v>
      </c>
      <c r="B491" t="s">
        <v>309</v>
      </c>
      <c r="C491" t="s">
        <v>69</v>
      </c>
      <c r="D491" t="s">
        <v>16</v>
      </c>
      <c r="E491" s="9">
        <v>58</v>
      </c>
      <c r="F491" t="s">
        <v>32</v>
      </c>
      <c r="G491" t="s">
        <v>33</v>
      </c>
      <c r="H491" s="8">
        <v>42138</v>
      </c>
      <c r="I491">
        <v>71689.7</v>
      </c>
      <c r="K491" s="8"/>
    </row>
    <row r="492" spans="1:11">
      <c r="A492">
        <v>200000491</v>
      </c>
      <c r="B492" t="s">
        <v>111</v>
      </c>
      <c r="C492" t="s">
        <v>54</v>
      </c>
      <c r="D492" t="s">
        <v>11</v>
      </c>
      <c r="E492" s="9">
        <v>46</v>
      </c>
      <c r="F492" t="s">
        <v>32</v>
      </c>
      <c r="G492" t="s">
        <v>18</v>
      </c>
      <c r="H492" s="7">
        <v>42138</v>
      </c>
      <c r="I492">
        <v>14557.62</v>
      </c>
      <c r="K492" s="7"/>
    </row>
    <row r="493" spans="1:11">
      <c r="A493">
        <v>200000492</v>
      </c>
      <c r="B493" t="s">
        <v>264</v>
      </c>
      <c r="C493" t="s">
        <v>252</v>
      </c>
      <c r="D493" t="s">
        <v>11</v>
      </c>
      <c r="E493" s="9">
        <v>50</v>
      </c>
      <c r="F493" t="s">
        <v>32</v>
      </c>
      <c r="G493" t="s">
        <v>18</v>
      </c>
      <c r="H493" s="8">
        <v>42138</v>
      </c>
      <c r="I493">
        <v>18144.439999999999</v>
      </c>
      <c r="K493" s="8"/>
    </row>
    <row r="494" spans="1:11">
      <c r="A494">
        <v>200000493</v>
      </c>
      <c r="B494" t="s">
        <v>186</v>
      </c>
      <c r="C494" t="s">
        <v>155</v>
      </c>
      <c r="D494" t="s">
        <v>11</v>
      </c>
      <c r="E494" s="9">
        <v>49</v>
      </c>
      <c r="F494" t="s">
        <v>32</v>
      </c>
      <c r="G494" t="s">
        <v>18</v>
      </c>
      <c r="H494" s="7">
        <v>42138</v>
      </c>
      <c r="I494">
        <v>127883.17</v>
      </c>
      <c r="K494" s="7"/>
    </row>
    <row r="495" spans="1:11">
      <c r="A495">
        <v>300000494</v>
      </c>
      <c r="B495" t="s">
        <v>191</v>
      </c>
      <c r="C495" t="s">
        <v>114</v>
      </c>
      <c r="D495" t="s">
        <v>11</v>
      </c>
      <c r="E495" s="9">
        <v>41</v>
      </c>
      <c r="F495" t="s">
        <v>23</v>
      </c>
      <c r="G495" t="s">
        <v>13</v>
      </c>
      <c r="H495" s="8">
        <v>42138</v>
      </c>
      <c r="I495">
        <v>74390.3</v>
      </c>
      <c r="K495" s="8"/>
    </row>
    <row r="496" spans="1:11">
      <c r="A496">
        <v>300000495</v>
      </c>
      <c r="B496" t="s">
        <v>169</v>
      </c>
      <c r="C496" t="s">
        <v>310</v>
      </c>
      <c r="D496" t="s">
        <v>11</v>
      </c>
      <c r="E496" s="9">
        <v>40</v>
      </c>
      <c r="F496" t="s">
        <v>23</v>
      </c>
      <c r="G496" t="s">
        <v>13</v>
      </c>
      <c r="H496" s="7">
        <v>42138</v>
      </c>
      <c r="I496">
        <v>8257.16</v>
      </c>
      <c r="K496" s="7"/>
    </row>
    <row r="497" spans="1:11">
      <c r="A497">
        <v>300000496</v>
      </c>
      <c r="B497" t="s">
        <v>304</v>
      </c>
      <c r="C497" t="s">
        <v>78</v>
      </c>
      <c r="D497" t="s">
        <v>16</v>
      </c>
      <c r="E497" s="9">
        <v>41</v>
      </c>
      <c r="F497" t="s">
        <v>23</v>
      </c>
      <c r="G497" t="s">
        <v>33</v>
      </c>
      <c r="H497" s="8">
        <v>42138</v>
      </c>
      <c r="I497">
        <v>21688.92</v>
      </c>
      <c r="K497" s="8"/>
    </row>
    <row r="498" spans="1:11">
      <c r="A498">
        <v>400000497</v>
      </c>
      <c r="B498" t="s">
        <v>194</v>
      </c>
      <c r="C498" t="s">
        <v>78</v>
      </c>
      <c r="D498" t="s">
        <v>16</v>
      </c>
      <c r="E498" s="9">
        <v>26</v>
      </c>
      <c r="F498" t="s">
        <v>17</v>
      </c>
      <c r="G498" t="s">
        <v>13</v>
      </c>
      <c r="H498" s="7">
        <v>42138</v>
      </c>
      <c r="I498">
        <v>5789.63</v>
      </c>
      <c r="K498" s="7"/>
    </row>
    <row r="499" spans="1:11">
      <c r="A499">
        <v>100000498</v>
      </c>
      <c r="B499" t="s">
        <v>165</v>
      </c>
      <c r="C499" t="s">
        <v>37</v>
      </c>
      <c r="D499" t="s">
        <v>16</v>
      </c>
      <c r="E499" s="9">
        <v>37</v>
      </c>
      <c r="F499" t="s">
        <v>12</v>
      </c>
      <c r="G499" t="s">
        <v>18</v>
      </c>
      <c r="H499" s="8">
        <v>42139</v>
      </c>
      <c r="I499">
        <v>9178.75</v>
      </c>
      <c r="K499" s="8"/>
    </row>
    <row r="500" spans="1:11">
      <c r="A500">
        <v>100000499</v>
      </c>
      <c r="B500" t="s">
        <v>24</v>
      </c>
      <c r="C500" t="s">
        <v>225</v>
      </c>
      <c r="D500" t="s">
        <v>16</v>
      </c>
      <c r="E500" s="9">
        <v>42</v>
      </c>
      <c r="F500" t="s">
        <v>12</v>
      </c>
      <c r="G500" t="s">
        <v>33</v>
      </c>
      <c r="H500" s="7">
        <v>42139</v>
      </c>
      <c r="I500">
        <v>36354.730000000003</v>
      </c>
      <c r="K500" s="7"/>
    </row>
    <row r="501" spans="1:11">
      <c r="A501">
        <v>100000500</v>
      </c>
      <c r="B501" t="s">
        <v>48</v>
      </c>
      <c r="C501" t="s">
        <v>164</v>
      </c>
      <c r="D501" t="s">
        <v>16</v>
      </c>
      <c r="E501" s="9">
        <v>32</v>
      </c>
      <c r="F501" t="s">
        <v>12</v>
      </c>
      <c r="G501" t="s">
        <v>33</v>
      </c>
      <c r="H501" s="8">
        <v>42139</v>
      </c>
      <c r="I501">
        <v>44609.05</v>
      </c>
      <c r="K501" s="8"/>
    </row>
    <row r="502" spans="1:11">
      <c r="A502">
        <v>100000501</v>
      </c>
      <c r="B502" t="s">
        <v>317</v>
      </c>
      <c r="C502" t="s">
        <v>56</v>
      </c>
      <c r="D502" t="s">
        <v>16</v>
      </c>
      <c r="E502" s="9">
        <v>42</v>
      </c>
      <c r="F502" t="s">
        <v>12</v>
      </c>
      <c r="G502" t="s">
        <v>13</v>
      </c>
      <c r="H502" s="7">
        <v>42139</v>
      </c>
      <c r="I502">
        <v>47360.61</v>
      </c>
      <c r="K502" s="7"/>
    </row>
    <row r="503" spans="1:11">
      <c r="A503">
        <v>100000502</v>
      </c>
      <c r="B503" t="s">
        <v>146</v>
      </c>
      <c r="C503" t="s">
        <v>56</v>
      </c>
      <c r="D503" t="s">
        <v>16</v>
      </c>
      <c r="E503" s="9">
        <v>18</v>
      </c>
      <c r="F503" t="s">
        <v>12</v>
      </c>
      <c r="G503" t="s">
        <v>13</v>
      </c>
      <c r="H503" s="8">
        <v>42139</v>
      </c>
      <c r="I503">
        <v>58142.21</v>
      </c>
      <c r="K503" s="8"/>
    </row>
    <row r="504" spans="1:11">
      <c r="A504">
        <v>200000503</v>
      </c>
      <c r="B504" t="s">
        <v>76</v>
      </c>
      <c r="C504" t="s">
        <v>183</v>
      </c>
      <c r="D504" t="s">
        <v>11</v>
      </c>
      <c r="E504" s="9">
        <v>51</v>
      </c>
      <c r="F504" t="s">
        <v>32</v>
      </c>
      <c r="G504" t="s">
        <v>18</v>
      </c>
      <c r="H504" s="7">
        <v>42139</v>
      </c>
      <c r="I504">
        <v>920.31</v>
      </c>
      <c r="K504" s="7"/>
    </row>
    <row r="505" spans="1:11">
      <c r="A505">
        <v>200000504</v>
      </c>
      <c r="B505" t="s">
        <v>57</v>
      </c>
      <c r="C505" t="s">
        <v>183</v>
      </c>
      <c r="D505" t="s">
        <v>11</v>
      </c>
      <c r="E505" s="9">
        <v>51</v>
      </c>
      <c r="F505" t="s">
        <v>32</v>
      </c>
      <c r="G505" t="s">
        <v>13</v>
      </c>
      <c r="H505" s="8">
        <v>42139</v>
      </c>
      <c r="I505">
        <v>16320.71</v>
      </c>
      <c r="K505" s="8"/>
    </row>
    <row r="506" spans="1:11">
      <c r="A506">
        <v>200000505</v>
      </c>
      <c r="B506" t="s">
        <v>261</v>
      </c>
      <c r="C506" t="s">
        <v>156</v>
      </c>
      <c r="D506" t="s">
        <v>11</v>
      </c>
      <c r="E506" s="9">
        <v>42</v>
      </c>
      <c r="F506" t="s">
        <v>32</v>
      </c>
      <c r="G506" t="s">
        <v>18</v>
      </c>
      <c r="H506" s="7">
        <v>42139</v>
      </c>
      <c r="I506">
        <v>35821.21</v>
      </c>
      <c r="K506" s="7"/>
    </row>
    <row r="507" spans="1:11">
      <c r="A507">
        <v>200000506</v>
      </c>
      <c r="B507" t="s">
        <v>188</v>
      </c>
      <c r="C507" t="s">
        <v>187</v>
      </c>
      <c r="D507" t="s">
        <v>11</v>
      </c>
      <c r="E507" s="9">
        <v>53</v>
      </c>
      <c r="F507" t="s">
        <v>32</v>
      </c>
      <c r="G507" t="s">
        <v>18</v>
      </c>
      <c r="H507" s="8">
        <v>42139</v>
      </c>
      <c r="I507">
        <v>15708.72</v>
      </c>
      <c r="K507" s="8"/>
    </row>
    <row r="508" spans="1:11">
      <c r="A508">
        <v>200000507</v>
      </c>
      <c r="B508" t="s">
        <v>293</v>
      </c>
      <c r="C508" t="s">
        <v>85</v>
      </c>
      <c r="D508" t="s">
        <v>11</v>
      </c>
      <c r="E508" s="9">
        <v>51</v>
      </c>
      <c r="F508" t="s">
        <v>32</v>
      </c>
      <c r="G508" t="s">
        <v>18</v>
      </c>
      <c r="H508" s="7">
        <v>42139</v>
      </c>
      <c r="I508">
        <v>85973.68</v>
      </c>
      <c r="K508" s="7"/>
    </row>
    <row r="509" spans="1:11">
      <c r="A509">
        <v>200000508</v>
      </c>
      <c r="B509" t="s">
        <v>302</v>
      </c>
      <c r="C509" t="s">
        <v>109</v>
      </c>
      <c r="D509" t="s">
        <v>16</v>
      </c>
      <c r="E509" s="9">
        <v>47</v>
      </c>
      <c r="F509" t="s">
        <v>32</v>
      </c>
      <c r="G509" t="s">
        <v>33</v>
      </c>
      <c r="H509" s="8">
        <v>42139</v>
      </c>
      <c r="I509">
        <v>15438.53</v>
      </c>
      <c r="K509" s="8"/>
    </row>
    <row r="510" spans="1:11">
      <c r="A510">
        <v>300000509</v>
      </c>
      <c r="B510" t="s">
        <v>229</v>
      </c>
      <c r="C510" t="s">
        <v>201</v>
      </c>
      <c r="D510" t="s">
        <v>16</v>
      </c>
      <c r="E510" s="9">
        <v>31</v>
      </c>
      <c r="F510" t="s">
        <v>23</v>
      </c>
      <c r="G510" t="s">
        <v>13</v>
      </c>
      <c r="H510" s="7">
        <v>42139</v>
      </c>
      <c r="I510">
        <v>54685.83</v>
      </c>
      <c r="K510" s="7"/>
    </row>
    <row r="511" spans="1:11">
      <c r="A511">
        <v>300000510</v>
      </c>
      <c r="B511" t="s">
        <v>193</v>
      </c>
      <c r="C511" t="s">
        <v>305</v>
      </c>
      <c r="D511" t="s">
        <v>11</v>
      </c>
      <c r="E511" s="9">
        <v>27</v>
      </c>
      <c r="F511" t="s">
        <v>23</v>
      </c>
      <c r="G511" t="s">
        <v>13</v>
      </c>
      <c r="H511" s="8">
        <v>42139</v>
      </c>
      <c r="I511">
        <v>36638.21</v>
      </c>
      <c r="K511" s="8"/>
    </row>
    <row r="512" spans="1:11">
      <c r="A512">
        <v>300000511</v>
      </c>
      <c r="B512" t="s">
        <v>284</v>
      </c>
      <c r="C512" t="s">
        <v>162</v>
      </c>
      <c r="D512" t="s">
        <v>16</v>
      </c>
      <c r="E512" s="9">
        <v>51</v>
      </c>
      <c r="F512" t="s">
        <v>23</v>
      </c>
      <c r="G512" t="s">
        <v>18</v>
      </c>
      <c r="H512" s="7">
        <v>42139</v>
      </c>
      <c r="I512">
        <v>40918.080000000002</v>
      </c>
      <c r="K512" s="7"/>
    </row>
    <row r="513" spans="1:11">
      <c r="A513">
        <v>300000512</v>
      </c>
      <c r="B513" t="s">
        <v>14</v>
      </c>
      <c r="C513" t="s">
        <v>45</v>
      </c>
      <c r="D513" t="s">
        <v>16</v>
      </c>
      <c r="E513" s="9">
        <v>57</v>
      </c>
      <c r="F513" t="s">
        <v>23</v>
      </c>
      <c r="G513" t="s">
        <v>13</v>
      </c>
      <c r="H513" s="8">
        <v>42139</v>
      </c>
      <c r="I513">
        <v>45944.18</v>
      </c>
      <c r="K513" s="8"/>
    </row>
    <row r="514" spans="1:11">
      <c r="A514">
        <v>400000513</v>
      </c>
      <c r="B514" t="s">
        <v>180</v>
      </c>
      <c r="C514" t="s">
        <v>73</v>
      </c>
      <c r="D514" t="s">
        <v>16</v>
      </c>
      <c r="E514" s="9">
        <v>20</v>
      </c>
      <c r="F514" t="s">
        <v>17</v>
      </c>
      <c r="G514" t="s">
        <v>33</v>
      </c>
      <c r="H514" s="7">
        <v>42139</v>
      </c>
      <c r="I514">
        <v>4672.75</v>
      </c>
      <c r="K514" s="7"/>
    </row>
    <row r="515" spans="1:11">
      <c r="A515">
        <v>400000514</v>
      </c>
      <c r="B515" t="s">
        <v>133</v>
      </c>
      <c r="C515" t="s">
        <v>151</v>
      </c>
      <c r="D515" t="s">
        <v>11</v>
      </c>
      <c r="E515" s="9">
        <v>35</v>
      </c>
      <c r="F515" t="s">
        <v>17</v>
      </c>
      <c r="G515" t="s">
        <v>33</v>
      </c>
      <c r="H515" s="8">
        <v>42139</v>
      </c>
      <c r="I515">
        <v>63602.12</v>
      </c>
      <c r="K515" s="8"/>
    </row>
    <row r="516" spans="1:11">
      <c r="A516">
        <v>400000515</v>
      </c>
      <c r="B516" t="s">
        <v>220</v>
      </c>
      <c r="C516" t="s">
        <v>71</v>
      </c>
      <c r="D516" t="s">
        <v>16</v>
      </c>
      <c r="E516" s="9">
        <v>26</v>
      </c>
      <c r="F516" t="s">
        <v>17</v>
      </c>
      <c r="G516" t="s">
        <v>13</v>
      </c>
      <c r="H516" s="7">
        <v>42139</v>
      </c>
      <c r="I516">
        <v>93357.28</v>
      </c>
      <c r="K516" s="7"/>
    </row>
    <row r="517" spans="1:11">
      <c r="A517">
        <v>400000516</v>
      </c>
      <c r="B517" t="s">
        <v>128</v>
      </c>
      <c r="C517" t="s">
        <v>129</v>
      </c>
      <c r="D517" t="s">
        <v>16</v>
      </c>
      <c r="E517" s="9">
        <v>29</v>
      </c>
      <c r="F517" t="s">
        <v>17</v>
      </c>
      <c r="G517" t="s">
        <v>33</v>
      </c>
      <c r="H517" s="8">
        <v>42139</v>
      </c>
      <c r="I517">
        <v>23358.95</v>
      </c>
      <c r="K517" s="8"/>
    </row>
    <row r="518" spans="1:11">
      <c r="A518">
        <v>400000517</v>
      </c>
      <c r="B518" t="s">
        <v>256</v>
      </c>
      <c r="C518" t="s">
        <v>242</v>
      </c>
      <c r="D518" t="s">
        <v>16</v>
      </c>
      <c r="E518" s="9">
        <v>37</v>
      </c>
      <c r="F518" t="s">
        <v>17</v>
      </c>
      <c r="G518" t="s">
        <v>33</v>
      </c>
      <c r="H518" s="7">
        <v>42139</v>
      </c>
      <c r="I518">
        <v>6456.6</v>
      </c>
      <c r="K518" s="7"/>
    </row>
    <row r="519" spans="1:11">
      <c r="A519">
        <v>100000518</v>
      </c>
      <c r="B519" t="s">
        <v>226</v>
      </c>
      <c r="C519" t="s">
        <v>210</v>
      </c>
      <c r="D519" t="s">
        <v>16</v>
      </c>
      <c r="E519" s="9">
        <v>35</v>
      </c>
      <c r="F519" t="s">
        <v>12</v>
      </c>
      <c r="G519" t="s">
        <v>18</v>
      </c>
      <c r="H519" s="8">
        <v>42140</v>
      </c>
      <c r="I519">
        <v>64233.87</v>
      </c>
      <c r="K519" s="8"/>
    </row>
    <row r="520" spans="1:11">
      <c r="A520">
        <v>100000519</v>
      </c>
      <c r="B520" t="s">
        <v>218</v>
      </c>
      <c r="C520" t="s">
        <v>292</v>
      </c>
      <c r="D520" t="s">
        <v>11</v>
      </c>
      <c r="E520" s="9">
        <v>19</v>
      </c>
      <c r="F520" t="s">
        <v>12</v>
      </c>
      <c r="G520" t="s">
        <v>13</v>
      </c>
      <c r="H520" s="7">
        <v>42140</v>
      </c>
      <c r="I520">
        <v>70407.91</v>
      </c>
      <c r="K520" s="7"/>
    </row>
    <row r="521" spans="1:11">
      <c r="A521">
        <v>100000520</v>
      </c>
      <c r="B521" t="s">
        <v>139</v>
      </c>
      <c r="C521" t="s">
        <v>266</v>
      </c>
      <c r="D521" t="s">
        <v>16</v>
      </c>
      <c r="E521" s="9">
        <v>42</v>
      </c>
      <c r="F521" t="s">
        <v>12</v>
      </c>
      <c r="G521" t="s">
        <v>13</v>
      </c>
      <c r="H521" s="8">
        <v>42140</v>
      </c>
      <c r="I521">
        <v>29385.08</v>
      </c>
      <c r="K521" s="8"/>
    </row>
    <row r="522" spans="1:11">
      <c r="A522">
        <v>100000521</v>
      </c>
      <c r="B522" t="s">
        <v>176</v>
      </c>
      <c r="C522" t="s">
        <v>241</v>
      </c>
      <c r="D522" t="s">
        <v>16</v>
      </c>
      <c r="E522" s="9">
        <v>23</v>
      </c>
      <c r="F522" t="s">
        <v>12</v>
      </c>
      <c r="G522" t="s">
        <v>18</v>
      </c>
      <c r="H522" s="7">
        <v>42140</v>
      </c>
      <c r="I522">
        <v>27124.28</v>
      </c>
      <c r="K522" s="7"/>
    </row>
    <row r="523" spans="1:11">
      <c r="A523">
        <v>200000522</v>
      </c>
      <c r="B523" t="s">
        <v>38</v>
      </c>
      <c r="C523" t="s">
        <v>318</v>
      </c>
      <c r="D523" t="s">
        <v>11</v>
      </c>
      <c r="E523" s="9">
        <v>41</v>
      </c>
      <c r="F523" t="s">
        <v>32</v>
      </c>
      <c r="G523" t="s">
        <v>13</v>
      </c>
      <c r="H523" s="8">
        <v>42140</v>
      </c>
      <c r="I523">
        <v>33345.11</v>
      </c>
      <c r="K523" s="8"/>
    </row>
    <row r="524" spans="1:11">
      <c r="A524">
        <v>200000523</v>
      </c>
      <c r="B524" t="s">
        <v>181</v>
      </c>
      <c r="C524" t="s">
        <v>85</v>
      </c>
      <c r="D524" t="s">
        <v>11</v>
      </c>
      <c r="E524" s="9">
        <v>50</v>
      </c>
      <c r="F524" t="s">
        <v>32</v>
      </c>
      <c r="G524" t="s">
        <v>18</v>
      </c>
      <c r="H524" s="7">
        <v>42140</v>
      </c>
      <c r="I524">
        <v>92328.66</v>
      </c>
      <c r="K524" s="7"/>
    </row>
    <row r="525" spans="1:11">
      <c r="A525">
        <v>300000524</v>
      </c>
      <c r="B525" t="s">
        <v>261</v>
      </c>
      <c r="C525" t="s">
        <v>313</v>
      </c>
      <c r="D525" t="s">
        <v>11</v>
      </c>
      <c r="E525" s="9">
        <v>31</v>
      </c>
      <c r="F525" t="s">
        <v>23</v>
      </c>
      <c r="G525" t="s">
        <v>13</v>
      </c>
      <c r="H525" s="8">
        <v>42140</v>
      </c>
      <c r="I525">
        <v>145995.97</v>
      </c>
      <c r="K525" s="8"/>
    </row>
    <row r="526" spans="1:11">
      <c r="A526">
        <v>300000525</v>
      </c>
      <c r="B526" t="s">
        <v>72</v>
      </c>
      <c r="C526" t="s">
        <v>136</v>
      </c>
      <c r="D526" t="s">
        <v>11</v>
      </c>
      <c r="E526" s="9">
        <v>23</v>
      </c>
      <c r="F526" t="s">
        <v>23</v>
      </c>
      <c r="G526" t="s">
        <v>18</v>
      </c>
      <c r="H526" s="7">
        <v>42140</v>
      </c>
      <c r="I526">
        <v>56584.82</v>
      </c>
      <c r="K526" s="7"/>
    </row>
    <row r="527" spans="1:11">
      <c r="A527">
        <v>300000526</v>
      </c>
      <c r="B527" t="s">
        <v>83</v>
      </c>
      <c r="C527" t="s">
        <v>210</v>
      </c>
      <c r="D527" t="s">
        <v>16</v>
      </c>
      <c r="E527" s="9">
        <v>40</v>
      </c>
      <c r="F527" t="s">
        <v>23</v>
      </c>
      <c r="G527" t="s">
        <v>33</v>
      </c>
      <c r="H527" s="8">
        <v>42140</v>
      </c>
      <c r="I527">
        <v>57702.39</v>
      </c>
      <c r="K527" s="8"/>
    </row>
    <row r="528" spans="1:11">
      <c r="A528">
        <v>300000527</v>
      </c>
      <c r="B528" t="s">
        <v>232</v>
      </c>
      <c r="C528" t="s">
        <v>164</v>
      </c>
      <c r="D528" t="s">
        <v>16</v>
      </c>
      <c r="E528" s="9">
        <v>32</v>
      </c>
      <c r="F528" t="s">
        <v>23</v>
      </c>
      <c r="G528" t="s">
        <v>13</v>
      </c>
      <c r="H528" s="7">
        <v>42140</v>
      </c>
      <c r="I528">
        <v>43353.84</v>
      </c>
      <c r="K528" s="7"/>
    </row>
    <row r="529" spans="1:11">
      <c r="A529">
        <v>300000528</v>
      </c>
      <c r="B529" t="s">
        <v>317</v>
      </c>
      <c r="C529" t="s">
        <v>258</v>
      </c>
      <c r="D529" t="s">
        <v>16</v>
      </c>
      <c r="E529" s="9">
        <v>30</v>
      </c>
      <c r="F529" t="s">
        <v>23</v>
      </c>
      <c r="G529" t="s">
        <v>33</v>
      </c>
      <c r="H529" s="8">
        <v>42140</v>
      </c>
      <c r="I529">
        <v>34170.61</v>
      </c>
      <c r="K529" s="8"/>
    </row>
    <row r="530" spans="1:11">
      <c r="A530">
        <v>300000529</v>
      </c>
      <c r="B530" t="s">
        <v>262</v>
      </c>
      <c r="C530" t="s">
        <v>98</v>
      </c>
      <c r="D530" t="s">
        <v>16</v>
      </c>
      <c r="E530" s="9">
        <v>24</v>
      </c>
      <c r="F530" t="s">
        <v>23</v>
      </c>
      <c r="G530" t="s">
        <v>13</v>
      </c>
      <c r="H530" s="7">
        <v>42140</v>
      </c>
      <c r="I530">
        <v>51952.49</v>
      </c>
      <c r="K530" s="7"/>
    </row>
    <row r="531" spans="1:11">
      <c r="A531">
        <v>300000530</v>
      </c>
      <c r="B531" t="s">
        <v>316</v>
      </c>
      <c r="C531" t="s">
        <v>49</v>
      </c>
      <c r="D531" t="s">
        <v>16</v>
      </c>
      <c r="E531" s="9">
        <v>36</v>
      </c>
      <c r="F531" t="s">
        <v>23</v>
      </c>
      <c r="G531" t="s">
        <v>13</v>
      </c>
      <c r="H531" s="8">
        <v>42140</v>
      </c>
      <c r="I531">
        <v>73513.789999999994</v>
      </c>
      <c r="K531" s="8"/>
    </row>
    <row r="532" spans="1:11">
      <c r="A532">
        <v>300000531</v>
      </c>
      <c r="B532" t="s">
        <v>284</v>
      </c>
      <c r="C532" t="s">
        <v>274</v>
      </c>
      <c r="D532" t="s">
        <v>16</v>
      </c>
      <c r="E532" s="9">
        <v>23</v>
      </c>
      <c r="F532" t="s">
        <v>23</v>
      </c>
      <c r="G532" t="s">
        <v>13</v>
      </c>
      <c r="H532" s="7">
        <v>42140</v>
      </c>
      <c r="I532">
        <v>51109.71</v>
      </c>
      <c r="K532" s="7"/>
    </row>
    <row r="533" spans="1:11">
      <c r="A533">
        <v>200000532</v>
      </c>
      <c r="B533" t="s">
        <v>135</v>
      </c>
      <c r="C533" t="s">
        <v>22</v>
      </c>
      <c r="D533" t="s">
        <v>11</v>
      </c>
      <c r="E533" s="9">
        <v>53</v>
      </c>
      <c r="F533" t="s">
        <v>32</v>
      </c>
      <c r="G533" t="s">
        <v>18</v>
      </c>
      <c r="H533" s="8">
        <v>42141</v>
      </c>
      <c r="I533">
        <v>9531.85</v>
      </c>
      <c r="K533" s="8"/>
    </row>
    <row r="534" spans="1:11">
      <c r="A534">
        <v>200000533</v>
      </c>
      <c r="B534" t="s">
        <v>309</v>
      </c>
      <c r="C534" t="s">
        <v>109</v>
      </c>
      <c r="D534" t="s">
        <v>16</v>
      </c>
      <c r="E534" s="9">
        <v>56</v>
      </c>
      <c r="F534" t="s">
        <v>32</v>
      </c>
      <c r="G534" t="s">
        <v>33</v>
      </c>
      <c r="H534" s="7">
        <v>42141</v>
      </c>
      <c r="I534">
        <v>20740.75</v>
      </c>
      <c r="K534" s="7"/>
    </row>
    <row r="535" spans="1:11">
      <c r="A535">
        <v>200000534</v>
      </c>
      <c r="B535" t="s">
        <v>296</v>
      </c>
      <c r="C535" t="s">
        <v>29</v>
      </c>
      <c r="D535" t="s">
        <v>11</v>
      </c>
      <c r="E535" s="9">
        <v>62</v>
      </c>
      <c r="F535" t="s">
        <v>32</v>
      </c>
      <c r="G535" t="s">
        <v>18</v>
      </c>
      <c r="H535" s="8">
        <v>42141</v>
      </c>
      <c r="I535">
        <v>6273.93</v>
      </c>
      <c r="K535" s="8"/>
    </row>
    <row r="536" spans="1:11">
      <c r="A536">
        <v>200000535</v>
      </c>
      <c r="B536" t="s">
        <v>40</v>
      </c>
      <c r="C536" t="s">
        <v>45</v>
      </c>
      <c r="D536" t="s">
        <v>11</v>
      </c>
      <c r="E536" s="9">
        <v>46</v>
      </c>
      <c r="F536" t="s">
        <v>32</v>
      </c>
      <c r="G536" t="s">
        <v>18</v>
      </c>
      <c r="H536" s="7">
        <v>42141</v>
      </c>
      <c r="I536">
        <v>399.51</v>
      </c>
      <c r="K536" s="7"/>
    </row>
    <row r="537" spans="1:11">
      <c r="A537">
        <v>200000536</v>
      </c>
      <c r="B537" t="s">
        <v>9</v>
      </c>
      <c r="C537" t="s">
        <v>20</v>
      </c>
      <c r="D537" t="s">
        <v>11</v>
      </c>
      <c r="E537" s="9">
        <v>47</v>
      </c>
      <c r="F537" t="s">
        <v>32</v>
      </c>
      <c r="G537" t="s">
        <v>18</v>
      </c>
      <c r="H537" s="8">
        <v>42141</v>
      </c>
      <c r="I537">
        <v>18486.669999999998</v>
      </c>
      <c r="K537" s="8"/>
    </row>
    <row r="538" spans="1:11">
      <c r="A538">
        <v>200000537</v>
      </c>
      <c r="B538" t="s">
        <v>158</v>
      </c>
      <c r="C538" t="s">
        <v>130</v>
      </c>
      <c r="D538" t="s">
        <v>16</v>
      </c>
      <c r="E538" s="9">
        <v>50</v>
      </c>
      <c r="F538" t="s">
        <v>32</v>
      </c>
      <c r="G538" t="s">
        <v>33</v>
      </c>
      <c r="H538" s="7">
        <v>42141</v>
      </c>
      <c r="I538">
        <v>12726.77</v>
      </c>
      <c r="K538" s="7"/>
    </row>
    <row r="539" spans="1:11">
      <c r="A539">
        <v>200000538</v>
      </c>
      <c r="B539" t="s">
        <v>86</v>
      </c>
      <c r="C539" t="s">
        <v>121</v>
      </c>
      <c r="D539" t="s">
        <v>11</v>
      </c>
      <c r="E539" s="9">
        <v>44</v>
      </c>
      <c r="F539" t="s">
        <v>32</v>
      </c>
      <c r="G539" t="s">
        <v>18</v>
      </c>
      <c r="H539" s="8">
        <v>42141</v>
      </c>
      <c r="I539">
        <v>61035.44</v>
      </c>
      <c r="K539" s="8"/>
    </row>
    <row r="540" spans="1:11">
      <c r="A540">
        <v>300000539</v>
      </c>
      <c r="B540" t="s">
        <v>304</v>
      </c>
      <c r="C540" t="s">
        <v>315</v>
      </c>
      <c r="D540" t="s">
        <v>16</v>
      </c>
      <c r="E540" s="9">
        <v>23</v>
      </c>
      <c r="F540" t="s">
        <v>23</v>
      </c>
      <c r="G540" t="s">
        <v>18</v>
      </c>
      <c r="H540" s="7">
        <v>42141</v>
      </c>
      <c r="I540">
        <v>80752.639999999999</v>
      </c>
      <c r="K540" s="7"/>
    </row>
    <row r="541" spans="1:11">
      <c r="A541">
        <v>400000540</v>
      </c>
      <c r="B541" t="s">
        <v>117</v>
      </c>
      <c r="C541" t="s">
        <v>253</v>
      </c>
      <c r="D541" t="s">
        <v>16</v>
      </c>
      <c r="E541" s="9">
        <v>31</v>
      </c>
      <c r="F541" t="s">
        <v>17</v>
      </c>
      <c r="G541" t="s">
        <v>33</v>
      </c>
      <c r="H541" s="8">
        <v>42141</v>
      </c>
      <c r="I541">
        <v>121133.06</v>
      </c>
      <c r="K541" s="8"/>
    </row>
    <row r="542" spans="1:11">
      <c r="A542">
        <v>400000541</v>
      </c>
      <c r="B542" t="s">
        <v>317</v>
      </c>
      <c r="C542" t="s">
        <v>295</v>
      </c>
      <c r="D542" t="s">
        <v>16</v>
      </c>
      <c r="E542" s="9">
        <v>30</v>
      </c>
      <c r="F542" t="s">
        <v>17</v>
      </c>
      <c r="G542" t="s">
        <v>18</v>
      </c>
      <c r="H542" s="7">
        <v>42141</v>
      </c>
      <c r="I542">
        <v>6133.35</v>
      </c>
      <c r="K542" s="7"/>
    </row>
    <row r="543" spans="1:11">
      <c r="A543">
        <v>100000542</v>
      </c>
      <c r="B543" t="s">
        <v>319</v>
      </c>
      <c r="C543" t="s">
        <v>124</v>
      </c>
      <c r="D543" t="s">
        <v>16</v>
      </c>
      <c r="E543" s="9">
        <v>31</v>
      </c>
      <c r="F543" t="s">
        <v>12</v>
      </c>
      <c r="G543" t="s">
        <v>13</v>
      </c>
      <c r="H543" s="8">
        <v>42142</v>
      </c>
      <c r="I543">
        <v>57538.47</v>
      </c>
      <c r="K543" s="8"/>
    </row>
    <row r="544" spans="1:11">
      <c r="A544">
        <v>100000543</v>
      </c>
      <c r="B544" t="s">
        <v>316</v>
      </c>
      <c r="C544" t="s">
        <v>185</v>
      </c>
      <c r="D544" t="s">
        <v>16</v>
      </c>
      <c r="E544" s="9">
        <v>35</v>
      </c>
      <c r="F544" t="s">
        <v>12</v>
      </c>
      <c r="G544" t="s">
        <v>13</v>
      </c>
      <c r="H544" s="7">
        <v>42142</v>
      </c>
      <c r="I544">
        <v>46422.42</v>
      </c>
      <c r="K544" s="7"/>
    </row>
    <row r="545" spans="1:11">
      <c r="A545">
        <v>100000544</v>
      </c>
      <c r="B545" t="s">
        <v>173</v>
      </c>
      <c r="C545" t="s">
        <v>52</v>
      </c>
      <c r="D545" t="s">
        <v>11</v>
      </c>
      <c r="E545" s="9">
        <v>29</v>
      </c>
      <c r="F545" t="s">
        <v>12</v>
      </c>
      <c r="G545" t="s">
        <v>13</v>
      </c>
      <c r="H545" s="8">
        <v>42142</v>
      </c>
      <c r="I545">
        <v>73217.899999999994</v>
      </c>
      <c r="K545" s="8"/>
    </row>
    <row r="546" spans="1:11">
      <c r="A546">
        <v>100000545</v>
      </c>
      <c r="B546" t="s">
        <v>304</v>
      </c>
      <c r="C546" t="s">
        <v>104</v>
      </c>
      <c r="D546" t="s">
        <v>16</v>
      </c>
      <c r="E546" s="9">
        <v>36</v>
      </c>
      <c r="F546" t="s">
        <v>12</v>
      </c>
      <c r="G546" t="s">
        <v>18</v>
      </c>
      <c r="H546" s="7">
        <v>42142</v>
      </c>
      <c r="I546">
        <v>88072.23</v>
      </c>
      <c r="K546" s="7"/>
    </row>
    <row r="547" spans="1:11">
      <c r="A547">
        <v>100000546</v>
      </c>
      <c r="B547" t="s">
        <v>110</v>
      </c>
      <c r="C547" t="s">
        <v>56</v>
      </c>
      <c r="D547" t="s">
        <v>16</v>
      </c>
      <c r="E547" s="9">
        <v>24</v>
      </c>
      <c r="F547" t="s">
        <v>12</v>
      </c>
      <c r="G547" t="s">
        <v>18</v>
      </c>
      <c r="H547" s="8">
        <v>42142</v>
      </c>
      <c r="I547">
        <v>10816.33</v>
      </c>
      <c r="K547" s="8"/>
    </row>
    <row r="548" spans="1:11">
      <c r="A548">
        <v>100000547</v>
      </c>
      <c r="B548" t="s">
        <v>236</v>
      </c>
      <c r="C548" t="s">
        <v>253</v>
      </c>
      <c r="D548" t="s">
        <v>16</v>
      </c>
      <c r="E548" s="9">
        <v>40</v>
      </c>
      <c r="F548" t="s">
        <v>12</v>
      </c>
      <c r="G548" t="s">
        <v>13</v>
      </c>
      <c r="H548" s="7">
        <v>42142</v>
      </c>
      <c r="I548">
        <v>7924.91</v>
      </c>
      <c r="K548" s="7"/>
    </row>
    <row r="549" spans="1:11">
      <c r="A549">
        <v>200000548</v>
      </c>
      <c r="B549" t="s">
        <v>320</v>
      </c>
      <c r="C549" t="s">
        <v>198</v>
      </c>
      <c r="D549" t="s">
        <v>16</v>
      </c>
      <c r="E549" s="9">
        <v>63</v>
      </c>
      <c r="F549" t="s">
        <v>32</v>
      </c>
      <c r="G549" t="s">
        <v>33</v>
      </c>
      <c r="H549" s="8">
        <v>42142</v>
      </c>
      <c r="I549">
        <v>10013.030000000001</v>
      </c>
      <c r="K549" s="8"/>
    </row>
    <row r="550" spans="1:11">
      <c r="A550">
        <v>200000549</v>
      </c>
      <c r="B550" t="s">
        <v>135</v>
      </c>
      <c r="C550" t="s">
        <v>310</v>
      </c>
      <c r="D550" t="s">
        <v>11</v>
      </c>
      <c r="E550" s="9">
        <v>55</v>
      </c>
      <c r="F550" t="s">
        <v>32</v>
      </c>
      <c r="G550" t="s">
        <v>33</v>
      </c>
      <c r="H550" s="7">
        <v>42142</v>
      </c>
      <c r="I550">
        <v>35657.25</v>
      </c>
      <c r="K550" s="7"/>
    </row>
    <row r="551" spans="1:11">
      <c r="A551">
        <v>300000550</v>
      </c>
      <c r="B551" t="s">
        <v>117</v>
      </c>
      <c r="C551" t="s">
        <v>238</v>
      </c>
      <c r="D551" t="s">
        <v>16</v>
      </c>
      <c r="E551" s="9">
        <v>34</v>
      </c>
      <c r="F551" t="s">
        <v>23</v>
      </c>
      <c r="G551" t="s">
        <v>18</v>
      </c>
      <c r="H551" s="8">
        <v>42142</v>
      </c>
      <c r="I551">
        <v>2872.93</v>
      </c>
      <c r="K551" s="8"/>
    </row>
    <row r="552" spans="1:11">
      <c r="A552">
        <v>300000551</v>
      </c>
      <c r="B552" t="s">
        <v>107</v>
      </c>
      <c r="C552" t="s">
        <v>31</v>
      </c>
      <c r="D552" t="s">
        <v>11</v>
      </c>
      <c r="E552" s="9">
        <v>35</v>
      </c>
      <c r="F552" t="s">
        <v>23</v>
      </c>
      <c r="G552" t="s">
        <v>33</v>
      </c>
      <c r="H552" s="7">
        <v>42142</v>
      </c>
      <c r="I552">
        <v>7709.87</v>
      </c>
      <c r="K552" s="7"/>
    </row>
    <row r="553" spans="1:11">
      <c r="A553">
        <v>300000552</v>
      </c>
      <c r="B553" t="s">
        <v>119</v>
      </c>
      <c r="C553" t="s">
        <v>306</v>
      </c>
      <c r="D553" t="s">
        <v>16</v>
      </c>
      <c r="E553" s="9">
        <v>38</v>
      </c>
      <c r="F553" t="s">
        <v>23</v>
      </c>
      <c r="G553" t="s">
        <v>13</v>
      </c>
      <c r="H553" s="8">
        <v>42142</v>
      </c>
      <c r="I553">
        <v>40078.58</v>
      </c>
      <c r="K553" s="8"/>
    </row>
    <row r="554" spans="1:11">
      <c r="A554">
        <v>300000553</v>
      </c>
      <c r="B554" t="s">
        <v>265</v>
      </c>
      <c r="C554" t="s">
        <v>306</v>
      </c>
      <c r="D554" t="s">
        <v>16</v>
      </c>
      <c r="E554" s="9">
        <v>33</v>
      </c>
      <c r="F554" t="s">
        <v>23</v>
      </c>
      <c r="G554" t="s">
        <v>18</v>
      </c>
      <c r="H554" s="7">
        <v>42142</v>
      </c>
      <c r="I554">
        <v>53715.28</v>
      </c>
      <c r="K554" s="7"/>
    </row>
    <row r="555" spans="1:11">
      <c r="A555">
        <v>400000554</v>
      </c>
      <c r="B555" t="s">
        <v>256</v>
      </c>
      <c r="C555" t="s">
        <v>45</v>
      </c>
      <c r="D555" t="s">
        <v>16</v>
      </c>
      <c r="E555" s="9">
        <v>26</v>
      </c>
      <c r="F555" t="s">
        <v>17</v>
      </c>
      <c r="G555" t="s">
        <v>33</v>
      </c>
      <c r="H555" s="8">
        <v>42142</v>
      </c>
      <c r="I555">
        <v>32940.49</v>
      </c>
      <c r="K555" s="8"/>
    </row>
    <row r="556" spans="1:11">
      <c r="A556">
        <v>400000555</v>
      </c>
      <c r="B556" t="s">
        <v>265</v>
      </c>
      <c r="C556" t="s">
        <v>246</v>
      </c>
      <c r="D556" t="s">
        <v>16</v>
      </c>
      <c r="E556" s="9">
        <v>38</v>
      </c>
      <c r="F556" t="s">
        <v>17</v>
      </c>
      <c r="G556" t="s">
        <v>33</v>
      </c>
      <c r="H556" s="7">
        <v>42142</v>
      </c>
      <c r="I556">
        <v>14606.14</v>
      </c>
      <c r="K556" s="7"/>
    </row>
    <row r="557" spans="1:11">
      <c r="A557">
        <v>400000556</v>
      </c>
      <c r="B557" t="s">
        <v>105</v>
      </c>
      <c r="C557" t="s">
        <v>129</v>
      </c>
      <c r="D557" t="s">
        <v>16</v>
      </c>
      <c r="E557" s="9">
        <v>38</v>
      </c>
      <c r="F557" t="s">
        <v>17</v>
      </c>
      <c r="G557" t="s">
        <v>33</v>
      </c>
      <c r="H557" s="8">
        <v>42142</v>
      </c>
      <c r="I557">
        <v>28388.7</v>
      </c>
      <c r="K557" s="8"/>
    </row>
    <row r="558" spans="1:11">
      <c r="A558">
        <v>400000557</v>
      </c>
      <c r="B558" t="s">
        <v>30</v>
      </c>
      <c r="C558" t="s">
        <v>140</v>
      </c>
      <c r="D558" t="s">
        <v>16</v>
      </c>
      <c r="E558" s="9">
        <v>23</v>
      </c>
      <c r="F558" t="s">
        <v>17</v>
      </c>
      <c r="G558" t="s">
        <v>33</v>
      </c>
      <c r="H558" s="7">
        <v>42142</v>
      </c>
      <c r="I558">
        <v>21191.040000000001</v>
      </c>
      <c r="K558" s="7"/>
    </row>
    <row r="559" spans="1:11">
      <c r="A559">
        <v>100000558</v>
      </c>
      <c r="B559" t="s">
        <v>308</v>
      </c>
      <c r="C559" t="s">
        <v>269</v>
      </c>
      <c r="D559" t="s">
        <v>16</v>
      </c>
      <c r="E559" s="9">
        <v>42</v>
      </c>
      <c r="F559" t="s">
        <v>12</v>
      </c>
      <c r="G559" t="s">
        <v>33</v>
      </c>
      <c r="H559" s="8">
        <v>42143</v>
      </c>
      <c r="I559">
        <v>26577.07</v>
      </c>
      <c r="K559" s="8"/>
    </row>
    <row r="560" spans="1:11">
      <c r="A560">
        <v>100000559</v>
      </c>
      <c r="B560" t="s">
        <v>48</v>
      </c>
      <c r="C560" t="s">
        <v>125</v>
      </c>
      <c r="D560" t="s">
        <v>16</v>
      </c>
      <c r="E560" s="9">
        <v>34</v>
      </c>
      <c r="F560" t="s">
        <v>12</v>
      </c>
      <c r="G560" t="s">
        <v>13</v>
      </c>
      <c r="H560" s="7">
        <v>42143</v>
      </c>
      <c r="I560">
        <v>15376.5</v>
      </c>
      <c r="K560" s="7"/>
    </row>
    <row r="561" spans="1:11">
      <c r="A561">
        <v>100000560</v>
      </c>
      <c r="B561" t="s">
        <v>186</v>
      </c>
      <c r="C561" t="s">
        <v>198</v>
      </c>
      <c r="D561" t="s">
        <v>11</v>
      </c>
      <c r="E561" s="9">
        <v>34</v>
      </c>
      <c r="F561" t="s">
        <v>12</v>
      </c>
      <c r="G561" t="s">
        <v>33</v>
      </c>
      <c r="H561" s="8">
        <v>42143</v>
      </c>
      <c r="I561">
        <v>46243.31</v>
      </c>
      <c r="K561" s="8"/>
    </row>
    <row r="562" spans="1:11">
      <c r="A562">
        <v>100000561</v>
      </c>
      <c r="B562" t="s">
        <v>321</v>
      </c>
      <c r="C562" t="s">
        <v>210</v>
      </c>
      <c r="D562" t="s">
        <v>16</v>
      </c>
      <c r="E562" s="9">
        <v>30</v>
      </c>
      <c r="F562" t="s">
        <v>12</v>
      </c>
      <c r="G562" t="s">
        <v>13</v>
      </c>
      <c r="H562" s="7">
        <v>42143</v>
      </c>
      <c r="I562">
        <v>65904.539999999994</v>
      </c>
      <c r="K562" s="7"/>
    </row>
    <row r="563" spans="1:11">
      <c r="A563">
        <v>100000562</v>
      </c>
      <c r="B563" t="s">
        <v>261</v>
      </c>
      <c r="C563" t="s">
        <v>41</v>
      </c>
      <c r="D563" t="s">
        <v>11</v>
      </c>
      <c r="E563" s="9">
        <v>27</v>
      </c>
      <c r="F563" t="s">
        <v>12</v>
      </c>
      <c r="G563" t="s">
        <v>13</v>
      </c>
      <c r="H563" s="8">
        <v>42143</v>
      </c>
      <c r="I563">
        <v>23502.2</v>
      </c>
      <c r="K563" s="8"/>
    </row>
    <row r="564" spans="1:11">
      <c r="A564">
        <v>100000563</v>
      </c>
      <c r="B564" t="s">
        <v>287</v>
      </c>
      <c r="C564" t="s">
        <v>71</v>
      </c>
      <c r="D564" t="s">
        <v>16</v>
      </c>
      <c r="E564" s="9">
        <v>52</v>
      </c>
      <c r="F564" t="s">
        <v>12</v>
      </c>
      <c r="G564" t="s">
        <v>18</v>
      </c>
      <c r="H564" s="7">
        <v>42143</v>
      </c>
      <c r="I564">
        <v>76378.23</v>
      </c>
      <c r="K564" s="7"/>
    </row>
    <row r="565" spans="1:11">
      <c r="A565">
        <v>100000564</v>
      </c>
      <c r="B565" t="s">
        <v>303</v>
      </c>
      <c r="C565" t="s">
        <v>299</v>
      </c>
      <c r="D565" t="s">
        <v>11</v>
      </c>
      <c r="E565" s="9">
        <v>27</v>
      </c>
      <c r="F565" t="s">
        <v>12</v>
      </c>
      <c r="G565" t="s">
        <v>13</v>
      </c>
      <c r="H565" s="8">
        <v>42143</v>
      </c>
      <c r="I565">
        <v>12420.86</v>
      </c>
      <c r="K565" s="8"/>
    </row>
    <row r="566" spans="1:11">
      <c r="A566">
        <v>100000565</v>
      </c>
      <c r="B566" t="s">
        <v>48</v>
      </c>
      <c r="C566" t="s">
        <v>305</v>
      </c>
      <c r="D566" t="s">
        <v>16</v>
      </c>
      <c r="E566" s="9">
        <v>31</v>
      </c>
      <c r="F566" t="s">
        <v>12</v>
      </c>
      <c r="G566" t="s">
        <v>33</v>
      </c>
      <c r="H566" s="7">
        <v>42143</v>
      </c>
      <c r="I566">
        <v>21282.52</v>
      </c>
      <c r="K566" s="7"/>
    </row>
    <row r="567" spans="1:11">
      <c r="A567">
        <v>100000566</v>
      </c>
      <c r="B567" t="s">
        <v>92</v>
      </c>
      <c r="C567" t="s">
        <v>96</v>
      </c>
      <c r="D567" t="s">
        <v>16</v>
      </c>
      <c r="E567" s="9">
        <v>36</v>
      </c>
      <c r="F567" t="s">
        <v>12</v>
      </c>
      <c r="G567" t="s">
        <v>13</v>
      </c>
      <c r="H567" s="8">
        <v>42143</v>
      </c>
      <c r="I567">
        <v>7483.28</v>
      </c>
      <c r="K567" s="8"/>
    </row>
    <row r="568" spans="1:11">
      <c r="A568">
        <v>100000567</v>
      </c>
      <c r="B568" t="s">
        <v>68</v>
      </c>
      <c r="C568" t="s">
        <v>103</v>
      </c>
      <c r="D568" t="s">
        <v>16</v>
      </c>
      <c r="E568" s="9">
        <v>26</v>
      </c>
      <c r="F568" t="s">
        <v>12</v>
      </c>
      <c r="G568" t="s">
        <v>13</v>
      </c>
      <c r="H568" s="7">
        <v>42143</v>
      </c>
      <c r="I568">
        <v>27284.36</v>
      </c>
      <c r="K568" s="7"/>
    </row>
    <row r="569" spans="1:11">
      <c r="A569">
        <v>100000568</v>
      </c>
      <c r="B569" t="s">
        <v>129</v>
      </c>
      <c r="C569" t="s">
        <v>257</v>
      </c>
      <c r="D569" t="s">
        <v>11</v>
      </c>
      <c r="E569" s="9">
        <v>35</v>
      </c>
      <c r="F569" t="s">
        <v>12</v>
      </c>
      <c r="G569" t="s">
        <v>13</v>
      </c>
      <c r="H569" s="8">
        <v>42143</v>
      </c>
      <c r="I569">
        <v>66567.28</v>
      </c>
      <c r="K569" s="8"/>
    </row>
    <row r="570" spans="1:11">
      <c r="A570">
        <v>100000569</v>
      </c>
      <c r="B570" t="s">
        <v>267</v>
      </c>
      <c r="C570" t="s">
        <v>272</v>
      </c>
      <c r="D570" t="s">
        <v>16</v>
      </c>
      <c r="E570" s="9">
        <v>39</v>
      </c>
      <c r="F570" t="s">
        <v>12</v>
      </c>
      <c r="G570" t="s">
        <v>13</v>
      </c>
      <c r="H570" s="7">
        <v>42143</v>
      </c>
      <c r="I570">
        <v>73357.86</v>
      </c>
      <c r="K570" s="7"/>
    </row>
    <row r="571" spans="1:11">
      <c r="A571">
        <v>100000570</v>
      </c>
      <c r="B571" t="s">
        <v>166</v>
      </c>
      <c r="C571" t="s">
        <v>49</v>
      </c>
      <c r="D571" t="s">
        <v>16</v>
      </c>
      <c r="E571" s="9">
        <v>34</v>
      </c>
      <c r="F571" t="s">
        <v>12</v>
      </c>
      <c r="G571" t="s">
        <v>33</v>
      </c>
      <c r="H571" s="8">
        <v>42143</v>
      </c>
      <c r="I571">
        <v>35679.31</v>
      </c>
      <c r="K571" s="8"/>
    </row>
    <row r="572" spans="1:11">
      <c r="A572">
        <v>100000571</v>
      </c>
      <c r="B572" t="s">
        <v>213</v>
      </c>
      <c r="C572" t="s">
        <v>203</v>
      </c>
      <c r="D572" t="s">
        <v>11</v>
      </c>
      <c r="E572" s="9">
        <v>31</v>
      </c>
      <c r="F572" t="s">
        <v>12</v>
      </c>
      <c r="G572" t="s">
        <v>13</v>
      </c>
      <c r="H572" s="7">
        <v>42143</v>
      </c>
      <c r="I572">
        <v>79744.7</v>
      </c>
      <c r="K572" s="7"/>
    </row>
    <row r="573" spans="1:11">
      <c r="A573">
        <v>100000572</v>
      </c>
      <c r="B573" t="s">
        <v>137</v>
      </c>
      <c r="C573" t="s">
        <v>164</v>
      </c>
      <c r="D573" t="s">
        <v>11</v>
      </c>
      <c r="E573" s="9">
        <v>51</v>
      </c>
      <c r="F573" t="s">
        <v>12</v>
      </c>
      <c r="G573" t="s">
        <v>13</v>
      </c>
      <c r="H573" s="8">
        <v>42143</v>
      </c>
      <c r="I573">
        <v>72742.52</v>
      </c>
      <c r="K573" s="8"/>
    </row>
    <row r="574" spans="1:11">
      <c r="A574">
        <v>100000573</v>
      </c>
      <c r="B574" t="s">
        <v>204</v>
      </c>
      <c r="C574" t="s">
        <v>116</v>
      </c>
      <c r="D574" t="s">
        <v>11</v>
      </c>
      <c r="E574" s="9">
        <v>35</v>
      </c>
      <c r="F574" t="s">
        <v>12</v>
      </c>
      <c r="G574" t="s">
        <v>13</v>
      </c>
      <c r="H574" s="7">
        <v>42143</v>
      </c>
      <c r="I574">
        <v>45176.14</v>
      </c>
      <c r="K574" s="7"/>
    </row>
    <row r="575" spans="1:11">
      <c r="A575">
        <v>100000574</v>
      </c>
      <c r="B575" t="s">
        <v>145</v>
      </c>
      <c r="C575" t="s">
        <v>45</v>
      </c>
      <c r="D575" t="s">
        <v>11</v>
      </c>
      <c r="E575" s="9">
        <v>25</v>
      </c>
      <c r="F575" t="s">
        <v>12</v>
      </c>
      <c r="G575" t="s">
        <v>33</v>
      </c>
      <c r="H575" s="8">
        <v>42143</v>
      </c>
      <c r="I575">
        <v>8518.4599999999991</v>
      </c>
      <c r="K575" s="8"/>
    </row>
    <row r="576" spans="1:11">
      <c r="A576">
        <v>100000575</v>
      </c>
      <c r="B576" t="s">
        <v>133</v>
      </c>
      <c r="C576" t="s">
        <v>322</v>
      </c>
      <c r="D576" t="s">
        <v>11</v>
      </c>
      <c r="E576" s="9">
        <v>20</v>
      </c>
      <c r="F576" t="s">
        <v>12</v>
      </c>
      <c r="G576" t="s">
        <v>13</v>
      </c>
      <c r="H576" s="7">
        <v>42143</v>
      </c>
      <c r="I576">
        <v>3115.49</v>
      </c>
      <c r="K576" s="7"/>
    </row>
    <row r="577" spans="1:11">
      <c r="A577">
        <v>100000576</v>
      </c>
      <c r="B577" t="s">
        <v>44</v>
      </c>
      <c r="C577" t="s">
        <v>297</v>
      </c>
      <c r="D577" t="s">
        <v>16</v>
      </c>
      <c r="E577" s="9">
        <v>26</v>
      </c>
      <c r="F577" t="s">
        <v>12</v>
      </c>
      <c r="G577" t="s">
        <v>13</v>
      </c>
      <c r="H577" s="8">
        <v>42143</v>
      </c>
      <c r="I577">
        <v>55006.43</v>
      </c>
      <c r="K577" s="8"/>
    </row>
    <row r="578" spans="1:11">
      <c r="A578">
        <v>100000577</v>
      </c>
      <c r="B578" t="s">
        <v>83</v>
      </c>
      <c r="C578" t="s">
        <v>113</v>
      </c>
      <c r="D578" t="s">
        <v>16</v>
      </c>
      <c r="E578" s="9">
        <v>43</v>
      </c>
      <c r="F578" t="s">
        <v>12</v>
      </c>
      <c r="G578" t="s">
        <v>33</v>
      </c>
      <c r="H578" s="7">
        <v>42143</v>
      </c>
      <c r="I578">
        <v>82248.75</v>
      </c>
      <c r="K578" s="7"/>
    </row>
    <row r="579" spans="1:11">
      <c r="A579">
        <v>100000578</v>
      </c>
      <c r="B579" t="s">
        <v>177</v>
      </c>
      <c r="C579" t="s">
        <v>322</v>
      </c>
      <c r="D579" t="s">
        <v>11</v>
      </c>
      <c r="E579" s="9">
        <v>33</v>
      </c>
      <c r="F579" t="s">
        <v>12</v>
      </c>
      <c r="G579" t="s">
        <v>18</v>
      </c>
      <c r="H579" s="8">
        <v>42143</v>
      </c>
      <c r="I579">
        <v>126150.99</v>
      </c>
      <c r="K579" s="8"/>
    </row>
    <row r="580" spans="1:11">
      <c r="A580">
        <v>200000579</v>
      </c>
      <c r="B580" t="s">
        <v>103</v>
      </c>
      <c r="C580" t="s">
        <v>227</v>
      </c>
      <c r="D580" t="s">
        <v>11</v>
      </c>
      <c r="E580" s="9">
        <v>47</v>
      </c>
      <c r="F580" t="s">
        <v>32</v>
      </c>
      <c r="G580" t="s">
        <v>33</v>
      </c>
      <c r="H580" s="7">
        <v>42143</v>
      </c>
      <c r="I580">
        <v>44263.92</v>
      </c>
      <c r="K580" s="7"/>
    </row>
    <row r="581" spans="1:11">
      <c r="A581">
        <v>200000580</v>
      </c>
      <c r="B581" t="s">
        <v>101</v>
      </c>
      <c r="C581" t="s">
        <v>216</v>
      </c>
      <c r="D581" t="s">
        <v>11</v>
      </c>
      <c r="E581" s="9">
        <v>52</v>
      </c>
      <c r="F581" t="s">
        <v>32</v>
      </c>
      <c r="G581" t="s">
        <v>33</v>
      </c>
      <c r="H581" s="8">
        <v>42143</v>
      </c>
      <c r="I581">
        <v>22436.69</v>
      </c>
      <c r="K581" s="8"/>
    </row>
    <row r="582" spans="1:11">
      <c r="A582">
        <v>200000581</v>
      </c>
      <c r="B582" t="s">
        <v>218</v>
      </c>
      <c r="C582" t="s">
        <v>49</v>
      </c>
      <c r="D582" t="s">
        <v>11</v>
      </c>
      <c r="E582" s="9">
        <v>46</v>
      </c>
      <c r="F582" t="s">
        <v>32</v>
      </c>
      <c r="G582" t="s">
        <v>18</v>
      </c>
      <c r="H582" s="7">
        <v>42143</v>
      </c>
      <c r="I582">
        <v>14605.89</v>
      </c>
      <c r="K582" s="7"/>
    </row>
    <row r="583" spans="1:11">
      <c r="A583">
        <v>200000582</v>
      </c>
      <c r="B583" t="s">
        <v>158</v>
      </c>
      <c r="C583" t="s">
        <v>266</v>
      </c>
      <c r="D583" t="s">
        <v>16</v>
      </c>
      <c r="E583" s="9">
        <v>42</v>
      </c>
      <c r="F583" t="s">
        <v>32</v>
      </c>
      <c r="G583" t="s">
        <v>18</v>
      </c>
      <c r="H583" s="8">
        <v>42143</v>
      </c>
      <c r="I583">
        <v>24087.99</v>
      </c>
      <c r="K583" s="8"/>
    </row>
    <row r="584" spans="1:11">
      <c r="A584">
        <v>200000583</v>
      </c>
      <c r="B584" t="s">
        <v>287</v>
      </c>
      <c r="C584" t="s">
        <v>125</v>
      </c>
      <c r="D584" t="s">
        <v>16</v>
      </c>
      <c r="E584" s="9">
        <v>56</v>
      </c>
      <c r="F584" t="s">
        <v>32</v>
      </c>
      <c r="G584" t="s">
        <v>33</v>
      </c>
      <c r="H584" s="7">
        <v>42143</v>
      </c>
      <c r="I584">
        <v>46034.1</v>
      </c>
      <c r="K584" s="7"/>
    </row>
    <row r="585" spans="1:11">
      <c r="A585">
        <v>200000584</v>
      </c>
      <c r="B585" t="s">
        <v>245</v>
      </c>
      <c r="C585" t="s">
        <v>210</v>
      </c>
      <c r="D585" t="s">
        <v>11</v>
      </c>
      <c r="E585" s="9">
        <v>44</v>
      </c>
      <c r="F585" t="s">
        <v>32</v>
      </c>
      <c r="G585" t="s">
        <v>18</v>
      </c>
      <c r="H585" s="8">
        <v>42143</v>
      </c>
      <c r="I585">
        <v>60464.54</v>
      </c>
      <c r="K585" s="8"/>
    </row>
    <row r="586" spans="1:11">
      <c r="A586">
        <v>200000585</v>
      </c>
      <c r="B586" t="s">
        <v>264</v>
      </c>
      <c r="C586" t="s">
        <v>205</v>
      </c>
      <c r="D586" t="s">
        <v>11</v>
      </c>
      <c r="E586" s="9">
        <v>58</v>
      </c>
      <c r="F586" t="s">
        <v>32</v>
      </c>
      <c r="G586" t="s">
        <v>33</v>
      </c>
      <c r="H586" s="7">
        <v>42143</v>
      </c>
      <c r="I586">
        <v>54739.91</v>
      </c>
      <c r="K586" s="7"/>
    </row>
    <row r="587" spans="1:11">
      <c r="A587">
        <v>200000586</v>
      </c>
      <c r="B587" t="s">
        <v>145</v>
      </c>
      <c r="C587" t="s">
        <v>123</v>
      </c>
      <c r="D587" t="s">
        <v>11</v>
      </c>
      <c r="E587" s="9">
        <v>44</v>
      </c>
      <c r="F587" t="s">
        <v>32</v>
      </c>
      <c r="G587" t="s">
        <v>18</v>
      </c>
      <c r="H587" s="8">
        <v>42143</v>
      </c>
      <c r="I587">
        <v>6498.08</v>
      </c>
      <c r="K587" s="8"/>
    </row>
    <row r="588" spans="1:11">
      <c r="A588">
        <v>200000587</v>
      </c>
      <c r="B588" t="s">
        <v>296</v>
      </c>
      <c r="C588" t="s">
        <v>155</v>
      </c>
      <c r="D588" t="s">
        <v>11</v>
      </c>
      <c r="E588" s="9">
        <v>51</v>
      </c>
      <c r="F588" t="s">
        <v>32</v>
      </c>
      <c r="G588" t="s">
        <v>18</v>
      </c>
      <c r="H588" s="7">
        <v>42143</v>
      </c>
      <c r="I588">
        <v>43526.55</v>
      </c>
      <c r="K588" s="7"/>
    </row>
    <row r="589" spans="1:11">
      <c r="A589">
        <v>200000588</v>
      </c>
      <c r="B589" t="s">
        <v>206</v>
      </c>
      <c r="C589" t="s">
        <v>82</v>
      </c>
      <c r="D589" t="s">
        <v>11</v>
      </c>
      <c r="E589" s="9">
        <v>46</v>
      </c>
      <c r="F589" t="s">
        <v>32</v>
      </c>
      <c r="G589" t="s">
        <v>18</v>
      </c>
      <c r="H589" s="8">
        <v>42143</v>
      </c>
      <c r="I589">
        <v>26094.73</v>
      </c>
      <c r="K589" s="8"/>
    </row>
    <row r="590" spans="1:11">
      <c r="A590">
        <v>200000589</v>
      </c>
      <c r="B590" t="s">
        <v>137</v>
      </c>
      <c r="C590" t="s">
        <v>107</v>
      </c>
      <c r="D590" t="s">
        <v>11</v>
      </c>
      <c r="E590" s="9">
        <v>43</v>
      </c>
      <c r="F590" t="s">
        <v>32</v>
      </c>
      <c r="G590" t="s">
        <v>18</v>
      </c>
      <c r="H590" s="7">
        <v>42143</v>
      </c>
      <c r="I590">
        <v>64483.09</v>
      </c>
      <c r="K590" s="7"/>
    </row>
    <row r="591" spans="1:11">
      <c r="A591">
        <v>200000590</v>
      </c>
      <c r="B591" t="s">
        <v>169</v>
      </c>
      <c r="C591" t="s">
        <v>69</v>
      </c>
      <c r="D591" t="s">
        <v>11</v>
      </c>
      <c r="E591" s="9">
        <v>53</v>
      </c>
      <c r="F591" t="s">
        <v>32</v>
      </c>
      <c r="G591" t="s">
        <v>18</v>
      </c>
      <c r="H591" s="8">
        <v>42143</v>
      </c>
      <c r="I591">
        <v>35898.959999999999</v>
      </c>
      <c r="K591" s="8"/>
    </row>
    <row r="592" spans="1:11">
      <c r="A592">
        <v>200000591</v>
      </c>
      <c r="B592" t="s">
        <v>235</v>
      </c>
      <c r="C592" t="s">
        <v>77</v>
      </c>
      <c r="D592" t="s">
        <v>11</v>
      </c>
      <c r="E592" s="9">
        <v>41</v>
      </c>
      <c r="F592" t="s">
        <v>32</v>
      </c>
      <c r="G592" t="s">
        <v>18</v>
      </c>
      <c r="H592" s="7">
        <v>42143</v>
      </c>
      <c r="I592">
        <v>52388.41</v>
      </c>
      <c r="K592" s="7"/>
    </row>
    <row r="593" spans="1:11">
      <c r="A593">
        <v>300000592</v>
      </c>
      <c r="B593" t="s">
        <v>168</v>
      </c>
      <c r="C593" t="s">
        <v>88</v>
      </c>
      <c r="D593" t="s">
        <v>16</v>
      </c>
      <c r="E593" s="9">
        <v>27</v>
      </c>
      <c r="F593" t="s">
        <v>23</v>
      </c>
      <c r="G593" t="s">
        <v>13</v>
      </c>
      <c r="H593" s="8">
        <v>42143</v>
      </c>
      <c r="I593">
        <v>98541.75</v>
      </c>
      <c r="K593" s="8"/>
    </row>
    <row r="594" spans="1:11">
      <c r="A594">
        <v>300000593</v>
      </c>
      <c r="B594" t="s">
        <v>220</v>
      </c>
      <c r="C594" t="s">
        <v>130</v>
      </c>
      <c r="D594" t="s">
        <v>16</v>
      </c>
      <c r="E594" s="9">
        <v>33</v>
      </c>
      <c r="F594" t="s">
        <v>23</v>
      </c>
      <c r="G594" t="s">
        <v>33</v>
      </c>
      <c r="H594" s="7">
        <v>42143</v>
      </c>
      <c r="I594">
        <v>33373.82</v>
      </c>
      <c r="K594" s="7"/>
    </row>
    <row r="595" spans="1:11">
      <c r="A595">
        <v>300000594</v>
      </c>
      <c r="B595" t="s">
        <v>139</v>
      </c>
      <c r="C595" t="s">
        <v>113</v>
      </c>
      <c r="D595" t="s">
        <v>16</v>
      </c>
      <c r="E595" s="9">
        <v>39</v>
      </c>
      <c r="F595" t="s">
        <v>23</v>
      </c>
      <c r="G595" t="s">
        <v>13</v>
      </c>
      <c r="H595" s="8">
        <v>42143</v>
      </c>
      <c r="I595">
        <v>40637.129999999997</v>
      </c>
      <c r="K595" s="8"/>
    </row>
    <row r="596" spans="1:11">
      <c r="A596">
        <v>300000595</v>
      </c>
      <c r="B596" t="s">
        <v>174</v>
      </c>
      <c r="C596" t="s">
        <v>211</v>
      </c>
      <c r="D596" t="s">
        <v>11</v>
      </c>
      <c r="E596" s="9">
        <v>34</v>
      </c>
      <c r="F596" t="s">
        <v>23</v>
      </c>
      <c r="G596" t="s">
        <v>18</v>
      </c>
      <c r="H596" s="7">
        <v>42143</v>
      </c>
      <c r="I596">
        <v>61421.55</v>
      </c>
      <c r="K596" s="7"/>
    </row>
    <row r="597" spans="1:11">
      <c r="A597">
        <v>300000596</v>
      </c>
      <c r="B597" t="s">
        <v>321</v>
      </c>
      <c r="C597" t="s">
        <v>295</v>
      </c>
      <c r="D597" t="s">
        <v>16</v>
      </c>
      <c r="E597" s="9">
        <v>36</v>
      </c>
      <c r="F597" t="s">
        <v>23</v>
      </c>
      <c r="G597" t="s">
        <v>13</v>
      </c>
      <c r="H597" s="8">
        <v>42143</v>
      </c>
      <c r="I597">
        <v>56989.79</v>
      </c>
      <c r="K597" s="8"/>
    </row>
    <row r="598" spans="1:11">
      <c r="A598">
        <v>300000597</v>
      </c>
      <c r="B598" t="s">
        <v>264</v>
      </c>
      <c r="C598" t="s">
        <v>183</v>
      </c>
      <c r="D598" t="s">
        <v>11</v>
      </c>
      <c r="E598" s="9">
        <v>36</v>
      </c>
      <c r="F598" t="s">
        <v>23</v>
      </c>
      <c r="G598" t="s">
        <v>13</v>
      </c>
      <c r="H598" s="7">
        <v>42143</v>
      </c>
      <c r="I598">
        <v>60084.51</v>
      </c>
      <c r="K598" s="7"/>
    </row>
    <row r="599" spans="1:11">
      <c r="A599">
        <v>300000598</v>
      </c>
      <c r="B599" t="s">
        <v>152</v>
      </c>
      <c r="C599" t="s">
        <v>41</v>
      </c>
      <c r="D599" t="s">
        <v>11</v>
      </c>
      <c r="E599" s="9">
        <v>39</v>
      </c>
      <c r="F599" t="s">
        <v>23</v>
      </c>
      <c r="G599" t="s">
        <v>18</v>
      </c>
      <c r="H599" s="8">
        <v>42143</v>
      </c>
      <c r="I599">
        <v>51333.22</v>
      </c>
      <c r="K599" s="8"/>
    </row>
    <row r="600" spans="1:11">
      <c r="A600">
        <v>300000599</v>
      </c>
      <c r="B600" t="s">
        <v>317</v>
      </c>
      <c r="C600" t="s">
        <v>155</v>
      </c>
      <c r="D600" t="s">
        <v>16</v>
      </c>
      <c r="E600" s="9">
        <v>33</v>
      </c>
      <c r="F600" t="s">
        <v>23</v>
      </c>
      <c r="G600" t="s">
        <v>13</v>
      </c>
      <c r="H600" s="7">
        <v>42143</v>
      </c>
      <c r="I600">
        <v>1790.25</v>
      </c>
      <c r="K600" s="7"/>
    </row>
    <row r="601" spans="1:11">
      <c r="A601">
        <v>400000600</v>
      </c>
      <c r="B601" t="s">
        <v>166</v>
      </c>
      <c r="C601" t="s">
        <v>260</v>
      </c>
      <c r="D601" t="s">
        <v>16</v>
      </c>
      <c r="E601" s="9">
        <v>24</v>
      </c>
      <c r="F601" t="s">
        <v>17</v>
      </c>
      <c r="G601" t="s">
        <v>33</v>
      </c>
      <c r="H601" s="8">
        <v>42143</v>
      </c>
      <c r="I601">
        <v>33611.35</v>
      </c>
      <c r="K601" s="8"/>
    </row>
    <row r="602" spans="1:11">
      <c r="A602">
        <v>400000601</v>
      </c>
      <c r="B602" t="s">
        <v>152</v>
      </c>
      <c r="C602" t="s">
        <v>291</v>
      </c>
      <c r="D602" t="s">
        <v>11</v>
      </c>
      <c r="E602" s="9">
        <v>32</v>
      </c>
      <c r="F602" t="s">
        <v>17</v>
      </c>
      <c r="G602" t="s">
        <v>18</v>
      </c>
      <c r="H602" s="7">
        <v>42143</v>
      </c>
      <c r="I602">
        <v>30923.45</v>
      </c>
      <c r="K602" s="7"/>
    </row>
    <row r="603" spans="1:11">
      <c r="A603">
        <v>400000602</v>
      </c>
      <c r="B603" t="s">
        <v>300</v>
      </c>
      <c r="C603" t="s">
        <v>248</v>
      </c>
      <c r="D603" t="s">
        <v>16</v>
      </c>
      <c r="E603" s="9">
        <v>24</v>
      </c>
      <c r="F603" t="s">
        <v>17</v>
      </c>
      <c r="G603" t="s">
        <v>13</v>
      </c>
      <c r="H603" s="8">
        <v>42143</v>
      </c>
      <c r="I603">
        <v>63070.39</v>
      </c>
      <c r="K603" s="8"/>
    </row>
    <row r="604" spans="1:11">
      <c r="A604">
        <v>100000603</v>
      </c>
      <c r="B604" t="s">
        <v>154</v>
      </c>
      <c r="C604" t="s">
        <v>219</v>
      </c>
      <c r="D604" t="s">
        <v>16</v>
      </c>
      <c r="E604" s="9">
        <v>31</v>
      </c>
      <c r="F604" t="s">
        <v>12</v>
      </c>
      <c r="G604" t="s">
        <v>13</v>
      </c>
      <c r="H604" s="7">
        <v>42144</v>
      </c>
      <c r="I604">
        <v>41203.42</v>
      </c>
      <c r="K604" s="7"/>
    </row>
    <row r="605" spans="1:11">
      <c r="A605">
        <v>100000604</v>
      </c>
      <c r="B605" t="s">
        <v>126</v>
      </c>
      <c r="C605" t="s">
        <v>189</v>
      </c>
      <c r="D605" t="s">
        <v>16</v>
      </c>
      <c r="E605" s="9">
        <v>31</v>
      </c>
      <c r="F605" t="s">
        <v>12</v>
      </c>
      <c r="G605" t="s">
        <v>13</v>
      </c>
      <c r="H605" s="8">
        <v>42144</v>
      </c>
      <c r="I605">
        <v>21890.47</v>
      </c>
      <c r="K605" s="8"/>
    </row>
    <row r="606" spans="1:11">
      <c r="A606">
        <v>100000605</v>
      </c>
      <c r="B606" t="s">
        <v>14</v>
      </c>
      <c r="C606" t="s">
        <v>73</v>
      </c>
      <c r="D606" t="s">
        <v>16</v>
      </c>
      <c r="E606" s="9">
        <v>45</v>
      </c>
      <c r="F606" t="s">
        <v>12</v>
      </c>
      <c r="G606" t="s">
        <v>13</v>
      </c>
      <c r="H606" s="7">
        <v>42144</v>
      </c>
      <c r="I606">
        <v>74637.960000000006</v>
      </c>
      <c r="K606" s="7"/>
    </row>
    <row r="607" spans="1:11">
      <c r="A607">
        <v>100000606</v>
      </c>
      <c r="B607" t="s">
        <v>34</v>
      </c>
      <c r="C607" t="s">
        <v>71</v>
      </c>
      <c r="D607" t="s">
        <v>16</v>
      </c>
      <c r="E607" s="9">
        <v>42</v>
      </c>
      <c r="F607" t="s">
        <v>12</v>
      </c>
      <c r="G607" t="s">
        <v>13</v>
      </c>
      <c r="H607" s="8">
        <v>42144</v>
      </c>
      <c r="I607">
        <v>4252.16</v>
      </c>
      <c r="K607" s="8"/>
    </row>
    <row r="608" spans="1:11">
      <c r="A608">
        <v>200000607</v>
      </c>
      <c r="B608" t="s">
        <v>255</v>
      </c>
      <c r="C608" t="s">
        <v>216</v>
      </c>
      <c r="D608" t="s">
        <v>11</v>
      </c>
      <c r="E608" s="9">
        <v>45</v>
      </c>
      <c r="F608" t="s">
        <v>32</v>
      </c>
      <c r="G608" t="s">
        <v>13</v>
      </c>
      <c r="H608" s="7">
        <v>42144</v>
      </c>
      <c r="I608">
        <v>10273.77</v>
      </c>
      <c r="K608" s="7"/>
    </row>
    <row r="609" spans="1:11">
      <c r="A609">
        <v>200000608</v>
      </c>
      <c r="B609" t="s">
        <v>283</v>
      </c>
      <c r="C609" t="s">
        <v>195</v>
      </c>
      <c r="D609" t="s">
        <v>11</v>
      </c>
      <c r="E609" s="9">
        <v>44</v>
      </c>
      <c r="F609" t="s">
        <v>32</v>
      </c>
      <c r="G609" t="s">
        <v>33</v>
      </c>
      <c r="H609" s="8">
        <v>42144</v>
      </c>
      <c r="I609">
        <v>9061.01</v>
      </c>
      <c r="K609" s="8"/>
    </row>
    <row r="610" spans="1:11">
      <c r="A610">
        <v>200000609</v>
      </c>
      <c r="B610" t="s">
        <v>303</v>
      </c>
      <c r="C610" t="s">
        <v>20</v>
      </c>
      <c r="D610" t="s">
        <v>11</v>
      </c>
      <c r="E610" s="9">
        <v>58</v>
      </c>
      <c r="F610" t="s">
        <v>32</v>
      </c>
      <c r="G610" t="s">
        <v>33</v>
      </c>
      <c r="H610" s="7">
        <v>42144</v>
      </c>
      <c r="I610">
        <v>86041.55</v>
      </c>
      <c r="K610" s="7"/>
    </row>
    <row r="611" spans="1:11">
      <c r="A611">
        <v>200000610</v>
      </c>
      <c r="B611" t="s">
        <v>173</v>
      </c>
      <c r="C611" t="s">
        <v>10</v>
      </c>
      <c r="D611" t="s">
        <v>11</v>
      </c>
      <c r="E611" s="9">
        <v>52</v>
      </c>
      <c r="F611" t="s">
        <v>32</v>
      </c>
      <c r="G611" t="s">
        <v>18</v>
      </c>
      <c r="H611" s="8">
        <v>42144</v>
      </c>
      <c r="I611">
        <v>96808.76</v>
      </c>
      <c r="K611" s="8"/>
    </row>
    <row r="612" spans="1:11">
      <c r="A612">
        <v>300000611</v>
      </c>
      <c r="B612" t="s">
        <v>166</v>
      </c>
      <c r="C612" t="s">
        <v>299</v>
      </c>
      <c r="D612" t="s">
        <v>16</v>
      </c>
      <c r="E612" s="9">
        <v>36</v>
      </c>
      <c r="F612" t="s">
        <v>23</v>
      </c>
      <c r="G612" t="s">
        <v>18</v>
      </c>
      <c r="H612" s="7">
        <v>42144</v>
      </c>
      <c r="I612">
        <v>26783.439999999999</v>
      </c>
      <c r="K612" s="7"/>
    </row>
    <row r="613" spans="1:11">
      <c r="A613">
        <v>300000612</v>
      </c>
      <c r="B613" t="s">
        <v>320</v>
      </c>
      <c r="C613" t="s">
        <v>52</v>
      </c>
      <c r="D613" t="s">
        <v>16</v>
      </c>
      <c r="E613" s="9">
        <v>24</v>
      </c>
      <c r="F613" t="s">
        <v>23</v>
      </c>
      <c r="G613" t="s">
        <v>13</v>
      </c>
      <c r="H613" s="8">
        <v>42144</v>
      </c>
      <c r="I613">
        <v>16637.73</v>
      </c>
      <c r="K613" s="8"/>
    </row>
    <row r="614" spans="1:11">
      <c r="A614">
        <v>300000613</v>
      </c>
      <c r="B614" t="s">
        <v>143</v>
      </c>
      <c r="C614" t="s">
        <v>104</v>
      </c>
      <c r="D614" t="s">
        <v>11</v>
      </c>
      <c r="E614" s="9">
        <v>31</v>
      </c>
      <c r="F614" t="s">
        <v>23</v>
      </c>
      <c r="G614" t="s">
        <v>13</v>
      </c>
      <c r="H614" s="7">
        <v>42144</v>
      </c>
      <c r="I614">
        <v>34008.589999999997</v>
      </c>
      <c r="K614" s="7"/>
    </row>
    <row r="615" spans="1:11">
      <c r="A615">
        <v>300000614</v>
      </c>
      <c r="B615" t="s">
        <v>62</v>
      </c>
      <c r="C615" t="s">
        <v>272</v>
      </c>
      <c r="D615" t="s">
        <v>16</v>
      </c>
      <c r="E615" s="9">
        <v>38</v>
      </c>
      <c r="F615" t="s">
        <v>23</v>
      </c>
      <c r="G615" t="s">
        <v>18</v>
      </c>
      <c r="H615" s="8">
        <v>42144</v>
      </c>
      <c r="I615">
        <v>27842.1</v>
      </c>
      <c r="K615" s="8"/>
    </row>
    <row r="616" spans="1:11">
      <c r="A616">
        <v>300000615</v>
      </c>
      <c r="B616" t="s">
        <v>226</v>
      </c>
      <c r="C616" t="s">
        <v>39</v>
      </c>
      <c r="D616" t="s">
        <v>16</v>
      </c>
      <c r="E616" s="9">
        <v>42</v>
      </c>
      <c r="F616" t="s">
        <v>23</v>
      </c>
      <c r="G616" t="s">
        <v>33</v>
      </c>
      <c r="H616" s="7">
        <v>42144</v>
      </c>
      <c r="I616">
        <v>24020.29</v>
      </c>
      <c r="K616" s="7"/>
    </row>
    <row r="617" spans="1:11">
      <c r="A617">
        <v>100000616</v>
      </c>
      <c r="B617" t="s">
        <v>68</v>
      </c>
      <c r="C617" t="s">
        <v>87</v>
      </c>
      <c r="D617" t="s">
        <v>16</v>
      </c>
      <c r="E617" s="9">
        <v>40</v>
      </c>
      <c r="F617" t="s">
        <v>12</v>
      </c>
      <c r="G617" t="s">
        <v>13</v>
      </c>
      <c r="H617" s="8">
        <v>42145</v>
      </c>
      <c r="I617">
        <v>22671.13</v>
      </c>
      <c r="K617" s="8"/>
    </row>
    <row r="618" spans="1:11">
      <c r="A618">
        <v>100000617</v>
      </c>
      <c r="B618" t="s">
        <v>312</v>
      </c>
      <c r="C618" t="s">
        <v>210</v>
      </c>
      <c r="D618" t="s">
        <v>11</v>
      </c>
      <c r="E618" s="9">
        <v>32</v>
      </c>
      <c r="F618" t="s">
        <v>12</v>
      </c>
      <c r="G618" t="s">
        <v>18</v>
      </c>
      <c r="H618" s="7">
        <v>42145</v>
      </c>
      <c r="I618">
        <v>4576.45</v>
      </c>
      <c r="K618" s="7"/>
    </row>
    <row r="619" spans="1:11">
      <c r="A619">
        <v>100000618</v>
      </c>
      <c r="B619" t="s">
        <v>208</v>
      </c>
      <c r="C619" t="s">
        <v>195</v>
      </c>
      <c r="D619" t="s">
        <v>11</v>
      </c>
      <c r="E619" s="9">
        <v>42</v>
      </c>
      <c r="F619" t="s">
        <v>12</v>
      </c>
      <c r="G619" t="s">
        <v>13</v>
      </c>
      <c r="H619" s="8">
        <v>42145</v>
      </c>
      <c r="I619">
        <v>16236.11</v>
      </c>
      <c r="K619" s="8"/>
    </row>
    <row r="620" spans="1:11">
      <c r="A620">
        <v>200000619</v>
      </c>
      <c r="B620" t="s">
        <v>218</v>
      </c>
      <c r="C620" t="s">
        <v>270</v>
      </c>
      <c r="D620" t="s">
        <v>11</v>
      </c>
      <c r="E620" s="9">
        <v>49</v>
      </c>
      <c r="F620" t="s">
        <v>32</v>
      </c>
      <c r="G620" t="s">
        <v>18</v>
      </c>
      <c r="H620" s="7">
        <v>42145</v>
      </c>
      <c r="I620">
        <v>32144.44</v>
      </c>
      <c r="K620" s="7"/>
    </row>
    <row r="621" spans="1:11">
      <c r="A621">
        <v>200000620</v>
      </c>
      <c r="B621" t="s">
        <v>9</v>
      </c>
      <c r="C621" t="s">
        <v>160</v>
      </c>
      <c r="D621" t="s">
        <v>11</v>
      </c>
      <c r="E621" s="9">
        <v>51</v>
      </c>
      <c r="F621" t="s">
        <v>32</v>
      </c>
      <c r="G621" t="s">
        <v>18</v>
      </c>
      <c r="H621" s="8">
        <v>42145</v>
      </c>
      <c r="I621">
        <v>54343.81</v>
      </c>
      <c r="K621" s="8"/>
    </row>
    <row r="622" spans="1:11">
      <c r="A622">
        <v>200000621</v>
      </c>
      <c r="B622" t="s">
        <v>208</v>
      </c>
      <c r="C622" t="s">
        <v>49</v>
      </c>
      <c r="D622" t="s">
        <v>11</v>
      </c>
      <c r="E622" s="9">
        <v>51</v>
      </c>
      <c r="F622" t="s">
        <v>32</v>
      </c>
      <c r="G622" t="s">
        <v>18</v>
      </c>
      <c r="H622" s="7">
        <v>42145</v>
      </c>
      <c r="I622">
        <v>60857.23</v>
      </c>
      <c r="K622" s="7"/>
    </row>
    <row r="623" spans="1:11">
      <c r="A623">
        <v>200000622</v>
      </c>
      <c r="B623" t="s">
        <v>199</v>
      </c>
      <c r="C623" t="s">
        <v>113</v>
      </c>
      <c r="D623" t="s">
        <v>11</v>
      </c>
      <c r="E623" s="9">
        <v>49</v>
      </c>
      <c r="F623" t="s">
        <v>32</v>
      </c>
      <c r="G623" t="s">
        <v>13</v>
      </c>
      <c r="H623" s="8">
        <v>42145</v>
      </c>
      <c r="I623">
        <v>68252.3</v>
      </c>
      <c r="K623" s="8"/>
    </row>
    <row r="624" spans="1:11">
      <c r="A624">
        <v>200000623</v>
      </c>
      <c r="B624" t="s">
        <v>255</v>
      </c>
      <c r="C624" t="s">
        <v>222</v>
      </c>
      <c r="D624" t="s">
        <v>11</v>
      </c>
      <c r="E624" s="9">
        <v>53</v>
      </c>
      <c r="F624" t="s">
        <v>32</v>
      </c>
      <c r="G624" t="s">
        <v>33</v>
      </c>
      <c r="H624" s="7">
        <v>42145</v>
      </c>
      <c r="I624">
        <v>110688.19</v>
      </c>
      <c r="K624" s="7"/>
    </row>
    <row r="625" spans="1:11">
      <c r="A625">
        <v>300000624</v>
      </c>
      <c r="B625" t="s">
        <v>175</v>
      </c>
      <c r="C625" t="s">
        <v>178</v>
      </c>
      <c r="D625" t="s">
        <v>11</v>
      </c>
      <c r="E625" s="9">
        <v>40</v>
      </c>
      <c r="F625" t="s">
        <v>23</v>
      </c>
      <c r="G625" t="s">
        <v>18</v>
      </c>
      <c r="H625" s="8">
        <v>42145</v>
      </c>
      <c r="I625">
        <v>34324.69</v>
      </c>
      <c r="K625" s="8"/>
    </row>
    <row r="626" spans="1:11">
      <c r="A626">
        <v>400000625</v>
      </c>
      <c r="B626" t="s">
        <v>231</v>
      </c>
      <c r="C626" t="s">
        <v>129</v>
      </c>
      <c r="D626" t="s">
        <v>11</v>
      </c>
      <c r="E626" s="9">
        <v>22</v>
      </c>
      <c r="F626" t="s">
        <v>17</v>
      </c>
      <c r="G626" t="s">
        <v>13</v>
      </c>
      <c r="H626" s="7">
        <v>42145</v>
      </c>
      <c r="I626">
        <v>10472.49</v>
      </c>
      <c r="K626" s="7"/>
    </row>
    <row r="627" spans="1:11">
      <c r="A627">
        <v>100000626</v>
      </c>
      <c r="B627" t="s">
        <v>268</v>
      </c>
      <c r="C627" t="s">
        <v>257</v>
      </c>
      <c r="D627" t="s">
        <v>16</v>
      </c>
      <c r="E627" s="9">
        <v>36</v>
      </c>
      <c r="F627" t="s">
        <v>12</v>
      </c>
      <c r="G627" t="s">
        <v>13</v>
      </c>
      <c r="H627" s="8">
        <v>42146</v>
      </c>
      <c r="I627">
        <v>27754.62</v>
      </c>
      <c r="K627" s="8"/>
    </row>
    <row r="628" spans="1:11">
      <c r="A628">
        <v>100000627</v>
      </c>
      <c r="B628" t="s">
        <v>255</v>
      </c>
      <c r="C628" t="s">
        <v>160</v>
      </c>
      <c r="D628" t="s">
        <v>11</v>
      </c>
      <c r="E628" s="9">
        <v>44</v>
      </c>
      <c r="F628" t="s">
        <v>12</v>
      </c>
      <c r="G628" t="s">
        <v>13</v>
      </c>
      <c r="H628" s="7">
        <v>42146</v>
      </c>
      <c r="I628">
        <v>94471.86</v>
      </c>
      <c r="K628" s="7"/>
    </row>
    <row r="629" spans="1:11">
      <c r="A629">
        <v>100000628</v>
      </c>
      <c r="B629" t="s">
        <v>271</v>
      </c>
      <c r="C629" t="s">
        <v>157</v>
      </c>
      <c r="D629" t="s">
        <v>16</v>
      </c>
      <c r="E629" s="9">
        <v>33</v>
      </c>
      <c r="F629" t="s">
        <v>12</v>
      </c>
      <c r="G629" t="s">
        <v>13</v>
      </c>
      <c r="H629" s="8">
        <v>42146</v>
      </c>
      <c r="I629">
        <v>22387.4</v>
      </c>
      <c r="K629" s="8"/>
    </row>
    <row r="630" spans="1:11">
      <c r="A630">
        <v>200000629</v>
      </c>
      <c r="B630" t="s">
        <v>38</v>
      </c>
      <c r="C630" t="s">
        <v>59</v>
      </c>
      <c r="D630" t="s">
        <v>11</v>
      </c>
      <c r="E630" s="9">
        <v>48</v>
      </c>
      <c r="F630" t="s">
        <v>32</v>
      </c>
      <c r="G630" t="s">
        <v>33</v>
      </c>
      <c r="H630" s="7">
        <v>42146</v>
      </c>
      <c r="I630">
        <v>8114.82</v>
      </c>
      <c r="K630" s="7"/>
    </row>
    <row r="631" spans="1:11">
      <c r="A631">
        <v>200000630</v>
      </c>
      <c r="B631" t="s">
        <v>204</v>
      </c>
      <c r="C631" t="s">
        <v>167</v>
      </c>
      <c r="D631" t="s">
        <v>11</v>
      </c>
      <c r="E631" s="9">
        <v>51</v>
      </c>
      <c r="F631" t="s">
        <v>32</v>
      </c>
      <c r="G631" t="s">
        <v>18</v>
      </c>
      <c r="H631" s="8">
        <v>42146</v>
      </c>
      <c r="I631">
        <v>126331.75</v>
      </c>
      <c r="K631" s="8"/>
    </row>
    <row r="632" spans="1:11">
      <c r="A632">
        <v>200000631</v>
      </c>
      <c r="B632" t="s">
        <v>206</v>
      </c>
      <c r="C632" t="s">
        <v>183</v>
      </c>
      <c r="D632" t="s">
        <v>11</v>
      </c>
      <c r="E632" s="9">
        <v>57</v>
      </c>
      <c r="F632" t="s">
        <v>32</v>
      </c>
      <c r="G632" t="s">
        <v>18</v>
      </c>
      <c r="H632" s="7">
        <v>42146</v>
      </c>
      <c r="I632">
        <v>50454.73</v>
      </c>
      <c r="K632" s="7"/>
    </row>
    <row r="633" spans="1:11">
      <c r="A633">
        <v>200000632</v>
      </c>
      <c r="B633" t="s">
        <v>46</v>
      </c>
      <c r="C633" t="s">
        <v>315</v>
      </c>
      <c r="D633" t="s">
        <v>11</v>
      </c>
      <c r="E633" s="9">
        <v>64</v>
      </c>
      <c r="F633" t="s">
        <v>32</v>
      </c>
      <c r="G633" t="s">
        <v>18</v>
      </c>
      <c r="H633" s="8">
        <v>42146</v>
      </c>
      <c r="I633">
        <v>15909.96</v>
      </c>
      <c r="K633" s="8"/>
    </row>
    <row r="634" spans="1:11">
      <c r="A634">
        <v>300000633</v>
      </c>
      <c r="B634" t="s">
        <v>111</v>
      </c>
      <c r="C634" t="s">
        <v>15</v>
      </c>
      <c r="D634" t="s">
        <v>11</v>
      </c>
      <c r="E634" s="9">
        <v>42</v>
      </c>
      <c r="F634" t="s">
        <v>23</v>
      </c>
      <c r="G634" t="s">
        <v>13</v>
      </c>
      <c r="H634" s="7">
        <v>42146</v>
      </c>
      <c r="I634">
        <v>39588.61</v>
      </c>
      <c r="K634" s="7"/>
    </row>
    <row r="635" spans="1:11">
      <c r="A635">
        <v>300000634</v>
      </c>
      <c r="B635" t="s">
        <v>161</v>
      </c>
      <c r="C635" t="s">
        <v>144</v>
      </c>
      <c r="D635" t="s">
        <v>16</v>
      </c>
      <c r="E635" s="9">
        <v>50</v>
      </c>
      <c r="F635" t="s">
        <v>23</v>
      </c>
      <c r="G635" t="s">
        <v>13</v>
      </c>
      <c r="H635" s="8">
        <v>42146</v>
      </c>
      <c r="I635">
        <v>57622.79</v>
      </c>
      <c r="K635" s="8"/>
    </row>
    <row r="636" spans="1:11">
      <c r="A636">
        <v>300000635</v>
      </c>
      <c r="B636" t="s">
        <v>102</v>
      </c>
      <c r="C636" t="s">
        <v>10</v>
      </c>
      <c r="D636" t="s">
        <v>16</v>
      </c>
      <c r="E636" s="9">
        <v>34</v>
      </c>
      <c r="F636" t="s">
        <v>23</v>
      </c>
      <c r="G636" t="s">
        <v>13</v>
      </c>
      <c r="H636" s="7">
        <v>42146</v>
      </c>
      <c r="I636">
        <v>48381.35</v>
      </c>
      <c r="K636" s="7"/>
    </row>
    <row r="637" spans="1:11">
      <c r="A637">
        <v>300000636</v>
      </c>
      <c r="B637" t="s">
        <v>215</v>
      </c>
      <c r="C637" t="s">
        <v>59</v>
      </c>
      <c r="D637" t="s">
        <v>16</v>
      </c>
      <c r="E637" s="9">
        <v>30</v>
      </c>
      <c r="F637" t="s">
        <v>23</v>
      </c>
      <c r="G637" t="s">
        <v>13</v>
      </c>
      <c r="H637" s="8">
        <v>42146</v>
      </c>
      <c r="I637">
        <v>20276.080000000002</v>
      </c>
      <c r="K637" s="8"/>
    </row>
    <row r="638" spans="1:11">
      <c r="A638">
        <v>300000637</v>
      </c>
      <c r="B638" t="s">
        <v>99</v>
      </c>
      <c r="C638" t="s">
        <v>125</v>
      </c>
      <c r="D638" t="s">
        <v>16</v>
      </c>
      <c r="E638" s="9">
        <v>40</v>
      </c>
      <c r="F638" t="s">
        <v>23</v>
      </c>
      <c r="G638" t="s">
        <v>13</v>
      </c>
      <c r="H638" s="7">
        <v>42146</v>
      </c>
      <c r="I638">
        <v>18379.009999999998</v>
      </c>
      <c r="K638" s="7"/>
    </row>
    <row r="639" spans="1:11">
      <c r="A639">
        <v>400000638</v>
      </c>
      <c r="B639" t="s">
        <v>105</v>
      </c>
      <c r="C639" t="s">
        <v>85</v>
      </c>
      <c r="D639" t="s">
        <v>16</v>
      </c>
      <c r="E639" s="9">
        <v>46</v>
      </c>
      <c r="F639" t="s">
        <v>17</v>
      </c>
      <c r="G639" t="s">
        <v>18</v>
      </c>
      <c r="H639" s="8">
        <v>42146</v>
      </c>
      <c r="I639">
        <v>22906.99</v>
      </c>
      <c r="K639" s="8"/>
    </row>
    <row r="640" spans="1:11">
      <c r="A640">
        <v>400000639</v>
      </c>
      <c r="B640" t="s">
        <v>193</v>
      </c>
      <c r="C640" t="s">
        <v>15</v>
      </c>
      <c r="D640" t="s">
        <v>11</v>
      </c>
      <c r="E640" s="9">
        <v>28</v>
      </c>
      <c r="F640" t="s">
        <v>17</v>
      </c>
      <c r="G640" t="s">
        <v>13</v>
      </c>
      <c r="H640" s="7">
        <v>42146</v>
      </c>
      <c r="I640">
        <v>146569.76999999999</v>
      </c>
      <c r="K640" s="7"/>
    </row>
    <row r="641" spans="1:11">
      <c r="A641">
        <v>100000640</v>
      </c>
      <c r="B641" t="s">
        <v>137</v>
      </c>
      <c r="C641" t="s">
        <v>216</v>
      </c>
      <c r="D641" t="s">
        <v>11</v>
      </c>
      <c r="E641" s="9">
        <v>38</v>
      </c>
      <c r="F641" t="s">
        <v>12</v>
      </c>
      <c r="G641" t="s">
        <v>18</v>
      </c>
      <c r="H641" s="8">
        <v>42147</v>
      </c>
      <c r="I641">
        <v>47824.63</v>
      </c>
      <c r="K641" s="8"/>
    </row>
    <row r="642" spans="1:11">
      <c r="A642">
        <v>100000641</v>
      </c>
      <c r="B642" t="s">
        <v>220</v>
      </c>
      <c r="C642" t="s">
        <v>187</v>
      </c>
      <c r="D642" t="s">
        <v>16</v>
      </c>
      <c r="E642" s="9">
        <v>38</v>
      </c>
      <c r="F642" t="s">
        <v>12</v>
      </c>
      <c r="G642" t="s">
        <v>33</v>
      </c>
      <c r="H642" s="7">
        <v>42147</v>
      </c>
      <c r="I642">
        <v>30788.33</v>
      </c>
      <c r="K642" s="7"/>
    </row>
    <row r="643" spans="1:11">
      <c r="A643">
        <v>100000642</v>
      </c>
      <c r="B643" t="s">
        <v>231</v>
      </c>
      <c r="C643" t="s">
        <v>80</v>
      </c>
      <c r="D643" t="s">
        <v>11</v>
      </c>
      <c r="E643" s="9">
        <v>29</v>
      </c>
      <c r="F643" t="s">
        <v>12</v>
      </c>
      <c r="G643" t="s">
        <v>18</v>
      </c>
      <c r="H643" s="8">
        <v>42147</v>
      </c>
      <c r="I643">
        <v>62631.040000000001</v>
      </c>
      <c r="K643" s="8"/>
    </row>
    <row r="644" spans="1:11">
      <c r="A644">
        <v>100000643</v>
      </c>
      <c r="B644" t="s">
        <v>68</v>
      </c>
      <c r="C644" t="s">
        <v>277</v>
      </c>
      <c r="D644" t="s">
        <v>16</v>
      </c>
      <c r="E644" s="9">
        <v>32</v>
      </c>
      <c r="F644" t="s">
        <v>12</v>
      </c>
      <c r="G644" t="s">
        <v>33</v>
      </c>
      <c r="H644" s="7">
        <v>42147</v>
      </c>
      <c r="I644">
        <v>79617.5</v>
      </c>
      <c r="K644" s="7"/>
    </row>
    <row r="645" spans="1:11">
      <c r="A645">
        <v>200000644</v>
      </c>
      <c r="B645" t="s">
        <v>175</v>
      </c>
      <c r="C645" t="s">
        <v>45</v>
      </c>
      <c r="D645" t="s">
        <v>11</v>
      </c>
      <c r="E645" s="9">
        <v>48</v>
      </c>
      <c r="F645" t="s">
        <v>32</v>
      </c>
      <c r="G645" t="s">
        <v>18</v>
      </c>
      <c r="H645" s="8">
        <v>42147</v>
      </c>
      <c r="I645">
        <v>9997.81</v>
      </c>
      <c r="K645" s="8"/>
    </row>
    <row r="646" spans="1:11">
      <c r="A646">
        <v>200000645</v>
      </c>
      <c r="B646" t="s">
        <v>139</v>
      </c>
      <c r="C646" t="s">
        <v>270</v>
      </c>
      <c r="D646" t="s">
        <v>16</v>
      </c>
      <c r="E646" s="9">
        <v>47</v>
      </c>
      <c r="F646" t="s">
        <v>32</v>
      </c>
      <c r="G646" t="s">
        <v>33</v>
      </c>
      <c r="H646" s="7">
        <v>42147</v>
      </c>
      <c r="I646">
        <v>19366.89</v>
      </c>
      <c r="K646" s="7"/>
    </row>
    <row r="647" spans="1:11">
      <c r="A647">
        <v>200000646</v>
      </c>
      <c r="B647" t="s">
        <v>19</v>
      </c>
      <c r="C647" t="s">
        <v>242</v>
      </c>
      <c r="D647" t="s">
        <v>11</v>
      </c>
      <c r="E647" s="9">
        <v>50</v>
      </c>
      <c r="F647" t="s">
        <v>32</v>
      </c>
      <c r="G647" t="s">
        <v>18</v>
      </c>
      <c r="H647" s="8">
        <v>42147</v>
      </c>
      <c r="I647">
        <v>70840.070000000007</v>
      </c>
      <c r="K647" s="8"/>
    </row>
    <row r="648" spans="1:11">
      <c r="A648">
        <v>200000647</v>
      </c>
      <c r="B648" t="s">
        <v>19</v>
      </c>
      <c r="C648" t="s">
        <v>195</v>
      </c>
      <c r="D648" t="s">
        <v>11</v>
      </c>
      <c r="E648" s="9">
        <v>50</v>
      </c>
      <c r="F648" t="s">
        <v>32</v>
      </c>
      <c r="G648" t="s">
        <v>33</v>
      </c>
      <c r="H648" s="7">
        <v>42147</v>
      </c>
      <c r="I648">
        <v>48457.18</v>
      </c>
      <c r="K648" s="7"/>
    </row>
    <row r="649" spans="1:11">
      <c r="A649">
        <v>200000648</v>
      </c>
      <c r="B649" t="s">
        <v>89</v>
      </c>
      <c r="C649" t="s">
        <v>88</v>
      </c>
      <c r="D649" t="s">
        <v>11</v>
      </c>
      <c r="E649" s="9">
        <v>52</v>
      </c>
      <c r="F649" t="s">
        <v>32</v>
      </c>
      <c r="G649" t="s">
        <v>18</v>
      </c>
      <c r="H649" s="8">
        <v>42147</v>
      </c>
      <c r="I649">
        <v>49590.89</v>
      </c>
      <c r="K649" s="8"/>
    </row>
    <row r="650" spans="1:11">
      <c r="A650">
        <v>200000649</v>
      </c>
      <c r="B650" t="s">
        <v>293</v>
      </c>
      <c r="C650" t="s">
        <v>61</v>
      </c>
      <c r="D650" t="s">
        <v>11</v>
      </c>
      <c r="E650" s="9">
        <v>53</v>
      </c>
      <c r="F650" t="s">
        <v>32</v>
      </c>
      <c r="G650" t="s">
        <v>18</v>
      </c>
      <c r="H650" s="7">
        <v>42147</v>
      </c>
      <c r="I650">
        <v>33269.35</v>
      </c>
      <c r="K650" s="7"/>
    </row>
    <row r="651" spans="1:11">
      <c r="A651">
        <v>300000650</v>
      </c>
      <c r="B651" t="s">
        <v>309</v>
      </c>
      <c r="C651" t="s">
        <v>189</v>
      </c>
      <c r="D651" t="s">
        <v>16</v>
      </c>
      <c r="E651" s="9">
        <v>26</v>
      </c>
      <c r="F651" t="s">
        <v>23</v>
      </c>
      <c r="G651" t="s">
        <v>18</v>
      </c>
      <c r="H651" s="8">
        <v>42147</v>
      </c>
      <c r="I651">
        <v>39944.639999999999</v>
      </c>
      <c r="K651" s="8"/>
    </row>
    <row r="652" spans="1:11">
      <c r="A652">
        <v>300000651</v>
      </c>
      <c r="B652" t="s">
        <v>314</v>
      </c>
      <c r="C652" t="s">
        <v>54</v>
      </c>
      <c r="D652" t="s">
        <v>16</v>
      </c>
      <c r="E652" s="9">
        <v>46</v>
      </c>
      <c r="F652" t="s">
        <v>23</v>
      </c>
      <c r="G652" t="s">
        <v>13</v>
      </c>
      <c r="H652" s="7">
        <v>42147</v>
      </c>
      <c r="I652">
        <v>30255.26</v>
      </c>
      <c r="K652" s="7"/>
    </row>
    <row r="653" spans="1:11">
      <c r="A653">
        <v>300000652</v>
      </c>
      <c r="B653" t="s">
        <v>316</v>
      </c>
      <c r="C653" t="s">
        <v>155</v>
      </c>
      <c r="D653" t="s">
        <v>16</v>
      </c>
      <c r="E653" s="9">
        <v>34</v>
      </c>
      <c r="F653" t="s">
        <v>23</v>
      </c>
      <c r="G653" t="s">
        <v>13</v>
      </c>
      <c r="H653" s="8">
        <v>42147</v>
      </c>
      <c r="I653">
        <v>28272.45</v>
      </c>
      <c r="K653" s="8"/>
    </row>
    <row r="654" spans="1:11">
      <c r="A654">
        <v>400000653</v>
      </c>
      <c r="B654" t="s">
        <v>204</v>
      </c>
      <c r="C654" t="s">
        <v>35</v>
      </c>
      <c r="D654" t="s">
        <v>11</v>
      </c>
      <c r="E654" s="9">
        <v>35</v>
      </c>
      <c r="F654" t="s">
        <v>17</v>
      </c>
      <c r="G654" t="s">
        <v>13</v>
      </c>
      <c r="H654" s="7">
        <v>42147</v>
      </c>
      <c r="I654">
        <v>11638.39</v>
      </c>
      <c r="K654" s="7"/>
    </row>
    <row r="655" spans="1:11">
      <c r="A655">
        <v>400000654</v>
      </c>
      <c r="B655" t="s">
        <v>9</v>
      </c>
      <c r="C655" t="s">
        <v>43</v>
      </c>
      <c r="D655" t="s">
        <v>11</v>
      </c>
      <c r="E655" s="9">
        <v>25</v>
      </c>
      <c r="F655" t="s">
        <v>17</v>
      </c>
      <c r="G655" t="s">
        <v>33</v>
      </c>
      <c r="H655" s="8">
        <v>42147</v>
      </c>
      <c r="I655">
        <v>354.04</v>
      </c>
      <c r="K655" s="8"/>
    </row>
    <row r="656" spans="1:11">
      <c r="A656">
        <v>100000655</v>
      </c>
      <c r="B656" t="s">
        <v>261</v>
      </c>
      <c r="C656" t="s">
        <v>10</v>
      </c>
      <c r="D656" t="s">
        <v>11</v>
      </c>
      <c r="E656" s="9">
        <v>30</v>
      </c>
      <c r="F656" t="s">
        <v>12</v>
      </c>
      <c r="G656" t="s">
        <v>13</v>
      </c>
      <c r="H656" s="7">
        <v>42148</v>
      </c>
      <c r="I656">
        <v>18150.13</v>
      </c>
      <c r="K656" s="7"/>
    </row>
    <row r="657" spans="1:11">
      <c r="A657">
        <v>100000656</v>
      </c>
      <c r="B657" t="s">
        <v>145</v>
      </c>
      <c r="C657" t="s">
        <v>278</v>
      </c>
      <c r="D657" t="s">
        <v>11</v>
      </c>
      <c r="E657" s="9">
        <v>32</v>
      </c>
      <c r="F657" t="s">
        <v>12</v>
      </c>
      <c r="G657" t="s">
        <v>33</v>
      </c>
      <c r="H657" s="8">
        <v>42148</v>
      </c>
      <c r="I657">
        <v>52580.7</v>
      </c>
      <c r="K657" s="8"/>
    </row>
    <row r="658" spans="1:11">
      <c r="A658">
        <v>100000657</v>
      </c>
      <c r="B658" t="s">
        <v>320</v>
      </c>
      <c r="C658" t="s">
        <v>153</v>
      </c>
      <c r="D658" t="s">
        <v>16</v>
      </c>
      <c r="E658" s="9">
        <v>48</v>
      </c>
      <c r="F658" t="s">
        <v>12</v>
      </c>
      <c r="G658" t="s">
        <v>13</v>
      </c>
      <c r="H658" s="7">
        <v>42148</v>
      </c>
      <c r="I658">
        <v>26493.26</v>
      </c>
      <c r="K658" s="7"/>
    </row>
    <row r="659" spans="1:11">
      <c r="A659">
        <v>200000658</v>
      </c>
      <c r="B659" t="s">
        <v>190</v>
      </c>
      <c r="C659" t="s">
        <v>187</v>
      </c>
      <c r="D659" t="s">
        <v>11</v>
      </c>
      <c r="E659" s="9">
        <v>45</v>
      </c>
      <c r="F659" t="s">
        <v>32</v>
      </c>
      <c r="G659" t="s">
        <v>33</v>
      </c>
      <c r="H659" s="8">
        <v>42148</v>
      </c>
      <c r="I659">
        <v>16824.599999999999</v>
      </c>
      <c r="K659" s="8"/>
    </row>
    <row r="660" spans="1:11">
      <c r="A660">
        <v>200000659</v>
      </c>
      <c r="B660" t="s">
        <v>164</v>
      </c>
      <c r="C660" t="s">
        <v>310</v>
      </c>
      <c r="D660" t="s">
        <v>11</v>
      </c>
      <c r="E660" s="9">
        <v>52</v>
      </c>
      <c r="F660" t="s">
        <v>32</v>
      </c>
      <c r="G660" t="s">
        <v>18</v>
      </c>
      <c r="H660" s="7">
        <v>42148</v>
      </c>
      <c r="I660">
        <v>16849.990000000002</v>
      </c>
      <c r="K660" s="7"/>
    </row>
    <row r="661" spans="1:11">
      <c r="A661">
        <v>200000660</v>
      </c>
      <c r="B661" t="s">
        <v>202</v>
      </c>
      <c r="C661" t="s">
        <v>22</v>
      </c>
      <c r="D661" t="s">
        <v>11</v>
      </c>
      <c r="E661" s="9">
        <v>53</v>
      </c>
      <c r="F661" t="s">
        <v>32</v>
      </c>
      <c r="G661" t="s">
        <v>18</v>
      </c>
      <c r="H661" s="8">
        <v>42148</v>
      </c>
      <c r="I661">
        <v>66329.8</v>
      </c>
      <c r="K661" s="8"/>
    </row>
    <row r="662" spans="1:11">
      <c r="A662">
        <v>200000661</v>
      </c>
      <c r="B662" t="s">
        <v>70</v>
      </c>
      <c r="C662" t="s">
        <v>270</v>
      </c>
      <c r="D662" t="s">
        <v>11</v>
      </c>
      <c r="E662" s="9">
        <v>51</v>
      </c>
      <c r="F662" t="s">
        <v>32</v>
      </c>
      <c r="G662" t="s">
        <v>18</v>
      </c>
      <c r="H662" s="7">
        <v>42148</v>
      </c>
      <c r="I662">
        <v>25861.3</v>
      </c>
      <c r="K662" s="7"/>
    </row>
    <row r="663" spans="1:11">
      <c r="A663">
        <v>200000662</v>
      </c>
      <c r="B663" t="s">
        <v>21</v>
      </c>
      <c r="C663" t="s">
        <v>272</v>
      </c>
      <c r="D663" t="s">
        <v>11</v>
      </c>
      <c r="E663" s="9">
        <v>48</v>
      </c>
      <c r="F663" t="s">
        <v>32</v>
      </c>
      <c r="G663" t="s">
        <v>18</v>
      </c>
      <c r="H663" s="8">
        <v>42148</v>
      </c>
      <c r="I663">
        <v>29501.46</v>
      </c>
      <c r="K663" s="8"/>
    </row>
    <row r="664" spans="1:11">
      <c r="A664">
        <v>200000663</v>
      </c>
      <c r="B664" t="s">
        <v>303</v>
      </c>
      <c r="C664" t="s">
        <v>281</v>
      </c>
      <c r="D664" t="s">
        <v>11</v>
      </c>
      <c r="E664" s="9">
        <v>52</v>
      </c>
      <c r="F664" t="s">
        <v>32</v>
      </c>
      <c r="G664" t="s">
        <v>33</v>
      </c>
      <c r="H664" s="7">
        <v>42148</v>
      </c>
      <c r="I664">
        <v>58470.37</v>
      </c>
      <c r="K664" s="7"/>
    </row>
    <row r="665" spans="1:11">
      <c r="A665">
        <v>200000664</v>
      </c>
      <c r="B665" t="s">
        <v>188</v>
      </c>
      <c r="C665" t="s">
        <v>285</v>
      </c>
      <c r="D665" t="s">
        <v>11</v>
      </c>
      <c r="E665" s="9">
        <v>38</v>
      </c>
      <c r="F665" t="s">
        <v>32</v>
      </c>
      <c r="G665" t="s">
        <v>13</v>
      </c>
      <c r="H665" s="8">
        <v>42148</v>
      </c>
      <c r="I665">
        <v>39702.17</v>
      </c>
      <c r="K665" s="8"/>
    </row>
    <row r="666" spans="1:11">
      <c r="A666">
        <v>200000665</v>
      </c>
      <c r="B666" t="s">
        <v>90</v>
      </c>
      <c r="C666" t="s">
        <v>247</v>
      </c>
      <c r="D666" t="s">
        <v>11</v>
      </c>
      <c r="E666" s="9">
        <v>48</v>
      </c>
      <c r="F666" t="s">
        <v>32</v>
      </c>
      <c r="G666" t="s">
        <v>33</v>
      </c>
      <c r="H666" s="7">
        <v>42148</v>
      </c>
      <c r="I666">
        <v>19419.68</v>
      </c>
      <c r="K666" s="7"/>
    </row>
    <row r="667" spans="1:11">
      <c r="A667">
        <v>300000666</v>
      </c>
      <c r="B667" t="s">
        <v>245</v>
      </c>
      <c r="C667" t="s">
        <v>155</v>
      </c>
      <c r="D667" t="s">
        <v>11</v>
      </c>
      <c r="E667" s="9">
        <v>35</v>
      </c>
      <c r="F667" t="s">
        <v>23</v>
      </c>
      <c r="G667" t="s">
        <v>18</v>
      </c>
      <c r="H667" s="8">
        <v>42148</v>
      </c>
      <c r="I667">
        <v>38041.18</v>
      </c>
      <c r="K667" s="8"/>
    </row>
    <row r="668" spans="1:11">
      <c r="A668">
        <v>300000667</v>
      </c>
      <c r="B668" t="s">
        <v>64</v>
      </c>
      <c r="C668" t="s">
        <v>233</v>
      </c>
      <c r="D668" t="s">
        <v>11</v>
      </c>
      <c r="E668" s="9">
        <v>35</v>
      </c>
      <c r="F668" t="s">
        <v>23</v>
      </c>
      <c r="G668" t="s">
        <v>13</v>
      </c>
      <c r="H668" s="7">
        <v>42148</v>
      </c>
      <c r="I668">
        <v>83727.16</v>
      </c>
      <c r="K668" s="7"/>
    </row>
    <row r="669" spans="1:11">
      <c r="A669">
        <v>300000668</v>
      </c>
      <c r="B669" t="s">
        <v>217</v>
      </c>
      <c r="C669" t="s">
        <v>104</v>
      </c>
      <c r="D669" t="s">
        <v>11</v>
      </c>
      <c r="E669" s="9">
        <v>33</v>
      </c>
      <c r="F669" t="s">
        <v>23</v>
      </c>
      <c r="G669" t="s">
        <v>13</v>
      </c>
      <c r="H669" s="8">
        <v>42148</v>
      </c>
      <c r="I669">
        <v>42548.69</v>
      </c>
      <c r="K669" s="8"/>
    </row>
    <row r="670" spans="1:11">
      <c r="A670">
        <v>200000669</v>
      </c>
      <c r="B670" t="s">
        <v>79</v>
      </c>
      <c r="C670" t="s">
        <v>242</v>
      </c>
      <c r="D670" t="s">
        <v>11</v>
      </c>
      <c r="E670" s="9">
        <v>52</v>
      </c>
      <c r="F670" t="s">
        <v>32</v>
      </c>
      <c r="G670" t="s">
        <v>18</v>
      </c>
      <c r="H670" s="7">
        <v>42149</v>
      </c>
      <c r="I670">
        <v>83902.83</v>
      </c>
      <c r="K670" s="7"/>
    </row>
    <row r="671" spans="1:11">
      <c r="A671">
        <v>200000670</v>
      </c>
      <c r="B671" t="s">
        <v>64</v>
      </c>
      <c r="C671" t="s">
        <v>286</v>
      </c>
      <c r="D671" t="s">
        <v>11</v>
      </c>
      <c r="E671" s="9">
        <v>42</v>
      </c>
      <c r="F671" t="s">
        <v>32</v>
      </c>
      <c r="G671" t="s">
        <v>18</v>
      </c>
      <c r="H671" s="8">
        <v>42149</v>
      </c>
      <c r="I671">
        <v>65655.360000000001</v>
      </c>
      <c r="K671" s="8"/>
    </row>
    <row r="672" spans="1:11">
      <c r="A672">
        <v>200000671</v>
      </c>
      <c r="B672" t="s">
        <v>99</v>
      </c>
      <c r="C672" t="s">
        <v>216</v>
      </c>
      <c r="D672" t="s">
        <v>16</v>
      </c>
      <c r="E672" s="9">
        <v>61</v>
      </c>
      <c r="F672" t="s">
        <v>32</v>
      </c>
      <c r="G672" t="s">
        <v>33</v>
      </c>
      <c r="H672" s="7">
        <v>42149</v>
      </c>
      <c r="I672">
        <v>8367.59</v>
      </c>
      <c r="K672" s="7"/>
    </row>
    <row r="673" spans="1:11">
      <c r="A673">
        <v>200000672</v>
      </c>
      <c r="B673" t="s">
        <v>53</v>
      </c>
      <c r="C673" t="s">
        <v>52</v>
      </c>
      <c r="D673" t="s">
        <v>16</v>
      </c>
      <c r="E673" s="9">
        <v>59</v>
      </c>
      <c r="F673" t="s">
        <v>32</v>
      </c>
      <c r="G673" t="s">
        <v>33</v>
      </c>
      <c r="H673" s="8">
        <v>42149</v>
      </c>
      <c r="I673">
        <v>24075.18</v>
      </c>
      <c r="K673" s="8"/>
    </row>
    <row r="674" spans="1:11">
      <c r="A674">
        <v>200000673</v>
      </c>
      <c r="B674" t="s">
        <v>107</v>
      </c>
      <c r="C674" t="s">
        <v>82</v>
      </c>
      <c r="D674" t="s">
        <v>11</v>
      </c>
      <c r="E674" s="9">
        <v>53</v>
      </c>
      <c r="F674" t="s">
        <v>32</v>
      </c>
      <c r="G674" t="s">
        <v>33</v>
      </c>
      <c r="H674" s="7">
        <v>42149</v>
      </c>
      <c r="I674">
        <v>71478.63</v>
      </c>
      <c r="K674" s="7"/>
    </row>
    <row r="675" spans="1:11">
      <c r="A675">
        <v>200000674</v>
      </c>
      <c r="B675" t="s">
        <v>51</v>
      </c>
      <c r="C675" t="s">
        <v>183</v>
      </c>
      <c r="D675" t="s">
        <v>11</v>
      </c>
      <c r="E675" s="9">
        <v>55</v>
      </c>
      <c r="F675" t="s">
        <v>32</v>
      </c>
      <c r="G675" t="s">
        <v>18</v>
      </c>
      <c r="H675" s="8">
        <v>42149</v>
      </c>
      <c r="I675">
        <v>32611.26</v>
      </c>
      <c r="K675" s="8"/>
    </row>
    <row r="676" spans="1:11">
      <c r="A676">
        <v>300000675</v>
      </c>
      <c r="B676" t="s">
        <v>147</v>
      </c>
      <c r="C676" t="s">
        <v>157</v>
      </c>
      <c r="D676" t="s">
        <v>11</v>
      </c>
      <c r="E676" s="9">
        <v>26</v>
      </c>
      <c r="F676" t="s">
        <v>23</v>
      </c>
      <c r="G676" t="s">
        <v>18</v>
      </c>
      <c r="H676" s="7">
        <v>42149</v>
      </c>
      <c r="I676">
        <v>11076.52</v>
      </c>
      <c r="K676" s="7"/>
    </row>
    <row r="677" spans="1:11">
      <c r="A677">
        <v>400000676</v>
      </c>
      <c r="B677" t="s">
        <v>184</v>
      </c>
      <c r="C677" t="s">
        <v>98</v>
      </c>
      <c r="D677" t="s">
        <v>16</v>
      </c>
      <c r="E677" s="9">
        <v>22</v>
      </c>
      <c r="F677" t="s">
        <v>17</v>
      </c>
      <c r="G677" t="s">
        <v>33</v>
      </c>
      <c r="H677" s="8">
        <v>42149</v>
      </c>
      <c r="I677">
        <v>30117.88</v>
      </c>
      <c r="K677" s="8"/>
    </row>
    <row r="678" spans="1:11">
      <c r="A678">
        <v>100000677</v>
      </c>
      <c r="B678" t="s">
        <v>36</v>
      </c>
      <c r="C678" t="s">
        <v>252</v>
      </c>
      <c r="D678" t="s">
        <v>11</v>
      </c>
      <c r="E678" s="9">
        <v>41</v>
      </c>
      <c r="F678" t="s">
        <v>12</v>
      </c>
      <c r="G678" t="s">
        <v>13</v>
      </c>
      <c r="H678" s="7">
        <v>42150</v>
      </c>
      <c r="I678">
        <v>24558.98</v>
      </c>
      <c r="K678" s="7"/>
    </row>
    <row r="679" spans="1:11">
      <c r="A679">
        <v>100000678</v>
      </c>
      <c r="B679" t="s">
        <v>317</v>
      </c>
      <c r="C679" t="s">
        <v>29</v>
      </c>
      <c r="D679" t="s">
        <v>16</v>
      </c>
      <c r="E679" s="9">
        <v>25</v>
      </c>
      <c r="F679" t="s">
        <v>12</v>
      </c>
      <c r="G679" t="s">
        <v>13</v>
      </c>
      <c r="H679" s="8">
        <v>42150</v>
      </c>
      <c r="I679">
        <v>926.29</v>
      </c>
      <c r="K679" s="8"/>
    </row>
    <row r="680" spans="1:11">
      <c r="A680">
        <v>100000679</v>
      </c>
      <c r="B680" t="s">
        <v>83</v>
      </c>
      <c r="C680" t="s">
        <v>279</v>
      </c>
      <c r="D680" t="s">
        <v>16</v>
      </c>
      <c r="E680" s="9">
        <v>29</v>
      </c>
      <c r="F680" t="s">
        <v>12</v>
      </c>
      <c r="G680" t="s">
        <v>13</v>
      </c>
      <c r="H680" s="7">
        <v>42150</v>
      </c>
      <c r="I680">
        <v>15392.76</v>
      </c>
      <c r="K680" s="7"/>
    </row>
    <row r="681" spans="1:11">
      <c r="A681">
        <v>100000680</v>
      </c>
      <c r="B681" t="s">
        <v>34</v>
      </c>
      <c r="C681" t="s">
        <v>189</v>
      </c>
      <c r="D681" t="s">
        <v>16</v>
      </c>
      <c r="E681" s="9">
        <v>40</v>
      </c>
      <c r="F681" t="s">
        <v>12</v>
      </c>
      <c r="G681" t="s">
        <v>18</v>
      </c>
      <c r="H681" s="8">
        <v>42150</v>
      </c>
      <c r="I681">
        <v>76093.119999999995</v>
      </c>
      <c r="K681" s="8"/>
    </row>
    <row r="682" spans="1:11">
      <c r="A682">
        <v>200000681</v>
      </c>
      <c r="B682" t="s">
        <v>120</v>
      </c>
      <c r="C682" t="s">
        <v>258</v>
      </c>
      <c r="D682" t="s">
        <v>16</v>
      </c>
      <c r="E682" s="9">
        <v>52</v>
      </c>
      <c r="F682" t="s">
        <v>32</v>
      </c>
      <c r="G682" t="s">
        <v>33</v>
      </c>
      <c r="H682" s="7">
        <v>42150</v>
      </c>
      <c r="I682">
        <v>17999.169999999998</v>
      </c>
      <c r="K682" s="7"/>
    </row>
    <row r="683" spans="1:11">
      <c r="A683">
        <v>200000682</v>
      </c>
      <c r="B683" t="s">
        <v>129</v>
      </c>
      <c r="C683" t="s">
        <v>178</v>
      </c>
      <c r="D683" t="s">
        <v>11</v>
      </c>
      <c r="E683" s="9">
        <v>37</v>
      </c>
      <c r="F683" t="s">
        <v>32</v>
      </c>
      <c r="G683" t="s">
        <v>33</v>
      </c>
      <c r="H683" s="8">
        <v>42150</v>
      </c>
      <c r="I683">
        <v>66522.710000000006</v>
      </c>
      <c r="K683" s="8"/>
    </row>
    <row r="684" spans="1:11">
      <c r="A684">
        <v>200000683</v>
      </c>
      <c r="B684" t="s">
        <v>111</v>
      </c>
      <c r="C684" t="s">
        <v>209</v>
      </c>
      <c r="D684" t="s">
        <v>11</v>
      </c>
      <c r="E684" s="9">
        <v>60</v>
      </c>
      <c r="F684" t="s">
        <v>32</v>
      </c>
      <c r="G684" t="s">
        <v>18</v>
      </c>
      <c r="H684" s="7">
        <v>42150</v>
      </c>
      <c r="I684">
        <v>13764.72</v>
      </c>
      <c r="K684" s="7"/>
    </row>
    <row r="685" spans="1:11">
      <c r="A685">
        <v>200000684</v>
      </c>
      <c r="B685" t="s">
        <v>303</v>
      </c>
      <c r="C685" t="s">
        <v>290</v>
      </c>
      <c r="D685" t="s">
        <v>11</v>
      </c>
      <c r="E685" s="9">
        <v>23</v>
      </c>
      <c r="F685" t="s">
        <v>32</v>
      </c>
      <c r="G685" t="s">
        <v>18</v>
      </c>
      <c r="H685" s="8">
        <v>42150</v>
      </c>
      <c r="I685">
        <v>57918.09</v>
      </c>
      <c r="K685" s="8"/>
    </row>
    <row r="686" spans="1:11">
      <c r="A686">
        <v>300000685</v>
      </c>
      <c r="B686" t="s">
        <v>323</v>
      </c>
      <c r="C686" t="s">
        <v>170</v>
      </c>
      <c r="D686" t="s">
        <v>16</v>
      </c>
      <c r="E686" s="9">
        <v>42</v>
      </c>
      <c r="F686" t="s">
        <v>23</v>
      </c>
      <c r="G686" t="s">
        <v>18</v>
      </c>
      <c r="H686" s="7">
        <v>42150</v>
      </c>
      <c r="I686">
        <v>30630.240000000002</v>
      </c>
      <c r="K686" s="7"/>
    </row>
    <row r="687" spans="1:11">
      <c r="A687">
        <v>300000686</v>
      </c>
      <c r="B687" t="s">
        <v>169</v>
      </c>
      <c r="C687" t="s">
        <v>108</v>
      </c>
      <c r="D687" t="s">
        <v>11</v>
      </c>
      <c r="E687" s="9">
        <v>34</v>
      </c>
      <c r="F687" t="s">
        <v>23</v>
      </c>
      <c r="G687" t="s">
        <v>18</v>
      </c>
      <c r="H687" s="8">
        <v>42150</v>
      </c>
      <c r="I687">
        <v>84898.38</v>
      </c>
      <c r="K687" s="8"/>
    </row>
    <row r="688" spans="1:11">
      <c r="A688">
        <v>300000687</v>
      </c>
      <c r="B688" t="s">
        <v>175</v>
      </c>
      <c r="C688" t="s">
        <v>241</v>
      </c>
      <c r="D688" t="s">
        <v>11</v>
      </c>
      <c r="E688" s="9">
        <v>36</v>
      </c>
      <c r="F688" t="s">
        <v>23</v>
      </c>
      <c r="G688" t="s">
        <v>33</v>
      </c>
      <c r="H688" s="7">
        <v>42150</v>
      </c>
      <c r="I688">
        <v>401.13</v>
      </c>
      <c r="K688" s="7"/>
    </row>
    <row r="689" spans="1:11">
      <c r="A689">
        <v>300000688</v>
      </c>
      <c r="B689" t="s">
        <v>229</v>
      </c>
      <c r="C689" t="s">
        <v>123</v>
      </c>
      <c r="D689" t="s">
        <v>16</v>
      </c>
      <c r="E689" s="9">
        <v>33</v>
      </c>
      <c r="F689" t="s">
        <v>23</v>
      </c>
      <c r="G689" t="s">
        <v>13</v>
      </c>
      <c r="H689" s="8">
        <v>42150</v>
      </c>
      <c r="I689">
        <v>35636.26</v>
      </c>
      <c r="K689" s="8"/>
    </row>
    <row r="690" spans="1:11">
      <c r="A690">
        <v>300000689</v>
      </c>
      <c r="B690" t="s">
        <v>76</v>
      </c>
      <c r="C690" t="s">
        <v>306</v>
      </c>
      <c r="D690" t="s">
        <v>11</v>
      </c>
      <c r="E690" s="9">
        <v>33</v>
      </c>
      <c r="F690" t="s">
        <v>23</v>
      </c>
      <c r="G690" t="s">
        <v>13</v>
      </c>
      <c r="H690" s="7">
        <v>42150</v>
      </c>
      <c r="I690">
        <v>31308.46</v>
      </c>
      <c r="K690" s="7"/>
    </row>
    <row r="691" spans="1:11">
      <c r="A691">
        <v>400000690</v>
      </c>
      <c r="B691" t="s">
        <v>119</v>
      </c>
      <c r="C691" t="s">
        <v>292</v>
      </c>
      <c r="D691" t="s">
        <v>16</v>
      </c>
      <c r="E691" s="9">
        <v>42</v>
      </c>
      <c r="F691" t="s">
        <v>17</v>
      </c>
      <c r="G691" t="s">
        <v>33</v>
      </c>
      <c r="H691" s="8">
        <v>42150</v>
      </c>
      <c r="I691">
        <v>96028.9</v>
      </c>
      <c r="K691" s="8"/>
    </row>
    <row r="692" spans="1:11">
      <c r="A692">
        <v>400000691</v>
      </c>
      <c r="B692" t="s">
        <v>186</v>
      </c>
      <c r="C692" t="s">
        <v>266</v>
      </c>
      <c r="D692" t="s">
        <v>11</v>
      </c>
      <c r="E692" s="9">
        <v>18</v>
      </c>
      <c r="F692" t="s">
        <v>17</v>
      </c>
      <c r="G692" t="s">
        <v>13</v>
      </c>
      <c r="H692" s="7">
        <v>42150</v>
      </c>
      <c r="I692">
        <v>38879.769999999997</v>
      </c>
      <c r="K692" s="7"/>
    </row>
    <row r="693" spans="1:11">
      <c r="A693">
        <v>400000692</v>
      </c>
      <c r="B693" t="s">
        <v>128</v>
      </c>
      <c r="C693" t="s">
        <v>257</v>
      </c>
      <c r="D693" t="s">
        <v>16</v>
      </c>
      <c r="E693" s="9">
        <v>34</v>
      </c>
      <c r="F693" t="s">
        <v>17</v>
      </c>
      <c r="G693" t="s">
        <v>33</v>
      </c>
      <c r="H693" s="8">
        <v>42150</v>
      </c>
      <c r="I693">
        <v>121806.79</v>
      </c>
      <c r="K693" s="8"/>
    </row>
    <row r="694" spans="1:11">
      <c r="A694">
        <v>100000693</v>
      </c>
      <c r="B694" t="s">
        <v>118</v>
      </c>
      <c r="C694" t="s">
        <v>227</v>
      </c>
      <c r="D694" t="s">
        <v>11</v>
      </c>
      <c r="E694" s="9">
        <v>32</v>
      </c>
      <c r="F694" t="s">
        <v>12</v>
      </c>
      <c r="G694" t="s">
        <v>13</v>
      </c>
      <c r="H694" s="7">
        <v>42151</v>
      </c>
      <c r="I694">
        <v>10926.7</v>
      </c>
      <c r="K694" s="7"/>
    </row>
    <row r="695" spans="1:11">
      <c r="A695">
        <v>100000694</v>
      </c>
      <c r="B695" t="s">
        <v>133</v>
      </c>
      <c r="C695" t="s">
        <v>107</v>
      </c>
      <c r="D695" t="s">
        <v>11</v>
      </c>
      <c r="E695" s="9">
        <v>29</v>
      </c>
      <c r="F695" t="s">
        <v>12</v>
      </c>
      <c r="G695" t="s">
        <v>13</v>
      </c>
      <c r="H695" s="8">
        <v>42151</v>
      </c>
      <c r="I695">
        <v>20969.32</v>
      </c>
      <c r="K695" s="8"/>
    </row>
    <row r="696" spans="1:11">
      <c r="A696">
        <v>100000695</v>
      </c>
      <c r="B696" t="s">
        <v>226</v>
      </c>
      <c r="C696" t="s">
        <v>155</v>
      </c>
      <c r="D696" t="s">
        <v>16</v>
      </c>
      <c r="E696" s="9">
        <v>45</v>
      </c>
      <c r="F696" t="s">
        <v>12</v>
      </c>
      <c r="G696" t="s">
        <v>13</v>
      </c>
      <c r="H696" s="7">
        <v>42151</v>
      </c>
      <c r="I696">
        <v>79000.320000000007</v>
      </c>
      <c r="K696" s="7"/>
    </row>
    <row r="697" spans="1:11">
      <c r="A697">
        <v>200000696</v>
      </c>
      <c r="B697" t="s">
        <v>38</v>
      </c>
      <c r="C697" t="s">
        <v>103</v>
      </c>
      <c r="D697" t="s">
        <v>11</v>
      </c>
      <c r="E697" s="9">
        <v>44</v>
      </c>
      <c r="F697" t="s">
        <v>32</v>
      </c>
      <c r="G697" t="s">
        <v>33</v>
      </c>
      <c r="H697" s="8">
        <v>42151</v>
      </c>
      <c r="I697">
        <v>30742.33</v>
      </c>
      <c r="K697" s="8"/>
    </row>
    <row r="698" spans="1:11">
      <c r="A698">
        <v>200000697</v>
      </c>
      <c r="B698" t="s">
        <v>143</v>
      </c>
      <c r="C698" t="s">
        <v>195</v>
      </c>
      <c r="D698" t="s">
        <v>11</v>
      </c>
      <c r="E698" s="9">
        <v>45</v>
      </c>
      <c r="F698" t="s">
        <v>32</v>
      </c>
      <c r="G698" t="s">
        <v>33</v>
      </c>
      <c r="H698" s="7">
        <v>42151</v>
      </c>
      <c r="I698">
        <v>74230.679999999993</v>
      </c>
      <c r="K698" s="7"/>
    </row>
    <row r="699" spans="1:11">
      <c r="A699">
        <v>200000698</v>
      </c>
      <c r="B699" t="s">
        <v>186</v>
      </c>
      <c r="C699" t="s">
        <v>124</v>
      </c>
      <c r="D699" t="s">
        <v>11</v>
      </c>
      <c r="E699" s="9">
        <v>45</v>
      </c>
      <c r="F699" t="s">
        <v>32</v>
      </c>
      <c r="G699" t="s">
        <v>18</v>
      </c>
      <c r="H699" s="8">
        <v>42151</v>
      </c>
      <c r="I699">
        <v>53086.19</v>
      </c>
      <c r="K699" s="8"/>
    </row>
    <row r="700" spans="1:11">
      <c r="A700">
        <v>200000699</v>
      </c>
      <c r="B700" t="s">
        <v>57</v>
      </c>
      <c r="C700" t="s">
        <v>107</v>
      </c>
      <c r="D700" t="s">
        <v>11</v>
      </c>
      <c r="E700" s="9">
        <v>60</v>
      </c>
      <c r="F700" t="s">
        <v>32</v>
      </c>
      <c r="G700" t="s">
        <v>33</v>
      </c>
      <c r="H700" s="7">
        <v>42151</v>
      </c>
      <c r="I700">
        <v>49081.5</v>
      </c>
      <c r="K700" s="7"/>
    </row>
    <row r="701" spans="1:11">
      <c r="A701">
        <v>200000700</v>
      </c>
      <c r="B701" t="s">
        <v>204</v>
      </c>
      <c r="C701" t="s">
        <v>100</v>
      </c>
      <c r="D701" t="s">
        <v>11</v>
      </c>
      <c r="E701" s="9">
        <v>58</v>
      </c>
      <c r="F701" t="s">
        <v>32</v>
      </c>
      <c r="G701" t="s">
        <v>18</v>
      </c>
      <c r="H701" s="8">
        <v>42151</v>
      </c>
      <c r="I701">
        <v>61365.17</v>
      </c>
      <c r="K701" s="8"/>
    </row>
    <row r="702" spans="1:11">
      <c r="A702">
        <v>200000701</v>
      </c>
      <c r="B702" t="s">
        <v>159</v>
      </c>
      <c r="C702" t="s">
        <v>80</v>
      </c>
      <c r="D702" t="s">
        <v>11</v>
      </c>
      <c r="E702" s="9">
        <v>48</v>
      </c>
      <c r="F702" t="s">
        <v>32</v>
      </c>
      <c r="G702" t="s">
        <v>33</v>
      </c>
      <c r="H702" s="7">
        <v>42151</v>
      </c>
      <c r="I702">
        <v>17261.5</v>
      </c>
      <c r="K702" s="7"/>
    </row>
    <row r="703" spans="1:11">
      <c r="A703">
        <v>300000702</v>
      </c>
      <c r="B703" t="s">
        <v>92</v>
      </c>
      <c r="C703" t="s">
        <v>240</v>
      </c>
      <c r="D703" t="s">
        <v>16</v>
      </c>
      <c r="E703" s="9">
        <v>31</v>
      </c>
      <c r="F703" t="s">
        <v>23</v>
      </c>
      <c r="G703" t="s">
        <v>13</v>
      </c>
      <c r="H703" s="8">
        <v>42151</v>
      </c>
      <c r="I703">
        <v>56873.89</v>
      </c>
      <c r="K703" s="8"/>
    </row>
    <row r="704" spans="1:11">
      <c r="A704">
        <v>300000703</v>
      </c>
      <c r="B704" t="s">
        <v>168</v>
      </c>
      <c r="C704" t="s">
        <v>285</v>
      </c>
      <c r="D704" t="s">
        <v>16</v>
      </c>
      <c r="E704" s="9">
        <v>34</v>
      </c>
      <c r="F704" t="s">
        <v>23</v>
      </c>
      <c r="G704" t="s">
        <v>13</v>
      </c>
      <c r="H704" s="7">
        <v>42151</v>
      </c>
      <c r="I704">
        <v>24796.57</v>
      </c>
      <c r="K704" s="7"/>
    </row>
    <row r="705" spans="1:11">
      <c r="A705">
        <v>300000704</v>
      </c>
      <c r="B705" t="s">
        <v>119</v>
      </c>
      <c r="C705" t="s">
        <v>87</v>
      </c>
      <c r="D705" t="s">
        <v>16</v>
      </c>
      <c r="E705" s="9">
        <v>40</v>
      </c>
      <c r="F705" t="s">
        <v>23</v>
      </c>
      <c r="G705" t="s">
        <v>13</v>
      </c>
      <c r="H705" s="8">
        <v>42151</v>
      </c>
      <c r="I705">
        <v>22691.31</v>
      </c>
      <c r="K705" s="8"/>
    </row>
    <row r="706" spans="1:11">
      <c r="A706">
        <v>300000705</v>
      </c>
      <c r="B706" t="s">
        <v>159</v>
      </c>
      <c r="C706" t="s">
        <v>27</v>
      </c>
      <c r="D706" t="s">
        <v>11</v>
      </c>
      <c r="E706" s="9">
        <v>34</v>
      </c>
      <c r="F706" t="s">
        <v>23</v>
      </c>
      <c r="G706" t="s">
        <v>13</v>
      </c>
      <c r="H706" s="7">
        <v>42151</v>
      </c>
      <c r="I706">
        <v>20385.54</v>
      </c>
      <c r="K706" s="7"/>
    </row>
    <row r="707" spans="1:11">
      <c r="A707">
        <v>400000706</v>
      </c>
      <c r="B707" t="s">
        <v>50</v>
      </c>
      <c r="C707" t="s">
        <v>125</v>
      </c>
      <c r="D707" t="s">
        <v>16</v>
      </c>
      <c r="E707" s="9">
        <v>28</v>
      </c>
      <c r="F707" t="s">
        <v>17</v>
      </c>
      <c r="G707" t="s">
        <v>13</v>
      </c>
      <c r="H707" s="8">
        <v>42151</v>
      </c>
      <c r="I707">
        <v>34535.68</v>
      </c>
      <c r="K707" s="8"/>
    </row>
    <row r="708" spans="1:11">
      <c r="A708">
        <v>100000707</v>
      </c>
      <c r="B708" t="s">
        <v>137</v>
      </c>
      <c r="C708" t="s">
        <v>260</v>
      </c>
      <c r="D708" t="s">
        <v>11</v>
      </c>
      <c r="E708" s="9">
        <v>29</v>
      </c>
      <c r="F708" t="s">
        <v>12</v>
      </c>
      <c r="G708" t="s">
        <v>13</v>
      </c>
      <c r="H708" s="7">
        <v>42152</v>
      </c>
      <c r="I708">
        <v>74862.98</v>
      </c>
      <c r="K708" s="7"/>
    </row>
    <row r="709" spans="1:11">
      <c r="A709">
        <v>100000708</v>
      </c>
      <c r="B709" t="s">
        <v>308</v>
      </c>
      <c r="C709" t="s">
        <v>127</v>
      </c>
      <c r="D709" t="s">
        <v>16</v>
      </c>
      <c r="E709" s="9">
        <v>32</v>
      </c>
      <c r="F709" t="s">
        <v>12</v>
      </c>
      <c r="G709" t="s">
        <v>13</v>
      </c>
      <c r="H709" s="8">
        <v>42152</v>
      </c>
      <c r="I709">
        <v>76517.17</v>
      </c>
      <c r="K709" s="8"/>
    </row>
    <row r="710" spans="1:11">
      <c r="A710">
        <v>100000709</v>
      </c>
      <c r="B710" t="s">
        <v>126</v>
      </c>
      <c r="C710" t="s">
        <v>43</v>
      </c>
      <c r="D710" t="s">
        <v>16</v>
      </c>
      <c r="E710" s="9">
        <v>38</v>
      </c>
      <c r="F710" t="s">
        <v>12</v>
      </c>
      <c r="G710" t="s">
        <v>13</v>
      </c>
      <c r="H710" s="7">
        <v>42152</v>
      </c>
      <c r="I710">
        <v>18169.189999999999</v>
      </c>
      <c r="K710" s="7"/>
    </row>
    <row r="711" spans="1:11">
      <c r="A711">
        <v>100000710</v>
      </c>
      <c r="B711" t="s">
        <v>304</v>
      </c>
      <c r="C711" t="s">
        <v>203</v>
      </c>
      <c r="D711" t="s">
        <v>16</v>
      </c>
      <c r="E711" s="9">
        <v>39</v>
      </c>
      <c r="F711" t="s">
        <v>12</v>
      </c>
      <c r="G711" t="s">
        <v>13</v>
      </c>
      <c r="H711" s="8">
        <v>42152</v>
      </c>
      <c r="I711">
        <v>52102.28</v>
      </c>
      <c r="K711" s="8"/>
    </row>
    <row r="712" spans="1:11">
      <c r="A712">
        <v>200000711</v>
      </c>
      <c r="B712" t="s">
        <v>115</v>
      </c>
      <c r="C712" t="s">
        <v>272</v>
      </c>
      <c r="D712" t="s">
        <v>16</v>
      </c>
      <c r="E712" s="9">
        <v>53</v>
      </c>
      <c r="F712" t="s">
        <v>32</v>
      </c>
      <c r="G712" t="s">
        <v>33</v>
      </c>
      <c r="H712" s="7">
        <v>42152</v>
      </c>
      <c r="I712">
        <v>82160.5</v>
      </c>
      <c r="K712" s="7"/>
    </row>
    <row r="713" spans="1:11">
      <c r="A713">
        <v>200000712</v>
      </c>
      <c r="B713" t="s">
        <v>254</v>
      </c>
      <c r="C713" t="s">
        <v>130</v>
      </c>
      <c r="D713" t="s">
        <v>11</v>
      </c>
      <c r="E713" s="9">
        <v>54</v>
      </c>
      <c r="F713" t="s">
        <v>32</v>
      </c>
      <c r="G713" t="s">
        <v>18</v>
      </c>
      <c r="H713" s="8">
        <v>42152</v>
      </c>
      <c r="I713">
        <v>87050.11</v>
      </c>
      <c r="K713" s="8"/>
    </row>
    <row r="714" spans="1:11">
      <c r="A714">
        <v>200000713</v>
      </c>
      <c r="B714" t="s">
        <v>19</v>
      </c>
      <c r="C714" t="s">
        <v>225</v>
      </c>
      <c r="D714" t="s">
        <v>11</v>
      </c>
      <c r="E714" s="9">
        <v>54</v>
      </c>
      <c r="F714" t="s">
        <v>32</v>
      </c>
      <c r="G714" t="s">
        <v>18</v>
      </c>
      <c r="H714" s="7">
        <v>42152</v>
      </c>
      <c r="I714">
        <v>55163.34</v>
      </c>
      <c r="K714" s="7"/>
    </row>
    <row r="715" spans="1:11">
      <c r="A715">
        <v>200000714</v>
      </c>
      <c r="B715" t="s">
        <v>173</v>
      </c>
      <c r="C715" t="s">
        <v>289</v>
      </c>
      <c r="D715" t="s">
        <v>11</v>
      </c>
      <c r="E715" s="9">
        <v>45</v>
      </c>
      <c r="F715" t="s">
        <v>32</v>
      </c>
      <c r="G715" t="s">
        <v>33</v>
      </c>
      <c r="H715" s="8">
        <v>42152</v>
      </c>
      <c r="I715">
        <v>15444.28</v>
      </c>
      <c r="K715" s="8"/>
    </row>
    <row r="716" spans="1:11">
      <c r="A716">
        <v>200000715</v>
      </c>
      <c r="B716" t="s">
        <v>296</v>
      </c>
      <c r="C716" t="s">
        <v>71</v>
      </c>
      <c r="D716" t="s">
        <v>11</v>
      </c>
      <c r="E716" s="9">
        <v>56</v>
      </c>
      <c r="F716" t="s">
        <v>32</v>
      </c>
      <c r="G716" t="s">
        <v>18</v>
      </c>
      <c r="H716" s="7">
        <v>42152</v>
      </c>
      <c r="I716">
        <v>20747.04</v>
      </c>
      <c r="K716" s="7"/>
    </row>
    <row r="717" spans="1:11">
      <c r="A717">
        <v>200000716</v>
      </c>
      <c r="B717" t="s">
        <v>249</v>
      </c>
      <c r="C717" t="s">
        <v>65</v>
      </c>
      <c r="D717" t="s">
        <v>16</v>
      </c>
      <c r="E717" s="9">
        <v>59</v>
      </c>
      <c r="F717" t="s">
        <v>32</v>
      </c>
      <c r="G717" t="s">
        <v>13</v>
      </c>
      <c r="H717" s="8">
        <v>42152</v>
      </c>
      <c r="I717">
        <v>44129.74</v>
      </c>
      <c r="K717" s="8"/>
    </row>
    <row r="718" spans="1:11">
      <c r="A718">
        <v>300000717</v>
      </c>
      <c r="B718" t="s">
        <v>319</v>
      </c>
      <c r="C718" t="s">
        <v>315</v>
      </c>
      <c r="D718" t="s">
        <v>16</v>
      </c>
      <c r="E718" s="9">
        <v>30</v>
      </c>
      <c r="F718" t="s">
        <v>23</v>
      </c>
      <c r="G718" t="s">
        <v>13</v>
      </c>
      <c r="H718" s="7">
        <v>42152</v>
      </c>
      <c r="I718">
        <v>16103.61</v>
      </c>
      <c r="K718" s="7"/>
    </row>
    <row r="719" spans="1:11">
      <c r="A719">
        <v>300000718</v>
      </c>
      <c r="B719" t="s">
        <v>311</v>
      </c>
      <c r="C719" t="s">
        <v>49</v>
      </c>
      <c r="D719" t="s">
        <v>11</v>
      </c>
      <c r="E719" s="9">
        <v>32</v>
      </c>
      <c r="F719" t="s">
        <v>23</v>
      </c>
      <c r="G719" t="s">
        <v>13</v>
      </c>
      <c r="H719" s="8">
        <v>42152</v>
      </c>
      <c r="I719">
        <v>37564.21</v>
      </c>
      <c r="K719" s="8"/>
    </row>
    <row r="720" spans="1:11">
      <c r="A720">
        <v>300000719</v>
      </c>
      <c r="B720" t="s">
        <v>296</v>
      </c>
      <c r="C720" t="s">
        <v>239</v>
      </c>
      <c r="D720" t="s">
        <v>11</v>
      </c>
      <c r="E720" s="9">
        <v>32</v>
      </c>
      <c r="F720" t="s">
        <v>23</v>
      </c>
      <c r="G720" t="s">
        <v>13</v>
      </c>
      <c r="H720" s="7">
        <v>42152</v>
      </c>
      <c r="I720">
        <v>88416.84</v>
      </c>
      <c r="K720" s="7"/>
    </row>
    <row r="721" spans="1:11">
      <c r="A721">
        <v>400000720</v>
      </c>
      <c r="B721" t="s">
        <v>51</v>
      </c>
      <c r="C721" t="s">
        <v>39</v>
      </c>
      <c r="D721" t="s">
        <v>11</v>
      </c>
      <c r="E721" s="9">
        <v>26</v>
      </c>
      <c r="F721" t="s">
        <v>17</v>
      </c>
      <c r="G721" t="s">
        <v>13</v>
      </c>
      <c r="H721" s="8">
        <v>42152</v>
      </c>
      <c r="I721">
        <v>988.73</v>
      </c>
      <c r="K721" s="8"/>
    </row>
    <row r="722" spans="1:11">
      <c r="A722">
        <v>400000721</v>
      </c>
      <c r="B722" t="s">
        <v>103</v>
      </c>
      <c r="C722" t="s">
        <v>132</v>
      </c>
      <c r="D722" t="s">
        <v>11</v>
      </c>
      <c r="E722" s="9">
        <v>33</v>
      </c>
      <c r="F722" t="s">
        <v>17</v>
      </c>
      <c r="G722" t="s">
        <v>13</v>
      </c>
      <c r="H722" s="7">
        <v>42152</v>
      </c>
      <c r="I722">
        <v>93525.03</v>
      </c>
      <c r="K722" s="7"/>
    </row>
    <row r="723" spans="1:11">
      <c r="A723">
        <v>100000722</v>
      </c>
      <c r="B723" t="s">
        <v>298</v>
      </c>
      <c r="C723" t="s">
        <v>178</v>
      </c>
      <c r="D723" t="s">
        <v>16</v>
      </c>
      <c r="E723" s="9">
        <v>36</v>
      </c>
      <c r="F723" t="s">
        <v>12</v>
      </c>
      <c r="G723" t="s">
        <v>13</v>
      </c>
      <c r="H723" s="8">
        <v>42153</v>
      </c>
      <c r="I723">
        <v>51542.67</v>
      </c>
      <c r="K723" s="8"/>
    </row>
    <row r="724" spans="1:11">
      <c r="A724">
        <v>100000723</v>
      </c>
      <c r="B724" t="s">
        <v>214</v>
      </c>
      <c r="C724" t="s">
        <v>35</v>
      </c>
      <c r="D724" t="s">
        <v>11</v>
      </c>
      <c r="E724" s="9">
        <v>43</v>
      </c>
      <c r="F724" t="s">
        <v>12</v>
      </c>
      <c r="G724" t="s">
        <v>13</v>
      </c>
      <c r="H724" s="7">
        <v>42153</v>
      </c>
      <c r="I724">
        <v>39923.4</v>
      </c>
      <c r="K724" s="7"/>
    </row>
    <row r="725" spans="1:11">
      <c r="A725">
        <v>100000724</v>
      </c>
      <c r="B725" t="s">
        <v>314</v>
      </c>
      <c r="C725" t="s">
        <v>152</v>
      </c>
      <c r="D725" t="s">
        <v>16</v>
      </c>
      <c r="E725" s="9">
        <v>41</v>
      </c>
      <c r="F725" t="s">
        <v>12</v>
      </c>
      <c r="G725" t="s">
        <v>13</v>
      </c>
      <c r="H725" s="8">
        <v>42153</v>
      </c>
      <c r="I725">
        <v>3786.28</v>
      </c>
      <c r="K725" s="8"/>
    </row>
    <row r="726" spans="1:11">
      <c r="A726">
        <v>200000725</v>
      </c>
      <c r="B726" t="s">
        <v>118</v>
      </c>
      <c r="C726" t="s">
        <v>257</v>
      </c>
      <c r="D726" t="s">
        <v>11</v>
      </c>
      <c r="E726" s="9">
        <v>59</v>
      </c>
      <c r="F726" t="s">
        <v>32</v>
      </c>
      <c r="G726" t="s">
        <v>18</v>
      </c>
      <c r="H726" s="7">
        <v>42153</v>
      </c>
      <c r="I726">
        <v>25916.21</v>
      </c>
      <c r="K726" s="7"/>
    </row>
    <row r="727" spans="1:11">
      <c r="A727">
        <v>200000726</v>
      </c>
      <c r="B727" t="s">
        <v>193</v>
      </c>
      <c r="C727" t="s">
        <v>78</v>
      </c>
      <c r="D727" t="s">
        <v>11</v>
      </c>
      <c r="E727" s="9">
        <v>43</v>
      </c>
      <c r="F727" t="s">
        <v>32</v>
      </c>
      <c r="G727" t="s">
        <v>33</v>
      </c>
      <c r="H727" s="8">
        <v>42153</v>
      </c>
      <c r="I727">
        <v>2362.16</v>
      </c>
      <c r="K727" s="8"/>
    </row>
    <row r="728" spans="1:11">
      <c r="A728">
        <v>200000727</v>
      </c>
      <c r="B728" t="s">
        <v>207</v>
      </c>
      <c r="C728" t="s">
        <v>281</v>
      </c>
      <c r="D728" t="s">
        <v>11</v>
      </c>
      <c r="E728" s="9">
        <v>53</v>
      </c>
      <c r="F728" t="s">
        <v>32</v>
      </c>
      <c r="G728" t="s">
        <v>33</v>
      </c>
      <c r="H728" s="7">
        <v>42153</v>
      </c>
      <c r="I728">
        <v>44740.65</v>
      </c>
      <c r="K728" s="7"/>
    </row>
    <row r="729" spans="1:11">
      <c r="A729">
        <v>200000728</v>
      </c>
      <c r="B729" t="s">
        <v>190</v>
      </c>
      <c r="C729" t="s">
        <v>140</v>
      </c>
      <c r="D729" t="s">
        <v>11</v>
      </c>
      <c r="E729" s="9">
        <v>63</v>
      </c>
      <c r="F729" t="s">
        <v>32</v>
      </c>
      <c r="G729" t="s">
        <v>33</v>
      </c>
      <c r="H729" s="8">
        <v>42153</v>
      </c>
      <c r="I729">
        <v>23026.639999999999</v>
      </c>
      <c r="K729" s="8"/>
    </row>
    <row r="730" spans="1:11">
      <c r="A730">
        <v>300000729</v>
      </c>
      <c r="B730" t="s">
        <v>103</v>
      </c>
      <c r="C730" t="s">
        <v>61</v>
      </c>
      <c r="D730" t="s">
        <v>11</v>
      </c>
      <c r="E730" s="9">
        <v>34</v>
      </c>
      <c r="F730" t="s">
        <v>23</v>
      </c>
      <c r="G730" t="s">
        <v>18</v>
      </c>
      <c r="H730" s="7">
        <v>42153</v>
      </c>
      <c r="I730">
        <v>61450.2</v>
      </c>
      <c r="K730" s="7"/>
    </row>
    <row r="731" spans="1:11">
      <c r="A731">
        <v>300000730</v>
      </c>
      <c r="B731" t="s">
        <v>166</v>
      </c>
      <c r="C731" t="s">
        <v>116</v>
      </c>
      <c r="D731" t="s">
        <v>16</v>
      </c>
      <c r="E731" s="9">
        <v>33</v>
      </c>
      <c r="F731" t="s">
        <v>23</v>
      </c>
      <c r="G731" t="s">
        <v>13</v>
      </c>
      <c r="H731" s="8">
        <v>42153</v>
      </c>
      <c r="I731">
        <v>83889.98</v>
      </c>
      <c r="K731" s="8"/>
    </row>
    <row r="732" spans="1:11">
      <c r="A732">
        <v>300000731</v>
      </c>
      <c r="B732" t="s">
        <v>76</v>
      </c>
      <c r="C732" t="s">
        <v>52</v>
      </c>
      <c r="D732" t="s">
        <v>11</v>
      </c>
      <c r="E732" s="9">
        <v>31</v>
      </c>
      <c r="F732" t="s">
        <v>23</v>
      </c>
      <c r="G732" t="s">
        <v>13</v>
      </c>
      <c r="H732" s="7">
        <v>42153</v>
      </c>
      <c r="I732">
        <v>63986.32</v>
      </c>
      <c r="K732" s="7"/>
    </row>
    <row r="733" spans="1:11">
      <c r="A733">
        <v>300000732</v>
      </c>
      <c r="B733" t="s">
        <v>159</v>
      </c>
      <c r="C733" t="s">
        <v>106</v>
      </c>
      <c r="D733" t="s">
        <v>11</v>
      </c>
      <c r="E733" s="9">
        <v>40</v>
      </c>
      <c r="F733" t="s">
        <v>23</v>
      </c>
      <c r="G733" t="s">
        <v>18</v>
      </c>
      <c r="H733" s="8">
        <v>42153</v>
      </c>
      <c r="I733">
        <v>19438.990000000002</v>
      </c>
      <c r="K733" s="8"/>
    </row>
    <row r="734" spans="1:11">
      <c r="A734">
        <v>300000733</v>
      </c>
      <c r="B734" t="s">
        <v>193</v>
      </c>
      <c r="C734" t="s">
        <v>151</v>
      </c>
      <c r="D734" t="s">
        <v>11</v>
      </c>
      <c r="E734" s="9">
        <v>47</v>
      </c>
      <c r="F734" t="s">
        <v>23</v>
      </c>
      <c r="G734" t="s">
        <v>18</v>
      </c>
      <c r="H734" s="7">
        <v>42153</v>
      </c>
      <c r="I734">
        <v>8395.4500000000007</v>
      </c>
      <c r="K734" s="7"/>
    </row>
    <row r="735" spans="1:11">
      <c r="A735">
        <v>300000734</v>
      </c>
      <c r="B735" t="s">
        <v>200</v>
      </c>
      <c r="C735" t="s">
        <v>246</v>
      </c>
      <c r="D735" t="s">
        <v>16</v>
      </c>
      <c r="E735" s="9">
        <v>45</v>
      </c>
      <c r="F735" t="s">
        <v>23</v>
      </c>
      <c r="G735" t="s">
        <v>13</v>
      </c>
      <c r="H735" s="8">
        <v>42153</v>
      </c>
      <c r="I735">
        <v>16542.71</v>
      </c>
      <c r="K735" s="8"/>
    </row>
    <row r="736" spans="1:11">
      <c r="A736">
        <v>300000735</v>
      </c>
      <c r="B736" t="s">
        <v>190</v>
      </c>
      <c r="C736" t="s">
        <v>291</v>
      </c>
      <c r="D736" t="s">
        <v>11</v>
      </c>
      <c r="E736" s="9">
        <v>28</v>
      </c>
      <c r="F736" t="s">
        <v>23</v>
      </c>
      <c r="G736" t="s">
        <v>33</v>
      </c>
      <c r="H736" s="7">
        <v>42153</v>
      </c>
      <c r="I736">
        <v>18064.46</v>
      </c>
      <c r="K736" s="7"/>
    </row>
    <row r="737" spans="1:11">
      <c r="A737">
        <v>300000736</v>
      </c>
      <c r="B737" t="s">
        <v>319</v>
      </c>
      <c r="C737" t="s">
        <v>58</v>
      </c>
      <c r="D737" t="s">
        <v>16</v>
      </c>
      <c r="E737" s="9">
        <v>33</v>
      </c>
      <c r="F737" t="s">
        <v>23</v>
      </c>
      <c r="G737" t="s">
        <v>18</v>
      </c>
      <c r="H737" s="8">
        <v>42153</v>
      </c>
      <c r="I737">
        <v>33670.19</v>
      </c>
      <c r="K737" s="8"/>
    </row>
    <row r="738" spans="1:11">
      <c r="A738">
        <v>400000737</v>
      </c>
      <c r="B738" t="s">
        <v>298</v>
      </c>
      <c r="C738" t="s">
        <v>313</v>
      </c>
      <c r="D738" t="s">
        <v>16</v>
      </c>
      <c r="E738" s="9">
        <v>38</v>
      </c>
      <c r="F738" t="s">
        <v>17</v>
      </c>
      <c r="G738" t="s">
        <v>33</v>
      </c>
      <c r="H738" s="7">
        <v>42153</v>
      </c>
      <c r="I738">
        <v>41266.870000000003</v>
      </c>
      <c r="K738" s="7"/>
    </row>
    <row r="739" spans="1:11">
      <c r="A739">
        <v>400000738</v>
      </c>
      <c r="B739" t="s">
        <v>223</v>
      </c>
      <c r="C739" t="s">
        <v>288</v>
      </c>
      <c r="D739" t="s">
        <v>16</v>
      </c>
      <c r="E739" s="9">
        <v>20</v>
      </c>
      <c r="F739" t="s">
        <v>17</v>
      </c>
      <c r="G739" t="s">
        <v>33</v>
      </c>
      <c r="H739" s="8">
        <v>42153</v>
      </c>
      <c r="I739">
        <v>25398.03</v>
      </c>
      <c r="K739" s="8"/>
    </row>
    <row r="740" spans="1:11">
      <c r="A740">
        <v>400000739</v>
      </c>
      <c r="B740" t="s">
        <v>83</v>
      </c>
      <c r="C740" t="s">
        <v>196</v>
      </c>
      <c r="D740" t="s">
        <v>16</v>
      </c>
      <c r="E740" s="9">
        <v>31</v>
      </c>
      <c r="F740" t="s">
        <v>17</v>
      </c>
      <c r="G740" t="s">
        <v>33</v>
      </c>
      <c r="H740" s="7">
        <v>42153</v>
      </c>
      <c r="I740">
        <v>34515.67</v>
      </c>
      <c r="K740" s="7"/>
    </row>
    <row r="741" spans="1:11">
      <c r="A741">
        <v>400000740</v>
      </c>
      <c r="B741" t="s">
        <v>133</v>
      </c>
      <c r="C741" t="s">
        <v>297</v>
      </c>
      <c r="D741" t="s">
        <v>11</v>
      </c>
      <c r="E741" s="9">
        <v>29</v>
      </c>
      <c r="F741" t="s">
        <v>17</v>
      </c>
      <c r="G741" t="s">
        <v>18</v>
      </c>
      <c r="H741" s="8">
        <v>42153</v>
      </c>
      <c r="I741">
        <v>56838.19</v>
      </c>
      <c r="K741" s="8"/>
    </row>
    <row r="742" spans="1:11">
      <c r="A742">
        <v>400000741</v>
      </c>
      <c r="B742" t="s">
        <v>117</v>
      </c>
      <c r="C742" t="s">
        <v>259</v>
      </c>
      <c r="D742" t="s">
        <v>16</v>
      </c>
      <c r="E742" s="9">
        <v>38</v>
      </c>
      <c r="F742" t="s">
        <v>17</v>
      </c>
      <c r="G742" t="s">
        <v>33</v>
      </c>
      <c r="H742" s="7">
        <v>42153</v>
      </c>
      <c r="I742">
        <v>7828.3</v>
      </c>
      <c r="K742" s="7"/>
    </row>
    <row r="743" spans="1:11">
      <c r="A743">
        <v>100000742</v>
      </c>
      <c r="B743" t="s">
        <v>261</v>
      </c>
      <c r="C743" t="s">
        <v>95</v>
      </c>
      <c r="D743" t="s">
        <v>11</v>
      </c>
      <c r="E743" s="9">
        <v>34</v>
      </c>
      <c r="F743" t="s">
        <v>12</v>
      </c>
      <c r="G743" t="s">
        <v>13</v>
      </c>
      <c r="H743" s="8">
        <v>42154</v>
      </c>
      <c r="I743">
        <v>44552.66</v>
      </c>
      <c r="K743" s="8"/>
    </row>
    <row r="744" spans="1:11">
      <c r="A744">
        <v>100000743</v>
      </c>
      <c r="B744" t="s">
        <v>308</v>
      </c>
      <c r="C744" t="s">
        <v>240</v>
      </c>
      <c r="D744" t="s">
        <v>16</v>
      </c>
      <c r="E744" s="9">
        <v>47</v>
      </c>
      <c r="F744" t="s">
        <v>12</v>
      </c>
      <c r="G744" t="s">
        <v>33</v>
      </c>
      <c r="H744" s="7">
        <v>42154</v>
      </c>
      <c r="I744">
        <v>83088.67</v>
      </c>
      <c r="K744" s="7"/>
    </row>
    <row r="745" spans="1:11">
      <c r="A745">
        <v>100000744</v>
      </c>
      <c r="B745" t="s">
        <v>34</v>
      </c>
      <c r="C745" t="s">
        <v>52</v>
      </c>
      <c r="D745" t="s">
        <v>16</v>
      </c>
      <c r="E745" s="9">
        <v>38</v>
      </c>
      <c r="F745" t="s">
        <v>12</v>
      </c>
      <c r="G745" t="s">
        <v>13</v>
      </c>
      <c r="H745" s="8">
        <v>42154</v>
      </c>
      <c r="I745">
        <v>15989.89</v>
      </c>
      <c r="K745" s="8"/>
    </row>
    <row r="746" spans="1:11">
      <c r="A746">
        <v>100000745</v>
      </c>
      <c r="B746" t="s">
        <v>273</v>
      </c>
      <c r="C746" t="s">
        <v>80</v>
      </c>
      <c r="D746" t="s">
        <v>11</v>
      </c>
      <c r="E746" s="9">
        <v>46</v>
      </c>
      <c r="F746" t="s">
        <v>12</v>
      </c>
      <c r="G746" t="s">
        <v>13</v>
      </c>
      <c r="H746" s="7">
        <v>42154</v>
      </c>
      <c r="I746">
        <v>47074.94</v>
      </c>
      <c r="K746" s="7"/>
    </row>
    <row r="747" spans="1:11">
      <c r="A747">
        <v>100000746</v>
      </c>
      <c r="B747" t="s">
        <v>26</v>
      </c>
      <c r="C747" t="s">
        <v>109</v>
      </c>
      <c r="D747" t="s">
        <v>16</v>
      </c>
      <c r="E747" s="9">
        <v>34</v>
      </c>
      <c r="F747" t="s">
        <v>12</v>
      </c>
      <c r="G747" t="s">
        <v>33</v>
      </c>
      <c r="H747" s="8">
        <v>42154</v>
      </c>
      <c r="I747">
        <v>46037.55</v>
      </c>
      <c r="K747" s="8"/>
    </row>
    <row r="748" spans="1:11">
      <c r="A748">
        <v>200000747</v>
      </c>
      <c r="B748" t="s">
        <v>193</v>
      </c>
      <c r="C748" t="s">
        <v>109</v>
      </c>
      <c r="D748" t="s">
        <v>11</v>
      </c>
      <c r="E748" s="9">
        <v>47</v>
      </c>
      <c r="F748" t="s">
        <v>32</v>
      </c>
      <c r="G748" t="s">
        <v>18</v>
      </c>
      <c r="H748" s="7">
        <v>42154</v>
      </c>
      <c r="I748">
        <v>6187.55</v>
      </c>
      <c r="K748" s="7"/>
    </row>
    <row r="749" spans="1:11">
      <c r="A749">
        <v>200000748</v>
      </c>
      <c r="B749" t="s">
        <v>70</v>
      </c>
      <c r="C749" t="s">
        <v>260</v>
      </c>
      <c r="D749" t="s">
        <v>11</v>
      </c>
      <c r="E749" s="9">
        <v>51</v>
      </c>
      <c r="F749" t="s">
        <v>32</v>
      </c>
      <c r="G749" t="s">
        <v>18</v>
      </c>
      <c r="H749" s="8">
        <v>42154</v>
      </c>
      <c r="I749">
        <v>17188.7</v>
      </c>
      <c r="K749" s="8"/>
    </row>
    <row r="750" spans="1:11">
      <c r="A750">
        <v>200000749</v>
      </c>
      <c r="B750" t="s">
        <v>217</v>
      </c>
      <c r="C750" t="s">
        <v>61</v>
      </c>
      <c r="D750" t="s">
        <v>11</v>
      </c>
      <c r="E750" s="9">
        <v>36</v>
      </c>
      <c r="F750" t="s">
        <v>32</v>
      </c>
      <c r="G750" t="s">
        <v>18</v>
      </c>
      <c r="H750" s="7">
        <v>42154</v>
      </c>
      <c r="I750">
        <v>16694.22</v>
      </c>
      <c r="K750" s="7"/>
    </row>
    <row r="751" spans="1:11">
      <c r="A751">
        <v>200000750</v>
      </c>
      <c r="B751" t="s">
        <v>217</v>
      </c>
      <c r="C751" t="s">
        <v>71</v>
      </c>
      <c r="D751" t="s">
        <v>11</v>
      </c>
      <c r="E751" s="9">
        <v>43</v>
      </c>
      <c r="F751" t="s">
        <v>32</v>
      </c>
      <c r="G751" t="s">
        <v>33</v>
      </c>
      <c r="H751" s="8">
        <v>42154</v>
      </c>
      <c r="I751">
        <v>12188.75</v>
      </c>
      <c r="K751" s="8"/>
    </row>
    <row r="752" spans="1:11">
      <c r="A752">
        <v>200000751</v>
      </c>
      <c r="B752" t="s">
        <v>255</v>
      </c>
      <c r="C752" t="s">
        <v>172</v>
      </c>
      <c r="D752" t="s">
        <v>11</v>
      </c>
      <c r="E752" s="9">
        <v>22</v>
      </c>
      <c r="F752" t="s">
        <v>32</v>
      </c>
      <c r="G752" t="s">
        <v>18</v>
      </c>
      <c r="H752" s="7">
        <v>42154</v>
      </c>
      <c r="I752">
        <v>837.33</v>
      </c>
      <c r="K752" s="7"/>
    </row>
    <row r="753" spans="1:11">
      <c r="A753">
        <v>300000752</v>
      </c>
      <c r="B753" t="s">
        <v>301</v>
      </c>
      <c r="C753" t="s">
        <v>140</v>
      </c>
      <c r="D753" t="s">
        <v>16</v>
      </c>
      <c r="E753" s="9">
        <v>35</v>
      </c>
      <c r="F753" t="s">
        <v>23</v>
      </c>
      <c r="G753" t="s">
        <v>13</v>
      </c>
      <c r="H753" s="8">
        <v>42154</v>
      </c>
      <c r="I753">
        <v>45887.56</v>
      </c>
      <c r="K753" s="8"/>
    </row>
    <row r="754" spans="1:11">
      <c r="A754">
        <v>300000753</v>
      </c>
      <c r="B754" t="s">
        <v>137</v>
      </c>
      <c r="C754" t="s">
        <v>125</v>
      </c>
      <c r="D754" t="s">
        <v>11</v>
      </c>
      <c r="E754" s="9">
        <v>34</v>
      </c>
      <c r="F754" t="s">
        <v>23</v>
      </c>
      <c r="G754" t="s">
        <v>33</v>
      </c>
      <c r="H754" s="7">
        <v>42154</v>
      </c>
      <c r="I754">
        <v>35449.82</v>
      </c>
      <c r="K754" s="7"/>
    </row>
    <row r="755" spans="1:11">
      <c r="A755">
        <v>400000754</v>
      </c>
      <c r="B755" t="s">
        <v>320</v>
      </c>
      <c r="C755" t="s">
        <v>266</v>
      </c>
      <c r="D755" t="s">
        <v>16</v>
      </c>
      <c r="E755" s="9">
        <v>25</v>
      </c>
      <c r="F755" t="s">
        <v>17</v>
      </c>
      <c r="G755" t="s">
        <v>33</v>
      </c>
      <c r="H755" s="8">
        <v>42154</v>
      </c>
      <c r="I755">
        <v>16380.24</v>
      </c>
      <c r="K755" s="8"/>
    </row>
    <row r="756" spans="1:11">
      <c r="A756">
        <v>400000755</v>
      </c>
      <c r="B756" t="s">
        <v>126</v>
      </c>
      <c r="C756" t="s">
        <v>129</v>
      </c>
      <c r="D756" t="s">
        <v>16</v>
      </c>
      <c r="E756" s="9">
        <v>19</v>
      </c>
      <c r="F756" t="s">
        <v>17</v>
      </c>
      <c r="G756" t="s">
        <v>33</v>
      </c>
      <c r="H756" s="7">
        <v>42154</v>
      </c>
      <c r="I756">
        <v>4733.29</v>
      </c>
      <c r="K756" s="7"/>
    </row>
    <row r="757" spans="1:11">
      <c r="A757">
        <v>400000756</v>
      </c>
      <c r="B757" t="s">
        <v>287</v>
      </c>
      <c r="C757" t="s">
        <v>163</v>
      </c>
      <c r="D757" t="s">
        <v>16</v>
      </c>
      <c r="E757" s="9">
        <v>37</v>
      </c>
      <c r="F757" t="s">
        <v>17</v>
      </c>
      <c r="G757" t="s">
        <v>33</v>
      </c>
      <c r="H757" s="8">
        <v>42154</v>
      </c>
      <c r="I757">
        <v>81504.12</v>
      </c>
      <c r="K757" s="8"/>
    </row>
    <row r="758" spans="1:11">
      <c r="A758">
        <v>400000757</v>
      </c>
      <c r="B758" t="s">
        <v>287</v>
      </c>
      <c r="C758" t="s">
        <v>198</v>
      </c>
      <c r="D758" t="s">
        <v>16</v>
      </c>
      <c r="E758" s="9">
        <v>45</v>
      </c>
      <c r="F758" t="s">
        <v>17</v>
      </c>
      <c r="G758" t="s">
        <v>33</v>
      </c>
      <c r="H758" s="7">
        <v>42154</v>
      </c>
      <c r="I758">
        <v>9490.02</v>
      </c>
      <c r="K758" s="7"/>
    </row>
    <row r="759" spans="1:11">
      <c r="A759">
        <v>400000758</v>
      </c>
      <c r="B759" t="s">
        <v>304</v>
      </c>
      <c r="C759" t="s">
        <v>59</v>
      </c>
      <c r="D759" t="s">
        <v>16</v>
      </c>
      <c r="E759" s="9">
        <v>26</v>
      </c>
      <c r="F759" t="s">
        <v>17</v>
      </c>
      <c r="G759" t="s">
        <v>13</v>
      </c>
      <c r="H759" s="8">
        <v>42154</v>
      </c>
      <c r="I759">
        <v>9406.1200000000008</v>
      </c>
      <c r="K759" s="8"/>
    </row>
    <row r="760" spans="1:11">
      <c r="A760">
        <v>400000759</v>
      </c>
      <c r="B760" t="s">
        <v>141</v>
      </c>
      <c r="C760" t="s">
        <v>103</v>
      </c>
      <c r="D760" t="s">
        <v>11</v>
      </c>
      <c r="E760" s="9">
        <v>37</v>
      </c>
      <c r="F760" t="s">
        <v>17</v>
      </c>
      <c r="G760" t="s">
        <v>13</v>
      </c>
      <c r="H760" s="7">
        <v>42154</v>
      </c>
      <c r="I760">
        <v>47245.760000000002</v>
      </c>
      <c r="K760" s="7"/>
    </row>
    <row r="761" spans="1:11">
      <c r="A761">
        <v>100000760</v>
      </c>
      <c r="B761" t="s">
        <v>202</v>
      </c>
      <c r="C761" t="s">
        <v>219</v>
      </c>
      <c r="D761" t="s">
        <v>11</v>
      </c>
      <c r="E761" s="9">
        <v>40</v>
      </c>
      <c r="F761" t="s">
        <v>12</v>
      </c>
      <c r="G761" t="s">
        <v>13</v>
      </c>
      <c r="H761" s="8">
        <v>42155</v>
      </c>
      <c r="I761">
        <v>919.39</v>
      </c>
      <c r="K761" s="8"/>
    </row>
    <row r="762" spans="1:11">
      <c r="A762">
        <v>100000761</v>
      </c>
      <c r="B762" t="s">
        <v>229</v>
      </c>
      <c r="C762" t="s">
        <v>179</v>
      </c>
      <c r="D762" t="s">
        <v>16</v>
      </c>
      <c r="E762" s="9">
        <v>38</v>
      </c>
      <c r="F762" t="s">
        <v>12</v>
      </c>
      <c r="G762" t="s">
        <v>13</v>
      </c>
      <c r="H762" s="7">
        <v>42155</v>
      </c>
      <c r="I762">
        <v>23848.799999999999</v>
      </c>
      <c r="K762" s="7"/>
    </row>
    <row r="763" spans="1:11">
      <c r="A763">
        <v>200000762</v>
      </c>
      <c r="B763" t="s">
        <v>184</v>
      </c>
      <c r="C763" t="s">
        <v>142</v>
      </c>
      <c r="D763" t="s">
        <v>16</v>
      </c>
      <c r="E763" s="9">
        <v>52</v>
      </c>
      <c r="F763" t="s">
        <v>32</v>
      </c>
      <c r="G763" t="s">
        <v>33</v>
      </c>
      <c r="H763" s="8">
        <v>42155</v>
      </c>
      <c r="I763">
        <v>44756.41</v>
      </c>
      <c r="K763" s="8"/>
    </row>
    <row r="764" spans="1:11">
      <c r="A764">
        <v>200000763</v>
      </c>
      <c r="B764" t="s">
        <v>51</v>
      </c>
      <c r="C764" t="s">
        <v>183</v>
      </c>
      <c r="D764" t="s">
        <v>11</v>
      </c>
      <c r="E764" s="9">
        <v>46</v>
      </c>
      <c r="F764" t="s">
        <v>32</v>
      </c>
      <c r="G764" t="s">
        <v>13</v>
      </c>
      <c r="H764" s="7">
        <v>42155</v>
      </c>
      <c r="I764">
        <v>46084.51</v>
      </c>
      <c r="K764" s="7"/>
    </row>
    <row r="765" spans="1:11">
      <c r="A765">
        <v>200000764</v>
      </c>
      <c r="B765" t="s">
        <v>60</v>
      </c>
      <c r="C765" t="s">
        <v>216</v>
      </c>
      <c r="D765" t="s">
        <v>11</v>
      </c>
      <c r="E765" s="9">
        <v>48</v>
      </c>
      <c r="F765" t="s">
        <v>32</v>
      </c>
      <c r="G765" t="s">
        <v>33</v>
      </c>
      <c r="H765" s="8">
        <v>42155</v>
      </c>
      <c r="I765">
        <v>137330.94</v>
      </c>
      <c r="K765" s="8"/>
    </row>
    <row r="766" spans="1:11">
      <c r="A766">
        <v>200000765</v>
      </c>
      <c r="B766" t="s">
        <v>143</v>
      </c>
      <c r="C766" t="s">
        <v>253</v>
      </c>
      <c r="D766" t="s">
        <v>11</v>
      </c>
      <c r="E766" s="9">
        <v>44</v>
      </c>
      <c r="F766" t="s">
        <v>32</v>
      </c>
      <c r="G766" t="s">
        <v>18</v>
      </c>
      <c r="H766" s="7">
        <v>42155</v>
      </c>
      <c r="I766">
        <v>5784.28</v>
      </c>
      <c r="K766" s="7"/>
    </row>
    <row r="767" spans="1:11">
      <c r="A767">
        <v>200000766</v>
      </c>
      <c r="B767" t="s">
        <v>202</v>
      </c>
      <c r="C767" t="s">
        <v>170</v>
      </c>
      <c r="D767" t="s">
        <v>11</v>
      </c>
      <c r="E767" s="9">
        <v>45</v>
      </c>
      <c r="F767" t="s">
        <v>32</v>
      </c>
      <c r="G767" t="s">
        <v>18</v>
      </c>
      <c r="H767" s="8">
        <v>42155</v>
      </c>
      <c r="I767">
        <v>85726.19</v>
      </c>
      <c r="K767" s="8"/>
    </row>
    <row r="768" spans="1:11">
      <c r="A768">
        <v>300000767</v>
      </c>
      <c r="B768" t="s">
        <v>316</v>
      </c>
      <c r="C768" t="s">
        <v>172</v>
      </c>
      <c r="D768" t="s">
        <v>16</v>
      </c>
      <c r="E768" s="9">
        <v>34</v>
      </c>
      <c r="F768" t="s">
        <v>23</v>
      </c>
      <c r="G768" t="s">
        <v>13</v>
      </c>
      <c r="H768" s="7">
        <v>42155</v>
      </c>
      <c r="I768">
        <v>106555.59</v>
      </c>
      <c r="K768" s="7"/>
    </row>
    <row r="769" spans="1:11">
      <c r="A769">
        <v>300000768</v>
      </c>
      <c r="B769" t="s">
        <v>243</v>
      </c>
      <c r="C769" t="s">
        <v>313</v>
      </c>
      <c r="D769" t="s">
        <v>16</v>
      </c>
      <c r="E769" s="9">
        <v>39</v>
      </c>
      <c r="F769" t="s">
        <v>23</v>
      </c>
      <c r="G769" t="s">
        <v>33</v>
      </c>
      <c r="H769" s="8">
        <v>42155</v>
      </c>
      <c r="I769">
        <v>747.35</v>
      </c>
      <c r="K769" s="8"/>
    </row>
    <row r="770" spans="1:11">
      <c r="A770">
        <v>400000769</v>
      </c>
      <c r="B770" t="s">
        <v>57</v>
      </c>
      <c r="C770" t="s">
        <v>219</v>
      </c>
      <c r="D770" t="s">
        <v>11</v>
      </c>
      <c r="E770" s="9">
        <v>24</v>
      </c>
      <c r="F770" t="s">
        <v>17</v>
      </c>
      <c r="G770" t="s">
        <v>13</v>
      </c>
      <c r="H770" s="7">
        <v>42155</v>
      </c>
      <c r="I770">
        <v>78004.289999999994</v>
      </c>
      <c r="K770" s="7"/>
    </row>
    <row r="771" spans="1:11">
      <c r="A771">
        <v>400000770</v>
      </c>
      <c r="B771" t="s">
        <v>302</v>
      </c>
      <c r="C771" t="s">
        <v>274</v>
      </c>
      <c r="D771" t="s">
        <v>16</v>
      </c>
      <c r="E771" s="9">
        <v>22</v>
      </c>
      <c r="F771" t="s">
        <v>17</v>
      </c>
      <c r="G771" t="s">
        <v>13</v>
      </c>
      <c r="H771" s="8">
        <v>42155</v>
      </c>
      <c r="I771">
        <v>58585.68</v>
      </c>
      <c r="K771" s="8"/>
    </row>
    <row r="772" spans="1:11">
      <c r="A772">
        <v>100000771</v>
      </c>
      <c r="B772" t="s">
        <v>174</v>
      </c>
      <c r="C772" t="s">
        <v>189</v>
      </c>
      <c r="D772" t="s">
        <v>11</v>
      </c>
      <c r="E772" s="9">
        <v>44</v>
      </c>
      <c r="F772" t="s">
        <v>12</v>
      </c>
      <c r="G772" t="s">
        <v>13</v>
      </c>
      <c r="H772" s="7">
        <v>42156</v>
      </c>
      <c r="I772">
        <v>15861</v>
      </c>
      <c r="K772" s="7"/>
    </row>
    <row r="773" spans="1:11">
      <c r="A773">
        <v>100000772</v>
      </c>
      <c r="B773" t="s">
        <v>218</v>
      </c>
      <c r="C773" t="s">
        <v>291</v>
      </c>
      <c r="D773" t="s">
        <v>11</v>
      </c>
      <c r="E773" s="9">
        <v>32</v>
      </c>
      <c r="F773" t="s">
        <v>12</v>
      </c>
      <c r="G773" t="s">
        <v>13</v>
      </c>
      <c r="H773" s="8">
        <v>42156</v>
      </c>
      <c r="I773">
        <v>97377.64</v>
      </c>
      <c r="K773" s="8"/>
    </row>
    <row r="774" spans="1:11">
      <c r="A774">
        <v>100000773</v>
      </c>
      <c r="B774" t="s">
        <v>234</v>
      </c>
      <c r="C774" t="s">
        <v>212</v>
      </c>
      <c r="D774" t="s">
        <v>11</v>
      </c>
      <c r="E774" s="9">
        <v>45</v>
      </c>
      <c r="F774" t="s">
        <v>12</v>
      </c>
      <c r="G774" t="s">
        <v>33</v>
      </c>
      <c r="H774" s="7">
        <v>42156</v>
      </c>
      <c r="I774">
        <v>53554.5</v>
      </c>
      <c r="K774" s="7"/>
    </row>
    <row r="775" spans="1:11">
      <c r="A775">
        <v>200000774</v>
      </c>
      <c r="B775" t="s">
        <v>152</v>
      </c>
      <c r="C775" t="s">
        <v>241</v>
      </c>
      <c r="D775" t="s">
        <v>11</v>
      </c>
      <c r="E775" s="9">
        <v>34</v>
      </c>
      <c r="F775" t="s">
        <v>32</v>
      </c>
      <c r="G775" t="s">
        <v>18</v>
      </c>
      <c r="H775" s="8">
        <v>42156</v>
      </c>
      <c r="I775">
        <v>9347.83</v>
      </c>
      <c r="K775" s="8"/>
    </row>
    <row r="776" spans="1:11">
      <c r="A776">
        <v>200000775</v>
      </c>
      <c r="B776" t="s">
        <v>76</v>
      </c>
      <c r="C776" t="s">
        <v>127</v>
      </c>
      <c r="D776" t="s">
        <v>11</v>
      </c>
      <c r="E776" s="9">
        <v>37</v>
      </c>
      <c r="F776" t="s">
        <v>32</v>
      </c>
      <c r="G776" t="s">
        <v>18</v>
      </c>
      <c r="H776" s="7">
        <v>42156</v>
      </c>
      <c r="I776">
        <v>69.010000000000005</v>
      </c>
      <c r="K776" s="7"/>
    </row>
    <row r="777" spans="1:11">
      <c r="A777">
        <v>300000776</v>
      </c>
      <c r="B777" t="s">
        <v>213</v>
      </c>
      <c r="C777" t="s">
        <v>98</v>
      </c>
      <c r="D777" t="s">
        <v>11</v>
      </c>
      <c r="E777" s="9">
        <v>32</v>
      </c>
      <c r="F777" t="s">
        <v>23</v>
      </c>
      <c r="G777" t="s">
        <v>33</v>
      </c>
      <c r="H777" s="8">
        <v>42156</v>
      </c>
      <c r="I777">
        <v>62131.4</v>
      </c>
      <c r="K777" s="8"/>
    </row>
    <row r="778" spans="1:11">
      <c r="A778">
        <v>300000777</v>
      </c>
      <c r="B778" t="s">
        <v>14</v>
      </c>
      <c r="C778" t="s">
        <v>212</v>
      </c>
      <c r="D778" t="s">
        <v>16</v>
      </c>
      <c r="E778" s="9">
        <v>22</v>
      </c>
      <c r="F778" t="s">
        <v>23</v>
      </c>
      <c r="G778" t="s">
        <v>13</v>
      </c>
      <c r="H778" s="7">
        <v>42156</v>
      </c>
      <c r="I778">
        <v>47414.52</v>
      </c>
      <c r="K778" s="7"/>
    </row>
    <row r="779" spans="1:11">
      <c r="A779">
        <v>300000778</v>
      </c>
      <c r="B779" t="s">
        <v>199</v>
      </c>
      <c r="C779" t="s">
        <v>67</v>
      </c>
      <c r="D779" t="s">
        <v>11</v>
      </c>
      <c r="E779" s="9">
        <v>28</v>
      </c>
      <c r="F779" t="s">
        <v>23</v>
      </c>
      <c r="G779" t="s">
        <v>18</v>
      </c>
      <c r="H779" s="8">
        <v>42156</v>
      </c>
      <c r="I779">
        <v>2511.02</v>
      </c>
      <c r="K779" s="8"/>
    </row>
    <row r="780" spans="1:11">
      <c r="A780">
        <v>300000779</v>
      </c>
      <c r="B780" t="s">
        <v>24</v>
      </c>
      <c r="C780" t="s">
        <v>277</v>
      </c>
      <c r="D780" t="s">
        <v>16</v>
      </c>
      <c r="E780" s="9">
        <v>36</v>
      </c>
      <c r="F780" t="s">
        <v>23</v>
      </c>
      <c r="G780" t="s">
        <v>13</v>
      </c>
      <c r="H780" s="7">
        <v>42156</v>
      </c>
      <c r="I780">
        <v>39797.910000000003</v>
      </c>
      <c r="K780" s="7"/>
    </row>
    <row r="781" spans="1:11">
      <c r="A781">
        <v>400000780</v>
      </c>
      <c r="B781" t="s">
        <v>273</v>
      </c>
      <c r="C781" t="s">
        <v>61</v>
      </c>
      <c r="D781" t="s">
        <v>11</v>
      </c>
      <c r="E781" s="9">
        <v>31</v>
      </c>
      <c r="F781" t="s">
        <v>17</v>
      </c>
      <c r="G781" t="s">
        <v>18</v>
      </c>
      <c r="H781" s="8">
        <v>42156</v>
      </c>
      <c r="I781">
        <v>96409.06</v>
      </c>
      <c r="K781" s="8"/>
    </row>
    <row r="782" spans="1:11">
      <c r="A782">
        <v>100000781</v>
      </c>
      <c r="B782" t="s">
        <v>176</v>
      </c>
      <c r="C782" t="s">
        <v>258</v>
      </c>
      <c r="D782" t="s">
        <v>16</v>
      </c>
      <c r="E782" s="9">
        <v>32</v>
      </c>
      <c r="F782" t="s">
        <v>12</v>
      </c>
      <c r="G782" t="s">
        <v>33</v>
      </c>
      <c r="H782" s="7">
        <v>42157</v>
      </c>
      <c r="I782">
        <v>74530.06</v>
      </c>
      <c r="K782" s="7"/>
    </row>
    <row r="783" spans="1:11">
      <c r="A783">
        <v>100000782</v>
      </c>
      <c r="B783" t="s">
        <v>226</v>
      </c>
      <c r="C783" t="s">
        <v>201</v>
      </c>
      <c r="D783" t="s">
        <v>16</v>
      </c>
      <c r="E783" s="9">
        <v>31</v>
      </c>
      <c r="F783" t="s">
        <v>12</v>
      </c>
      <c r="G783" t="s">
        <v>13</v>
      </c>
      <c r="H783" s="8">
        <v>42157</v>
      </c>
      <c r="I783">
        <v>12994.54</v>
      </c>
      <c r="K783" s="8"/>
    </row>
    <row r="784" spans="1:11">
      <c r="A784">
        <v>100000783</v>
      </c>
      <c r="B784" t="s">
        <v>199</v>
      </c>
      <c r="C784" t="s">
        <v>157</v>
      </c>
      <c r="D784" t="s">
        <v>11</v>
      </c>
      <c r="E784" s="9">
        <v>48</v>
      </c>
      <c r="F784" t="s">
        <v>12</v>
      </c>
      <c r="G784" t="s">
        <v>13</v>
      </c>
      <c r="H784" s="7">
        <v>42157</v>
      </c>
      <c r="I784">
        <v>9344.48</v>
      </c>
      <c r="K784" s="7"/>
    </row>
    <row r="785" spans="1:11">
      <c r="A785">
        <v>200000784</v>
      </c>
      <c r="B785" t="s">
        <v>36</v>
      </c>
      <c r="C785" t="s">
        <v>248</v>
      </c>
      <c r="D785" t="s">
        <v>11</v>
      </c>
      <c r="E785" s="9">
        <v>47</v>
      </c>
      <c r="F785" t="s">
        <v>32</v>
      </c>
      <c r="G785" t="s">
        <v>18</v>
      </c>
      <c r="H785" s="8">
        <v>42157</v>
      </c>
      <c r="I785">
        <v>24930.12</v>
      </c>
      <c r="K785" s="8"/>
    </row>
    <row r="786" spans="1:11">
      <c r="A786">
        <v>200000785</v>
      </c>
      <c r="B786" t="s">
        <v>159</v>
      </c>
      <c r="C786" t="s">
        <v>151</v>
      </c>
      <c r="D786" t="s">
        <v>11</v>
      </c>
      <c r="E786" s="9">
        <v>53</v>
      </c>
      <c r="F786" t="s">
        <v>32</v>
      </c>
      <c r="G786" t="s">
        <v>13</v>
      </c>
      <c r="H786" s="7">
        <v>42157</v>
      </c>
      <c r="I786">
        <v>25554.52</v>
      </c>
      <c r="K786" s="7"/>
    </row>
    <row r="787" spans="1:11">
      <c r="A787">
        <v>300000786</v>
      </c>
      <c r="B787" t="s">
        <v>119</v>
      </c>
      <c r="C787" t="s">
        <v>281</v>
      </c>
      <c r="D787" t="s">
        <v>16</v>
      </c>
      <c r="E787" s="9">
        <v>36</v>
      </c>
      <c r="F787" t="s">
        <v>23</v>
      </c>
      <c r="G787" t="s">
        <v>18</v>
      </c>
      <c r="H787" s="8">
        <v>42157</v>
      </c>
      <c r="I787">
        <v>65364.639999999999</v>
      </c>
      <c r="K787" s="8"/>
    </row>
    <row r="788" spans="1:11">
      <c r="A788">
        <v>300000787</v>
      </c>
      <c r="B788" t="s">
        <v>141</v>
      </c>
      <c r="C788" t="s">
        <v>269</v>
      </c>
      <c r="D788" t="s">
        <v>11</v>
      </c>
      <c r="E788" s="9">
        <v>38</v>
      </c>
      <c r="F788" t="s">
        <v>23</v>
      </c>
      <c r="G788" t="s">
        <v>18</v>
      </c>
      <c r="H788" s="7">
        <v>42157</v>
      </c>
      <c r="I788">
        <v>69471.06</v>
      </c>
      <c r="K788" s="7"/>
    </row>
    <row r="789" spans="1:11">
      <c r="A789">
        <v>100000788</v>
      </c>
      <c r="B789" t="s">
        <v>115</v>
      </c>
      <c r="C789" t="s">
        <v>43</v>
      </c>
      <c r="D789" t="s">
        <v>16</v>
      </c>
      <c r="E789" s="9">
        <v>47</v>
      </c>
      <c r="F789" t="s">
        <v>12</v>
      </c>
      <c r="G789" t="s">
        <v>13</v>
      </c>
      <c r="H789" s="8">
        <v>42158</v>
      </c>
      <c r="I789">
        <v>39175.760000000002</v>
      </c>
      <c r="K789" s="8"/>
    </row>
    <row r="790" spans="1:11">
      <c r="A790">
        <v>100000789</v>
      </c>
      <c r="B790" t="s">
        <v>255</v>
      </c>
      <c r="C790" t="s">
        <v>29</v>
      </c>
      <c r="D790" t="s">
        <v>11</v>
      </c>
      <c r="E790" s="9">
        <v>22</v>
      </c>
      <c r="F790" t="s">
        <v>12</v>
      </c>
      <c r="G790" t="s">
        <v>13</v>
      </c>
      <c r="H790" s="7">
        <v>42158</v>
      </c>
      <c r="I790">
        <v>3932.55</v>
      </c>
      <c r="K790" s="7"/>
    </row>
    <row r="791" spans="1:11">
      <c r="A791">
        <v>100000790</v>
      </c>
      <c r="B791" t="s">
        <v>176</v>
      </c>
      <c r="C791" t="s">
        <v>63</v>
      </c>
      <c r="D791" t="s">
        <v>16</v>
      </c>
      <c r="E791" s="9">
        <v>51</v>
      </c>
      <c r="F791" t="s">
        <v>12</v>
      </c>
      <c r="G791" t="s">
        <v>13</v>
      </c>
      <c r="H791" s="8">
        <v>42158</v>
      </c>
      <c r="I791">
        <v>10872.02</v>
      </c>
      <c r="K791" s="8"/>
    </row>
    <row r="792" spans="1:11">
      <c r="A792">
        <v>200000791</v>
      </c>
      <c r="B792" t="s">
        <v>146</v>
      </c>
      <c r="C792" t="s">
        <v>10</v>
      </c>
      <c r="D792" t="s">
        <v>16</v>
      </c>
      <c r="E792" s="9">
        <v>45</v>
      </c>
      <c r="F792" t="s">
        <v>32</v>
      </c>
      <c r="G792" t="s">
        <v>13</v>
      </c>
      <c r="H792" s="7">
        <v>42158</v>
      </c>
      <c r="I792">
        <v>56216.25</v>
      </c>
      <c r="K792" s="7"/>
    </row>
    <row r="793" spans="1:11">
      <c r="A793">
        <v>200000792</v>
      </c>
      <c r="B793" t="s">
        <v>273</v>
      </c>
      <c r="C793" t="s">
        <v>136</v>
      </c>
      <c r="D793" t="s">
        <v>11</v>
      </c>
      <c r="E793" s="9">
        <v>55</v>
      </c>
      <c r="F793" t="s">
        <v>32</v>
      </c>
      <c r="G793" t="s">
        <v>18</v>
      </c>
      <c r="H793" s="8">
        <v>42158</v>
      </c>
      <c r="I793">
        <v>8441.89</v>
      </c>
      <c r="K793" s="8"/>
    </row>
    <row r="794" spans="1:11">
      <c r="A794">
        <v>200000793</v>
      </c>
      <c r="B794" t="s">
        <v>101</v>
      </c>
      <c r="C794" t="s">
        <v>59</v>
      </c>
      <c r="D794" t="s">
        <v>11</v>
      </c>
      <c r="E794" s="9">
        <v>47</v>
      </c>
      <c r="F794" t="s">
        <v>32</v>
      </c>
      <c r="G794" t="s">
        <v>33</v>
      </c>
      <c r="H794" s="7">
        <v>42158</v>
      </c>
      <c r="I794">
        <v>17538.34</v>
      </c>
      <c r="K794" s="7"/>
    </row>
    <row r="795" spans="1:11">
      <c r="A795">
        <v>300000794</v>
      </c>
      <c r="B795" t="s">
        <v>107</v>
      </c>
      <c r="C795" t="s">
        <v>275</v>
      </c>
      <c r="D795" t="s">
        <v>11</v>
      </c>
      <c r="E795" s="9">
        <v>41</v>
      </c>
      <c r="F795" t="s">
        <v>23</v>
      </c>
      <c r="G795" t="s">
        <v>13</v>
      </c>
      <c r="H795" s="8">
        <v>42158</v>
      </c>
      <c r="I795">
        <v>132675.53</v>
      </c>
      <c r="K795" s="8"/>
    </row>
    <row r="796" spans="1:11">
      <c r="A796">
        <v>400000795</v>
      </c>
      <c r="B796" t="s">
        <v>220</v>
      </c>
      <c r="C796" t="s">
        <v>198</v>
      </c>
      <c r="D796" t="s">
        <v>16</v>
      </c>
      <c r="E796" s="9">
        <v>31</v>
      </c>
      <c r="F796" t="s">
        <v>17</v>
      </c>
      <c r="G796" t="s">
        <v>33</v>
      </c>
      <c r="H796" s="7">
        <v>42158</v>
      </c>
      <c r="I796">
        <v>18645.55</v>
      </c>
      <c r="K796" s="7"/>
    </row>
    <row r="797" spans="1:11">
      <c r="A797">
        <v>100000796</v>
      </c>
      <c r="B797" t="s">
        <v>243</v>
      </c>
      <c r="C797" t="s">
        <v>211</v>
      </c>
      <c r="D797" t="s">
        <v>16</v>
      </c>
      <c r="E797" s="9">
        <v>28</v>
      </c>
      <c r="F797" t="s">
        <v>12</v>
      </c>
      <c r="G797" t="s">
        <v>13</v>
      </c>
      <c r="H797" s="8">
        <v>42159</v>
      </c>
      <c r="I797">
        <v>34796.83</v>
      </c>
      <c r="K797" s="8"/>
    </row>
    <row r="798" spans="1:11">
      <c r="A798">
        <v>100000797</v>
      </c>
      <c r="B798" t="s">
        <v>226</v>
      </c>
      <c r="C798" t="s">
        <v>71</v>
      </c>
      <c r="D798" t="s">
        <v>16</v>
      </c>
      <c r="E798" s="9">
        <v>29</v>
      </c>
      <c r="F798" t="s">
        <v>12</v>
      </c>
      <c r="G798" t="s">
        <v>18</v>
      </c>
      <c r="H798" s="7">
        <v>42159</v>
      </c>
      <c r="I798">
        <v>33338.42</v>
      </c>
      <c r="K798" s="7"/>
    </row>
    <row r="799" spans="1:11">
      <c r="A799">
        <v>100000798</v>
      </c>
      <c r="B799" t="s">
        <v>81</v>
      </c>
      <c r="C799" t="s">
        <v>288</v>
      </c>
      <c r="D799" t="s">
        <v>16</v>
      </c>
      <c r="E799" s="9">
        <v>27</v>
      </c>
      <c r="F799" t="s">
        <v>12</v>
      </c>
      <c r="G799" t="s">
        <v>33</v>
      </c>
      <c r="H799" s="8">
        <v>42159</v>
      </c>
      <c r="I799">
        <v>8680.3700000000008</v>
      </c>
      <c r="K799" s="8"/>
    </row>
    <row r="800" spans="1:11">
      <c r="A800">
        <v>200000799</v>
      </c>
      <c r="B800" t="s">
        <v>303</v>
      </c>
      <c r="C800" t="s">
        <v>211</v>
      </c>
      <c r="D800" t="s">
        <v>11</v>
      </c>
      <c r="E800" s="9">
        <v>45</v>
      </c>
      <c r="F800" t="s">
        <v>32</v>
      </c>
      <c r="G800" t="s">
        <v>18</v>
      </c>
      <c r="H800" s="7">
        <v>42159</v>
      </c>
      <c r="I800">
        <v>62071.23</v>
      </c>
      <c r="K800" s="7"/>
    </row>
    <row r="801" spans="1:11">
      <c r="A801">
        <v>200000800</v>
      </c>
      <c r="B801" t="s">
        <v>177</v>
      </c>
      <c r="C801" t="s">
        <v>274</v>
      </c>
      <c r="D801" t="s">
        <v>11</v>
      </c>
      <c r="E801" s="9">
        <v>39</v>
      </c>
      <c r="F801" t="s">
        <v>32</v>
      </c>
      <c r="G801" t="s">
        <v>18</v>
      </c>
      <c r="H801" s="8">
        <v>42159</v>
      </c>
      <c r="I801">
        <v>27582.12</v>
      </c>
      <c r="K801" s="8"/>
    </row>
    <row r="802" spans="1:11">
      <c r="A802">
        <v>200000801</v>
      </c>
      <c r="B802" t="s">
        <v>81</v>
      </c>
      <c r="C802" t="s">
        <v>41</v>
      </c>
      <c r="D802" t="s">
        <v>16</v>
      </c>
      <c r="E802" s="9">
        <v>53</v>
      </c>
      <c r="F802" t="s">
        <v>32</v>
      </c>
      <c r="G802" t="s">
        <v>13</v>
      </c>
      <c r="H802" s="7">
        <v>42159</v>
      </c>
      <c r="I802">
        <v>35865.54</v>
      </c>
      <c r="K802" s="7"/>
    </row>
    <row r="803" spans="1:11">
      <c r="A803">
        <v>200000802</v>
      </c>
      <c r="B803" t="s">
        <v>231</v>
      </c>
      <c r="C803" t="s">
        <v>160</v>
      </c>
      <c r="D803" t="s">
        <v>11</v>
      </c>
      <c r="E803" s="9">
        <v>54</v>
      </c>
      <c r="F803" t="s">
        <v>32</v>
      </c>
      <c r="G803" t="s">
        <v>33</v>
      </c>
      <c r="H803" s="8">
        <v>42159</v>
      </c>
      <c r="I803">
        <v>8844.8700000000008</v>
      </c>
      <c r="K803" s="8"/>
    </row>
    <row r="804" spans="1:11">
      <c r="A804">
        <v>200000803</v>
      </c>
      <c r="B804" t="s">
        <v>57</v>
      </c>
      <c r="C804" t="s">
        <v>313</v>
      </c>
      <c r="D804" t="s">
        <v>11</v>
      </c>
      <c r="E804" s="9">
        <v>49</v>
      </c>
      <c r="F804" t="s">
        <v>32</v>
      </c>
      <c r="G804" t="s">
        <v>18</v>
      </c>
      <c r="H804" s="7">
        <v>42159</v>
      </c>
      <c r="I804">
        <v>56825.53</v>
      </c>
      <c r="K804" s="7"/>
    </row>
    <row r="805" spans="1:11">
      <c r="A805">
        <v>200000804</v>
      </c>
      <c r="B805" t="s">
        <v>83</v>
      </c>
      <c r="C805" t="s">
        <v>121</v>
      </c>
      <c r="D805" t="s">
        <v>16</v>
      </c>
      <c r="E805" s="9">
        <v>46</v>
      </c>
      <c r="F805" t="s">
        <v>32</v>
      </c>
      <c r="G805" t="s">
        <v>13</v>
      </c>
      <c r="H805" s="8">
        <v>42159</v>
      </c>
      <c r="I805">
        <v>34711.980000000003</v>
      </c>
      <c r="K805" s="8"/>
    </row>
    <row r="806" spans="1:11">
      <c r="A806">
        <v>200000805</v>
      </c>
      <c r="B806" t="s">
        <v>190</v>
      </c>
      <c r="C806" t="s">
        <v>107</v>
      </c>
      <c r="D806" t="s">
        <v>11</v>
      </c>
      <c r="E806" s="9">
        <v>52</v>
      </c>
      <c r="F806" t="s">
        <v>32</v>
      </c>
      <c r="G806" t="s">
        <v>33</v>
      </c>
      <c r="H806" s="7">
        <v>42159</v>
      </c>
      <c r="I806">
        <v>17953.05</v>
      </c>
      <c r="K806" s="7"/>
    </row>
    <row r="807" spans="1:11">
      <c r="A807">
        <v>100000806</v>
      </c>
      <c r="B807" t="s">
        <v>117</v>
      </c>
      <c r="C807" t="s">
        <v>315</v>
      </c>
      <c r="D807" t="s">
        <v>16</v>
      </c>
      <c r="E807" s="9">
        <v>39</v>
      </c>
      <c r="F807" t="s">
        <v>12</v>
      </c>
      <c r="G807" t="s">
        <v>13</v>
      </c>
      <c r="H807" s="8">
        <v>42160</v>
      </c>
      <c r="I807">
        <v>26507.93</v>
      </c>
      <c r="K807" s="8"/>
    </row>
    <row r="808" spans="1:11">
      <c r="A808">
        <v>100000807</v>
      </c>
      <c r="B808" t="s">
        <v>254</v>
      </c>
      <c r="C808" t="s">
        <v>163</v>
      </c>
      <c r="D808" t="s">
        <v>11</v>
      </c>
      <c r="E808" s="9">
        <v>39</v>
      </c>
      <c r="F808" t="s">
        <v>12</v>
      </c>
      <c r="G808" t="s">
        <v>13</v>
      </c>
      <c r="H808" s="7">
        <v>42160</v>
      </c>
      <c r="I808">
        <v>68856.42</v>
      </c>
      <c r="K808" s="7"/>
    </row>
    <row r="809" spans="1:11">
      <c r="A809">
        <v>100000808</v>
      </c>
      <c r="B809" t="s">
        <v>207</v>
      </c>
      <c r="C809" t="s">
        <v>322</v>
      </c>
      <c r="D809" t="s">
        <v>11</v>
      </c>
      <c r="E809" s="9">
        <v>41</v>
      </c>
      <c r="F809" t="s">
        <v>12</v>
      </c>
      <c r="G809" t="s">
        <v>13</v>
      </c>
      <c r="H809" s="8">
        <v>42160</v>
      </c>
      <c r="I809">
        <v>37768.870000000003</v>
      </c>
      <c r="K809" s="8"/>
    </row>
    <row r="810" spans="1:11">
      <c r="A810">
        <v>100000809</v>
      </c>
      <c r="B810" t="s">
        <v>145</v>
      </c>
      <c r="C810" t="s">
        <v>136</v>
      </c>
      <c r="D810" t="s">
        <v>11</v>
      </c>
      <c r="E810" s="9">
        <v>29</v>
      </c>
      <c r="F810" t="s">
        <v>12</v>
      </c>
      <c r="G810" t="s">
        <v>13</v>
      </c>
      <c r="H810" s="7">
        <v>42160</v>
      </c>
      <c r="I810">
        <v>9644.68</v>
      </c>
      <c r="K810" s="7"/>
    </row>
    <row r="811" spans="1:11">
      <c r="A811">
        <v>200000810</v>
      </c>
      <c r="B811" t="s">
        <v>284</v>
      </c>
      <c r="C811" t="s">
        <v>73</v>
      </c>
      <c r="D811" t="s">
        <v>16</v>
      </c>
      <c r="E811" s="9">
        <v>48</v>
      </c>
      <c r="F811" t="s">
        <v>32</v>
      </c>
      <c r="G811" t="s">
        <v>33</v>
      </c>
      <c r="H811" s="8">
        <v>42160</v>
      </c>
      <c r="I811">
        <v>58229.1</v>
      </c>
      <c r="K811" s="8"/>
    </row>
    <row r="812" spans="1:11">
      <c r="A812">
        <v>200000811</v>
      </c>
      <c r="B812" t="s">
        <v>176</v>
      </c>
      <c r="C812" t="s">
        <v>138</v>
      </c>
      <c r="D812" t="s">
        <v>16</v>
      </c>
      <c r="E812" s="9">
        <v>52</v>
      </c>
      <c r="F812" t="s">
        <v>32</v>
      </c>
      <c r="G812" t="s">
        <v>33</v>
      </c>
      <c r="H812" s="7">
        <v>42160</v>
      </c>
      <c r="I812">
        <v>45693.279999999999</v>
      </c>
      <c r="K812" s="7"/>
    </row>
    <row r="813" spans="1:11">
      <c r="A813">
        <v>300000812</v>
      </c>
      <c r="B813" t="s">
        <v>223</v>
      </c>
      <c r="C813" t="s">
        <v>162</v>
      </c>
      <c r="D813" t="s">
        <v>16</v>
      </c>
      <c r="E813" s="9">
        <v>23</v>
      </c>
      <c r="F813" t="s">
        <v>23</v>
      </c>
      <c r="G813" t="s">
        <v>13</v>
      </c>
      <c r="H813" s="8">
        <v>42160</v>
      </c>
      <c r="I813">
        <v>46151.71</v>
      </c>
      <c r="K813" s="8"/>
    </row>
    <row r="814" spans="1:11">
      <c r="A814">
        <v>300000813</v>
      </c>
      <c r="B814" t="s">
        <v>92</v>
      </c>
      <c r="C814" t="s">
        <v>123</v>
      </c>
      <c r="D814" t="s">
        <v>16</v>
      </c>
      <c r="E814" s="9">
        <v>33</v>
      </c>
      <c r="F814" t="s">
        <v>23</v>
      </c>
      <c r="G814" t="s">
        <v>13</v>
      </c>
      <c r="H814" s="7">
        <v>42160</v>
      </c>
      <c r="I814">
        <v>91205.06</v>
      </c>
      <c r="K814" s="7"/>
    </row>
    <row r="815" spans="1:11">
      <c r="A815">
        <v>300000814</v>
      </c>
      <c r="B815" t="s">
        <v>103</v>
      </c>
      <c r="C815" t="s">
        <v>47</v>
      </c>
      <c r="D815" t="s">
        <v>11</v>
      </c>
      <c r="E815" s="9">
        <v>33</v>
      </c>
      <c r="F815" t="s">
        <v>23</v>
      </c>
      <c r="G815" t="s">
        <v>33</v>
      </c>
      <c r="H815" s="8">
        <v>42160</v>
      </c>
      <c r="I815">
        <v>1657.46</v>
      </c>
      <c r="K815" s="8"/>
    </row>
    <row r="816" spans="1:11">
      <c r="A816">
        <v>300000815</v>
      </c>
      <c r="B816" t="s">
        <v>146</v>
      </c>
      <c r="C816" t="s">
        <v>142</v>
      </c>
      <c r="D816" t="s">
        <v>16</v>
      </c>
      <c r="E816" s="9">
        <v>29</v>
      </c>
      <c r="F816" t="s">
        <v>23</v>
      </c>
      <c r="G816" t="s">
        <v>13</v>
      </c>
      <c r="H816" s="7">
        <v>42160</v>
      </c>
      <c r="I816">
        <v>15006.48</v>
      </c>
      <c r="K816" s="7"/>
    </row>
    <row r="817" spans="1:11">
      <c r="A817">
        <v>100000816</v>
      </c>
      <c r="B817" t="s">
        <v>107</v>
      </c>
      <c r="C817" t="s">
        <v>78</v>
      </c>
      <c r="D817" t="s">
        <v>11</v>
      </c>
      <c r="E817" s="9">
        <v>45</v>
      </c>
      <c r="F817" t="s">
        <v>12</v>
      </c>
      <c r="G817" t="s">
        <v>13</v>
      </c>
      <c r="H817" s="8">
        <v>42161</v>
      </c>
      <c r="I817">
        <v>14279.24</v>
      </c>
      <c r="K817" s="8"/>
    </row>
    <row r="818" spans="1:11">
      <c r="A818">
        <v>100000817</v>
      </c>
      <c r="B818" t="s">
        <v>301</v>
      </c>
      <c r="C818" t="s">
        <v>211</v>
      </c>
      <c r="D818" t="s">
        <v>16</v>
      </c>
      <c r="E818" s="9">
        <v>34</v>
      </c>
      <c r="F818" t="s">
        <v>12</v>
      </c>
      <c r="G818" t="s">
        <v>13</v>
      </c>
      <c r="H818" s="7">
        <v>42161</v>
      </c>
      <c r="I818">
        <v>84823.05</v>
      </c>
      <c r="K818" s="7"/>
    </row>
    <row r="819" spans="1:11">
      <c r="A819">
        <v>100000818</v>
      </c>
      <c r="B819" t="s">
        <v>243</v>
      </c>
      <c r="C819" t="s">
        <v>124</v>
      </c>
      <c r="D819" t="s">
        <v>16</v>
      </c>
      <c r="E819" s="9">
        <v>47</v>
      </c>
      <c r="F819" t="s">
        <v>12</v>
      </c>
      <c r="G819" t="s">
        <v>13</v>
      </c>
      <c r="H819" s="8">
        <v>42161</v>
      </c>
      <c r="I819">
        <v>15879.06</v>
      </c>
      <c r="K819" s="8"/>
    </row>
    <row r="820" spans="1:11">
      <c r="A820">
        <v>200000819</v>
      </c>
      <c r="B820" t="s">
        <v>298</v>
      </c>
      <c r="C820" t="s">
        <v>39</v>
      </c>
      <c r="D820" t="s">
        <v>16</v>
      </c>
      <c r="E820" s="9">
        <v>55</v>
      </c>
      <c r="F820" t="s">
        <v>32</v>
      </c>
      <c r="G820" t="s">
        <v>33</v>
      </c>
      <c r="H820" s="7">
        <v>42161</v>
      </c>
      <c r="I820">
        <v>9885.69</v>
      </c>
      <c r="K820" s="7"/>
    </row>
    <row r="821" spans="1:11">
      <c r="A821">
        <v>200000820</v>
      </c>
      <c r="B821" t="s">
        <v>70</v>
      </c>
      <c r="C821" t="s">
        <v>10</v>
      </c>
      <c r="D821" t="s">
        <v>11</v>
      </c>
      <c r="E821" s="9">
        <v>52</v>
      </c>
      <c r="F821" t="s">
        <v>32</v>
      </c>
      <c r="G821" t="s">
        <v>18</v>
      </c>
      <c r="H821" s="8">
        <v>42161</v>
      </c>
      <c r="I821">
        <v>19187.18</v>
      </c>
      <c r="K821" s="8"/>
    </row>
    <row r="822" spans="1:11">
      <c r="A822">
        <v>200000821</v>
      </c>
      <c r="B822" t="s">
        <v>101</v>
      </c>
      <c r="C822" t="s">
        <v>240</v>
      </c>
      <c r="D822" t="s">
        <v>11</v>
      </c>
      <c r="E822" s="9">
        <v>53</v>
      </c>
      <c r="F822" t="s">
        <v>32</v>
      </c>
      <c r="G822" t="s">
        <v>18</v>
      </c>
      <c r="H822" s="7">
        <v>42161</v>
      </c>
      <c r="I822">
        <v>42226.31</v>
      </c>
      <c r="K822" s="7"/>
    </row>
    <row r="823" spans="1:11">
      <c r="A823">
        <v>300000822</v>
      </c>
      <c r="B823" t="s">
        <v>303</v>
      </c>
      <c r="C823" t="s">
        <v>69</v>
      </c>
      <c r="D823" t="s">
        <v>11</v>
      </c>
      <c r="E823" s="9">
        <v>34</v>
      </c>
      <c r="F823" t="s">
        <v>23</v>
      </c>
      <c r="G823" t="s">
        <v>18</v>
      </c>
      <c r="H823" s="8">
        <v>42161</v>
      </c>
      <c r="I823">
        <v>29527.41</v>
      </c>
      <c r="K823" s="8"/>
    </row>
    <row r="824" spans="1:11">
      <c r="A824">
        <v>100000823</v>
      </c>
      <c r="B824" t="s">
        <v>21</v>
      </c>
      <c r="C824" t="s">
        <v>288</v>
      </c>
      <c r="D824" t="s">
        <v>11</v>
      </c>
      <c r="E824" s="9">
        <v>36</v>
      </c>
      <c r="F824" t="s">
        <v>12</v>
      </c>
      <c r="G824" t="s">
        <v>18</v>
      </c>
      <c r="H824" s="7">
        <v>42162</v>
      </c>
      <c r="I824">
        <v>61120.3</v>
      </c>
      <c r="K824" s="7"/>
    </row>
    <row r="825" spans="1:11">
      <c r="A825">
        <v>100000824</v>
      </c>
      <c r="B825" t="s">
        <v>161</v>
      </c>
      <c r="C825" t="s">
        <v>157</v>
      </c>
      <c r="D825" t="s">
        <v>16</v>
      </c>
      <c r="E825" s="9">
        <v>34</v>
      </c>
      <c r="F825" t="s">
        <v>12</v>
      </c>
      <c r="G825" t="s">
        <v>13</v>
      </c>
      <c r="H825" s="8">
        <v>42162</v>
      </c>
      <c r="I825">
        <v>22808.73</v>
      </c>
      <c r="K825" s="8"/>
    </row>
    <row r="826" spans="1:11">
      <c r="A826">
        <v>100000825</v>
      </c>
      <c r="B826" t="s">
        <v>57</v>
      </c>
      <c r="C826" t="s">
        <v>96</v>
      </c>
      <c r="D826" t="s">
        <v>11</v>
      </c>
      <c r="E826" s="9">
        <v>33</v>
      </c>
      <c r="F826" t="s">
        <v>12</v>
      </c>
      <c r="G826" t="s">
        <v>33</v>
      </c>
      <c r="H826" s="7">
        <v>42162</v>
      </c>
      <c r="I826">
        <v>27818.080000000002</v>
      </c>
      <c r="K826" s="7"/>
    </row>
    <row r="827" spans="1:11">
      <c r="A827">
        <v>100000826</v>
      </c>
      <c r="B827" t="s">
        <v>206</v>
      </c>
      <c r="C827" t="s">
        <v>121</v>
      </c>
      <c r="D827" t="s">
        <v>11</v>
      </c>
      <c r="E827" s="9">
        <v>35</v>
      </c>
      <c r="F827" t="s">
        <v>12</v>
      </c>
      <c r="G827" t="s">
        <v>13</v>
      </c>
      <c r="H827" s="8">
        <v>42162</v>
      </c>
      <c r="I827">
        <v>36442.300000000003</v>
      </c>
      <c r="K827" s="8"/>
    </row>
    <row r="828" spans="1:11">
      <c r="A828">
        <v>100000827</v>
      </c>
      <c r="B828" t="s">
        <v>180</v>
      </c>
      <c r="C828" t="s">
        <v>140</v>
      </c>
      <c r="D828" t="s">
        <v>16</v>
      </c>
      <c r="E828" s="9">
        <v>31</v>
      </c>
      <c r="F828" t="s">
        <v>12</v>
      </c>
      <c r="G828" t="s">
        <v>13</v>
      </c>
      <c r="H828" s="7">
        <v>42162</v>
      </c>
      <c r="I828">
        <v>71026.81</v>
      </c>
      <c r="K828" s="7"/>
    </row>
    <row r="829" spans="1:11">
      <c r="A829">
        <v>200000828</v>
      </c>
      <c r="B829" t="s">
        <v>199</v>
      </c>
      <c r="C829" t="s">
        <v>252</v>
      </c>
      <c r="D829" t="s">
        <v>11</v>
      </c>
      <c r="E829" s="9">
        <v>45</v>
      </c>
      <c r="F829" t="s">
        <v>32</v>
      </c>
      <c r="G829" t="s">
        <v>33</v>
      </c>
      <c r="H829" s="8">
        <v>42162</v>
      </c>
      <c r="I829">
        <v>13683.26</v>
      </c>
      <c r="K829" s="8"/>
    </row>
    <row r="830" spans="1:11">
      <c r="A830">
        <v>400000829</v>
      </c>
      <c r="B830" t="s">
        <v>321</v>
      </c>
      <c r="C830" t="s">
        <v>134</v>
      </c>
      <c r="D830" t="s">
        <v>16</v>
      </c>
      <c r="E830" s="9">
        <v>29</v>
      </c>
      <c r="F830" t="s">
        <v>17</v>
      </c>
      <c r="G830" t="s">
        <v>33</v>
      </c>
      <c r="H830" s="7">
        <v>42162</v>
      </c>
      <c r="I830">
        <v>57983.8</v>
      </c>
      <c r="K830" s="7"/>
    </row>
    <row r="831" spans="1:11">
      <c r="A831">
        <v>400000830</v>
      </c>
      <c r="B831" t="s">
        <v>21</v>
      </c>
      <c r="C831" t="s">
        <v>222</v>
      </c>
      <c r="D831" t="s">
        <v>11</v>
      </c>
      <c r="E831" s="9">
        <v>21</v>
      </c>
      <c r="F831" t="s">
        <v>17</v>
      </c>
      <c r="G831" t="s">
        <v>13</v>
      </c>
      <c r="H831" s="8">
        <v>42162</v>
      </c>
      <c r="I831">
        <v>27022.94</v>
      </c>
      <c r="K831" s="8"/>
    </row>
    <row r="832" spans="1:11">
      <c r="A832">
        <v>100000831</v>
      </c>
      <c r="B832" t="s">
        <v>207</v>
      </c>
      <c r="C832" t="s">
        <v>224</v>
      </c>
      <c r="D832" t="s">
        <v>11</v>
      </c>
      <c r="E832" s="9">
        <v>37</v>
      </c>
      <c r="F832" t="s">
        <v>12</v>
      </c>
      <c r="G832" t="s">
        <v>13</v>
      </c>
      <c r="H832" s="7">
        <v>42163</v>
      </c>
      <c r="I832">
        <v>17556.02</v>
      </c>
      <c r="K832" s="7"/>
    </row>
    <row r="833" spans="1:11">
      <c r="A833">
        <v>100000832</v>
      </c>
      <c r="B833" t="s">
        <v>137</v>
      </c>
      <c r="C833" t="s">
        <v>247</v>
      </c>
      <c r="D833" t="s">
        <v>11</v>
      </c>
      <c r="E833" s="9">
        <v>36</v>
      </c>
      <c r="F833" t="s">
        <v>12</v>
      </c>
      <c r="G833" t="s">
        <v>13</v>
      </c>
      <c r="H833" s="8">
        <v>42163</v>
      </c>
      <c r="I833">
        <v>65227.05</v>
      </c>
      <c r="K833" s="8"/>
    </row>
    <row r="834" spans="1:11">
      <c r="A834">
        <v>200000833</v>
      </c>
      <c r="B834" t="s">
        <v>38</v>
      </c>
      <c r="C834" t="s">
        <v>198</v>
      </c>
      <c r="D834" t="s">
        <v>11</v>
      </c>
      <c r="E834" s="9">
        <v>54</v>
      </c>
      <c r="F834" t="s">
        <v>32</v>
      </c>
      <c r="G834" t="s">
        <v>18</v>
      </c>
      <c r="H834" s="7">
        <v>42163</v>
      </c>
      <c r="I834">
        <v>30687.34</v>
      </c>
      <c r="K834" s="7"/>
    </row>
    <row r="835" spans="1:11">
      <c r="A835">
        <v>200000834</v>
      </c>
      <c r="B835" t="s">
        <v>296</v>
      </c>
      <c r="C835" t="s">
        <v>94</v>
      </c>
      <c r="D835" t="s">
        <v>11</v>
      </c>
      <c r="E835" s="9">
        <v>42</v>
      </c>
      <c r="F835" t="s">
        <v>32</v>
      </c>
      <c r="G835" t="s">
        <v>33</v>
      </c>
      <c r="H835" s="8">
        <v>42163</v>
      </c>
      <c r="I835">
        <v>62472.65</v>
      </c>
      <c r="K835" s="8"/>
    </row>
    <row r="836" spans="1:11">
      <c r="A836">
        <v>100000835</v>
      </c>
      <c r="B836" t="s">
        <v>303</v>
      </c>
      <c r="C836" t="s">
        <v>109</v>
      </c>
      <c r="D836" t="s">
        <v>11</v>
      </c>
      <c r="E836" s="9">
        <v>40</v>
      </c>
      <c r="F836" t="s">
        <v>12</v>
      </c>
      <c r="G836" t="s">
        <v>13</v>
      </c>
      <c r="H836" s="7">
        <v>42164</v>
      </c>
      <c r="I836">
        <v>38087.629999999997</v>
      </c>
      <c r="K836" s="7"/>
    </row>
    <row r="837" spans="1:11">
      <c r="A837">
        <v>100000836</v>
      </c>
      <c r="B837" t="s">
        <v>302</v>
      </c>
      <c r="C837" t="s">
        <v>210</v>
      </c>
      <c r="D837" t="s">
        <v>16</v>
      </c>
      <c r="E837" s="9">
        <v>35</v>
      </c>
      <c r="F837" t="s">
        <v>12</v>
      </c>
      <c r="G837" t="s">
        <v>13</v>
      </c>
      <c r="H837" s="8">
        <v>42164</v>
      </c>
      <c r="I837">
        <v>48766.55</v>
      </c>
      <c r="K837" s="8"/>
    </row>
    <row r="838" spans="1:11">
      <c r="A838">
        <v>400000837</v>
      </c>
      <c r="B838" t="s">
        <v>206</v>
      </c>
      <c r="C838" t="s">
        <v>201</v>
      </c>
      <c r="D838" t="s">
        <v>11</v>
      </c>
      <c r="E838" s="9">
        <v>29</v>
      </c>
      <c r="F838" t="s">
        <v>17</v>
      </c>
      <c r="G838" t="s">
        <v>13</v>
      </c>
      <c r="H838" s="7">
        <v>42164</v>
      </c>
      <c r="I838">
        <v>57397.59</v>
      </c>
      <c r="K838" s="7"/>
    </row>
    <row r="839" spans="1:11">
      <c r="A839">
        <v>100000838</v>
      </c>
      <c r="B839" t="s">
        <v>284</v>
      </c>
      <c r="C839" t="s">
        <v>106</v>
      </c>
      <c r="D839" t="s">
        <v>16</v>
      </c>
      <c r="E839" s="9">
        <v>25</v>
      </c>
      <c r="F839" t="s">
        <v>12</v>
      </c>
      <c r="G839" t="s">
        <v>13</v>
      </c>
      <c r="H839" s="8">
        <v>42165</v>
      </c>
      <c r="I839">
        <v>130797.71</v>
      </c>
      <c r="K839" s="8"/>
    </row>
    <row r="840" spans="1:11">
      <c r="A840">
        <v>100000839</v>
      </c>
      <c r="B840" t="s">
        <v>177</v>
      </c>
      <c r="C840" t="s">
        <v>295</v>
      </c>
      <c r="D840" t="s">
        <v>11</v>
      </c>
      <c r="E840" s="9">
        <v>44</v>
      </c>
      <c r="F840" t="s">
        <v>12</v>
      </c>
      <c r="G840" t="s">
        <v>13</v>
      </c>
      <c r="H840" s="7">
        <v>42165</v>
      </c>
      <c r="I840">
        <v>55484.77</v>
      </c>
      <c r="K840" s="7"/>
    </row>
    <row r="841" spans="1:11">
      <c r="A841">
        <v>100000840</v>
      </c>
      <c r="B841" t="s">
        <v>89</v>
      </c>
      <c r="C841" t="s">
        <v>155</v>
      </c>
      <c r="D841" t="s">
        <v>11</v>
      </c>
      <c r="E841" s="9">
        <v>32</v>
      </c>
      <c r="F841" t="s">
        <v>12</v>
      </c>
      <c r="G841" t="s">
        <v>13</v>
      </c>
      <c r="H841" s="8">
        <v>42165</v>
      </c>
      <c r="I841">
        <v>27236.35</v>
      </c>
      <c r="K841" s="8"/>
    </row>
    <row r="842" spans="1:11">
      <c r="A842">
        <v>100000841</v>
      </c>
      <c r="B842" t="s">
        <v>110</v>
      </c>
      <c r="C842" t="s">
        <v>322</v>
      </c>
      <c r="D842" t="s">
        <v>16</v>
      </c>
      <c r="E842" s="9">
        <v>42</v>
      </c>
      <c r="F842" t="s">
        <v>12</v>
      </c>
      <c r="G842" t="s">
        <v>33</v>
      </c>
      <c r="H842" s="7">
        <v>42165</v>
      </c>
      <c r="I842">
        <v>1081.3800000000001</v>
      </c>
      <c r="K842" s="7"/>
    </row>
    <row r="843" spans="1:11">
      <c r="A843">
        <v>200000842</v>
      </c>
      <c r="B843" t="s">
        <v>147</v>
      </c>
      <c r="C843" t="s">
        <v>289</v>
      </c>
      <c r="D843" t="s">
        <v>11</v>
      </c>
      <c r="E843" s="9">
        <v>64</v>
      </c>
      <c r="F843" t="s">
        <v>32</v>
      </c>
      <c r="G843" t="s">
        <v>18</v>
      </c>
      <c r="H843" s="8">
        <v>42165</v>
      </c>
      <c r="I843">
        <v>3775.44</v>
      </c>
      <c r="K843" s="8"/>
    </row>
    <row r="844" spans="1:11">
      <c r="A844">
        <v>200000843</v>
      </c>
      <c r="B844" t="s">
        <v>181</v>
      </c>
      <c r="C844" t="s">
        <v>109</v>
      </c>
      <c r="D844" t="s">
        <v>11</v>
      </c>
      <c r="E844" s="9">
        <v>49</v>
      </c>
      <c r="F844" t="s">
        <v>32</v>
      </c>
      <c r="G844" t="s">
        <v>18</v>
      </c>
      <c r="H844" s="7">
        <v>42165</v>
      </c>
      <c r="I844">
        <v>56695.35</v>
      </c>
      <c r="K844" s="7"/>
    </row>
    <row r="845" spans="1:11">
      <c r="A845">
        <v>200000844</v>
      </c>
      <c r="B845" t="s">
        <v>200</v>
      </c>
      <c r="C845" t="s">
        <v>152</v>
      </c>
      <c r="D845" t="s">
        <v>16</v>
      </c>
      <c r="E845" s="9">
        <v>35</v>
      </c>
      <c r="F845" t="s">
        <v>32</v>
      </c>
      <c r="G845" t="s">
        <v>33</v>
      </c>
      <c r="H845" s="8">
        <v>42165</v>
      </c>
      <c r="I845">
        <v>22134.94</v>
      </c>
      <c r="K845" s="8"/>
    </row>
    <row r="846" spans="1:11">
      <c r="A846">
        <v>300000845</v>
      </c>
      <c r="B846" t="s">
        <v>199</v>
      </c>
      <c r="C846" t="s">
        <v>211</v>
      </c>
      <c r="D846" t="s">
        <v>11</v>
      </c>
      <c r="E846" s="9">
        <v>45</v>
      </c>
      <c r="F846" t="s">
        <v>23</v>
      </c>
      <c r="G846" t="s">
        <v>18</v>
      </c>
      <c r="H846" s="7">
        <v>42165</v>
      </c>
      <c r="I846">
        <v>70114.570000000007</v>
      </c>
      <c r="K846" s="7"/>
    </row>
    <row r="847" spans="1:11">
      <c r="A847">
        <v>100000846</v>
      </c>
      <c r="B847" t="s">
        <v>284</v>
      </c>
      <c r="C847" t="s">
        <v>58</v>
      </c>
      <c r="D847" t="s">
        <v>16</v>
      </c>
      <c r="E847" s="9">
        <v>46</v>
      </c>
      <c r="F847" t="s">
        <v>12</v>
      </c>
      <c r="G847" t="s">
        <v>18</v>
      </c>
      <c r="H847" s="8">
        <v>42166</v>
      </c>
      <c r="I847">
        <v>20515.25</v>
      </c>
      <c r="K847" s="8"/>
    </row>
    <row r="848" spans="1:11">
      <c r="A848">
        <v>100000847</v>
      </c>
      <c r="B848" t="s">
        <v>192</v>
      </c>
      <c r="C848" t="s">
        <v>47</v>
      </c>
      <c r="D848" t="s">
        <v>16</v>
      </c>
      <c r="E848" s="9">
        <v>29</v>
      </c>
      <c r="F848" t="s">
        <v>12</v>
      </c>
      <c r="G848" t="s">
        <v>13</v>
      </c>
      <c r="H848" s="7">
        <v>42166</v>
      </c>
      <c r="I848">
        <v>31495.71</v>
      </c>
      <c r="K848" s="7"/>
    </row>
    <row r="849" spans="1:11">
      <c r="A849">
        <v>100000848</v>
      </c>
      <c r="B849" t="s">
        <v>175</v>
      </c>
      <c r="C849" t="s">
        <v>297</v>
      </c>
      <c r="D849" t="s">
        <v>11</v>
      </c>
      <c r="E849" s="9">
        <v>27</v>
      </c>
      <c r="F849" t="s">
        <v>12</v>
      </c>
      <c r="G849" t="s">
        <v>13</v>
      </c>
      <c r="H849" s="8">
        <v>42166</v>
      </c>
      <c r="I849">
        <v>78010.570000000007</v>
      </c>
      <c r="K849" s="8"/>
    </row>
    <row r="850" spans="1:11">
      <c r="A850">
        <v>100000849</v>
      </c>
      <c r="B850" t="s">
        <v>268</v>
      </c>
      <c r="C850" t="s">
        <v>85</v>
      </c>
      <c r="D850" t="s">
        <v>16</v>
      </c>
      <c r="E850" s="9">
        <v>25</v>
      </c>
      <c r="F850" t="s">
        <v>12</v>
      </c>
      <c r="G850" t="s">
        <v>13</v>
      </c>
      <c r="H850" s="7">
        <v>42166</v>
      </c>
      <c r="I850">
        <v>2703.33</v>
      </c>
      <c r="K850" s="7"/>
    </row>
    <row r="851" spans="1:11">
      <c r="A851">
        <v>100000850</v>
      </c>
      <c r="B851" t="s">
        <v>234</v>
      </c>
      <c r="C851" t="s">
        <v>78</v>
      </c>
      <c r="D851" t="s">
        <v>11</v>
      </c>
      <c r="E851" s="9">
        <v>36</v>
      </c>
      <c r="F851" t="s">
        <v>12</v>
      </c>
      <c r="G851" t="s">
        <v>18</v>
      </c>
      <c r="H851" s="8">
        <v>42166</v>
      </c>
      <c r="I851">
        <v>44399.73</v>
      </c>
      <c r="K851" s="8"/>
    </row>
    <row r="852" spans="1:11">
      <c r="A852">
        <v>100000851</v>
      </c>
      <c r="B852" t="s">
        <v>273</v>
      </c>
      <c r="C852" t="s">
        <v>313</v>
      </c>
      <c r="D852" t="s">
        <v>11</v>
      </c>
      <c r="E852" s="9">
        <v>32</v>
      </c>
      <c r="F852" t="s">
        <v>12</v>
      </c>
      <c r="G852" t="s">
        <v>13</v>
      </c>
      <c r="H852" s="7">
        <v>42166</v>
      </c>
      <c r="I852">
        <v>19378.62</v>
      </c>
      <c r="K852" s="7"/>
    </row>
    <row r="853" spans="1:11">
      <c r="A853">
        <v>300000852</v>
      </c>
      <c r="B853" t="s">
        <v>118</v>
      </c>
      <c r="C853" t="s">
        <v>277</v>
      </c>
      <c r="D853" t="s">
        <v>11</v>
      </c>
      <c r="E853" s="9">
        <v>53</v>
      </c>
      <c r="F853" t="s">
        <v>23</v>
      </c>
      <c r="G853" t="s">
        <v>13</v>
      </c>
      <c r="H853" s="8">
        <v>42166</v>
      </c>
      <c r="I853">
        <v>22477.05</v>
      </c>
      <c r="K853" s="8"/>
    </row>
    <row r="854" spans="1:11">
      <c r="A854">
        <v>100000853</v>
      </c>
      <c r="B854" t="s">
        <v>221</v>
      </c>
      <c r="C854" t="s">
        <v>257</v>
      </c>
      <c r="D854" t="s">
        <v>16</v>
      </c>
      <c r="E854" s="9">
        <v>36</v>
      </c>
      <c r="F854" t="s">
        <v>12</v>
      </c>
      <c r="G854" t="s">
        <v>13</v>
      </c>
      <c r="H854" s="7">
        <v>42167</v>
      </c>
      <c r="I854">
        <v>15461.71</v>
      </c>
      <c r="K854" s="7"/>
    </row>
    <row r="855" spans="1:11">
      <c r="A855">
        <v>100000854</v>
      </c>
      <c r="B855" t="s">
        <v>60</v>
      </c>
      <c r="C855" t="s">
        <v>313</v>
      </c>
      <c r="D855" t="s">
        <v>11</v>
      </c>
      <c r="E855" s="9">
        <v>42</v>
      </c>
      <c r="F855" t="s">
        <v>12</v>
      </c>
      <c r="G855" t="s">
        <v>13</v>
      </c>
      <c r="H855" s="8">
        <v>42167</v>
      </c>
      <c r="I855">
        <v>40303.71</v>
      </c>
      <c r="K855" s="8"/>
    </row>
    <row r="856" spans="1:11">
      <c r="A856">
        <v>200000855</v>
      </c>
      <c r="B856" t="s">
        <v>190</v>
      </c>
      <c r="C856" t="s">
        <v>35</v>
      </c>
      <c r="D856" t="s">
        <v>11</v>
      </c>
      <c r="E856" s="9">
        <v>40</v>
      </c>
      <c r="F856" t="s">
        <v>32</v>
      </c>
      <c r="G856" t="s">
        <v>18</v>
      </c>
      <c r="H856" s="7">
        <v>42167</v>
      </c>
      <c r="I856">
        <v>10718.8</v>
      </c>
      <c r="K856" s="7"/>
    </row>
    <row r="857" spans="1:11">
      <c r="A857">
        <v>200000856</v>
      </c>
      <c r="B857" t="s">
        <v>51</v>
      </c>
      <c r="C857" t="s">
        <v>307</v>
      </c>
      <c r="D857" t="s">
        <v>11</v>
      </c>
      <c r="E857" s="9">
        <v>41</v>
      </c>
      <c r="F857" t="s">
        <v>32</v>
      </c>
      <c r="G857" t="s">
        <v>18</v>
      </c>
      <c r="H857" s="8">
        <v>42167</v>
      </c>
      <c r="I857">
        <v>67100.09</v>
      </c>
      <c r="K857" s="8"/>
    </row>
    <row r="858" spans="1:11">
      <c r="A858">
        <v>300000857</v>
      </c>
      <c r="B858" t="s">
        <v>84</v>
      </c>
      <c r="C858" t="s">
        <v>52</v>
      </c>
      <c r="D858" t="s">
        <v>16</v>
      </c>
      <c r="E858" s="9">
        <v>25</v>
      </c>
      <c r="F858" t="s">
        <v>23</v>
      </c>
      <c r="G858" t="s">
        <v>18</v>
      </c>
      <c r="H858" s="7">
        <v>42167</v>
      </c>
      <c r="I858">
        <v>15700.14</v>
      </c>
      <c r="K858" s="7"/>
    </row>
    <row r="859" spans="1:11">
      <c r="A859">
        <v>100000858</v>
      </c>
      <c r="B859" t="s">
        <v>9</v>
      </c>
      <c r="C859" t="s">
        <v>253</v>
      </c>
      <c r="D859" t="s">
        <v>11</v>
      </c>
      <c r="E859" s="9">
        <v>45</v>
      </c>
      <c r="F859" t="s">
        <v>12</v>
      </c>
      <c r="G859" t="s">
        <v>18</v>
      </c>
      <c r="H859" s="8">
        <v>42168</v>
      </c>
      <c r="I859">
        <v>12326.19</v>
      </c>
      <c r="K859" s="8"/>
    </row>
    <row r="860" spans="1:11">
      <c r="A860">
        <v>100000859</v>
      </c>
      <c r="B860" t="s">
        <v>180</v>
      </c>
      <c r="C860" t="s">
        <v>227</v>
      </c>
      <c r="D860" t="s">
        <v>16</v>
      </c>
      <c r="E860" s="9">
        <v>33</v>
      </c>
      <c r="F860" t="s">
        <v>12</v>
      </c>
      <c r="G860" t="s">
        <v>13</v>
      </c>
      <c r="H860" s="7">
        <v>42168</v>
      </c>
      <c r="I860">
        <v>20019.580000000002</v>
      </c>
      <c r="K860" s="7"/>
    </row>
    <row r="861" spans="1:11">
      <c r="A861">
        <v>100000860</v>
      </c>
      <c r="B861" t="s">
        <v>158</v>
      </c>
      <c r="C861" t="s">
        <v>170</v>
      </c>
      <c r="D861" t="s">
        <v>16</v>
      </c>
      <c r="E861" s="9">
        <v>38</v>
      </c>
      <c r="F861" t="s">
        <v>12</v>
      </c>
      <c r="G861" t="s">
        <v>13</v>
      </c>
      <c r="H861" s="8">
        <v>42168</v>
      </c>
      <c r="I861">
        <v>9100.32</v>
      </c>
      <c r="K861" s="8"/>
    </row>
    <row r="862" spans="1:11">
      <c r="A862">
        <v>100000861</v>
      </c>
      <c r="B862" t="s">
        <v>250</v>
      </c>
      <c r="C862" t="s">
        <v>260</v>
      </c>
      <c r="D862" t="s">
        <v>16</v>
      </c>
      <c r="E862" s="9">
        <v>47</v>
      </c>
      <c r="F862" t="s">
        <v>12</v>
      </c>
      <c r="G862" t="s">
        <v>18</v>
      </c>
      <c r="H862" s="7">
        <v>42168</v>
      </c>
      <c r="I862">
        <v>9098.32</v>
      </c>
      <c r="K862" s="7"/>
    </row>
    <row r="863" spans="1:11">
      <c r="A863">
        <v>100000862</v>
      </c>
      <c r="B863" t="s">
        <v>148</v>
      </c>
      <c r="C863" t="s">
        <v>238</v>
      </c>
      <c r="D863" t="s">
        <v>11</v>
      </c>
      <c r="E863" s="9">
        <v>31</v>
      </c>
      <c r="F863" t="s">
        <v>12</v>
      </c>
      <c r="G863" t="s">
        <v>33</v>
      </c>
      <c r="H863" s="8">
        <v>42168</v>
      </c>
      <c r="I863">
        <v>20938.59</v>
      </c>
      <c r="K863" s="8"/>
    </row>
    <row r="864" spans="1:11">
      <c r="A864">
        <v>200000863</v>
      </c>
      <c r="B864" t="s">
        <v>249</v>
      </c>
      <c r="C864" t="s">
        <v>61</v>
      </c>
      <c r="D864" t="s">
        <v>16</v>
      </c>
      <c r="E864" s="9">
        <v>42</v>
      </c>
      <c r="F864" t="s">
        <v>32</v>
      </c>
      <c r="G864" t="s">
        <v>33</v>
      </c>
      <c r="H864" s="7">
        <v>42168</v>
      </c>
      <c r="I864">
        <v>82725.38</v>
      </c>
      <c r="K864" s="7"/>
    </row>
    <row r="865" spans="1:11">
      <c r="A865">
        <v>200000864</v>
      </c>
      <c r="B865" t="s">
        <v>188</v>
      </c>
      <c r="C865" t="s">
        <v>179</v>
      </c>
      <c r="D865" t="s">
        <v>11</v>
      </c>
      <c r="E865" s="9">
        <v>58</v>
      </c>
      <c r="F865" t="s">
        <v>32</v>
      </c>
      <c r="G865" t="s">
        <v>18</v>
      </c>
      <c r="H865" s="8">
        <v>42168</v>
      </c>
      <c r="I865">
        <v>36743</v>
      </c>
      <c r="K865" s="8"/>
    </row>
    <row r="866" spans="1:11">
      <c r="A866">
        <v>200000865</v>
      </c>
      <c r="B866" t="s">
        <v>102</v>
      </c>
      <c r="C866" t="s">
        <v>87</v>
      </c>
      <c r="D866" t="s">
        <v>16</v>
      </c>
      <c r="E866" s="9">
        <v>43</v>
      </c>
      <c r="F866" t="s">
        <v>32</v>
      </c>
      <c r="G866" t="s">
        <v>33</v>
      </c>
      <c r="H866" s="7">
        <v>42168</v>
      </c>
      <c r="I866">
        <v>57420.82</v>
      </c>
      <c r="K866" s="7"/>
    </row>
    <row r="867" spans="1:11">
      <c r="A867">
        <v>200000866</v>
      </c>
      <c r="B867" t="s">
        <v>103</v>
      </c>
      <c r="C867" t="s">
        <v>109</v>
      </c>
      <c r="D867" t="s">
        <v>11</v>
      </c>
      <c r="E867" s="9">
        <v>56</v>
      </c>
      <c r="F867" t="s">
        <v>32</v>
      </c>
      <c r="G867" t="s">
        <v>18</v>
      </c>
      <c r="H867" s="8">
        <v>42168</v>
      </c>
      <c r="I867">
        <v>31933.56</v>
      </c>
      <c r="K867" s="8"/>
    </row>
    <row r="868" spans="1:11">
      <c r="A868">
        <v>100000867</v>
      </c>
      <c r="B868" t="s">
        <v>312</v>
      </c>
      <c r="C868" t="s">
        <v>270</v>
      </c>
      <c r="D868" t="s">
        <v>11</v>
      </c>
      <c r="E868" s="9">
        <v>38</v>
      </c>
      <c r="F868" t="s">
        <v>12</v>
      </c>
      <c r="G868" t="s">
        <v>13</v>
      </c>
      <c r="H868" s="7">
        <v>42169</v>
      </c>
      <c r="I868">
        <v>4562.7700000000004</v>
      </c>
      <c r="K868" s="7"/>
    </row>
    <row r="869" spans="1:11">
      <c r="A869">
        <v>100000868</v>
      </c>
      <c r="B869" t="s">
        <v>166</v>
      </c>
      <c r="C869" t="s">
        <v>10</v>
      </c>
      <c r="D869" t="s">
        <v>16</v>
      </c>
      <c r="E869" s="9">
        <v>44</v>
      </c>
      <c r="F869" t="s">
        <v>12</v>
      </c>
      <c r="G869" t="s">
        <v>13</v>
      </c>
      <c r="H869" s="8">
        <v>42169</v>
      </c>
      <c r="I869">
        <v>19645.169999999998</v>
      </c>
      <c r="K869" s="8"/>
    </row>
    <row r="870" spans="1:11">
      <c r="A870">
        <v>100000869</v>
      </c>
      <c r="B870" t="s">
        <v>214</v>
      </c>
      <c r="C870" t="s">
        <v>78</v>
      </c>
      <c r="D870" t="s">
        <v>11</v>
      </c>
      <c r="E870" s="9">
        <v>34</v>
      </c>
      <c r="F870" t="s">
        <v>12</v>
      </c>
      <c r="G870" t="s">
        <v>13</v>
      </c>
      <c r="H870" s="7">
        <v>42169</v>
      </c>
      <c r="I870">
        <v>22571.15</v>
      </c>
      <c r="K870" s="7"/>
    </row>
    <row r="871" spans="1:11">
      <c r="A871">
        <v>100000870</v>
      </c>
      <c r="B871" t="s">
        <v>228</v>
      </c>
      <c r="C871" t="s">
        <v>259</v>
      </c>
      <c r="D871" t="s">
        <v>11</v>
      </c>
      <c r="E871" s="9">
        <v>38</v>
      </c>
      <c r="F871" t="s">
        <v>12</v>
      </c>
      <c r="G871" t="s">
        <v>13</v>
      </c>
      <c r="H871" s="8">
        <v>42169</v>
      </c>
      <c r="I871">
        <v>19703.37</v>
      </c>
      <c r="K871" s="8"/>
    </row>
    <row r="872" spans="1:11">
      <c r="A872">
        <v>100000871</v>
      </c>
      <c r="B872" t="s">
        <v>159</v>
      </c>
      <c r="C872" t="s">
        <v>294</v>
      </c>
      <c r="D872" t="s">
        <v>11</v>
      </c>
      <c r="E872" s="9">
        <v>40</v>
      </c>
      <c r="F872" t="s">
        <v>12</v>
      </c>
      <c r="G872" t="s">
        <v>13</v>
      </c>
      <c r="H872" s="7">
        <v>42169</v>
      </c>
      <c r="I872">
        <v>79434.98</v>
      </c>
      <c r="K872" s="7"/>
    </row>
    <row r="873" spans="1:11">
      <c r="A873">
        <v>100000872</v>
      </c>
      <c r="B873" t="s">
        <v>250</v>
      </c>
      <c r="C873" t="s">
        <v>41</v>
      </c>
      <c r="D873" t="s">
        <v>16</v>
      </c>
      <c r="E873" s="9">
        <v>46</v>
      </c>
      <c r="F873" t="s">
        <v>12</v>
      </c>
      <c r="G873" t="s">
        <v>13</v>
      </c>
      <c r="H873" s="8">
        <v>42169</v>
      </c>
      <c r="I873">
        <v>20383.64</v>
      </c>
      <c r="K873" s="8"/>
    </row>
    <row r="874" spans="1:11">
      <c r="A874">
        <v>100000873</v>
      </c>
      <c r="B874" t="s">
        <v>316</v>
      </c>
      <c r="C874" t="s">
        <v>59</v>
      </c>
      <c r="D874" t="s">
        <v>16</v>
      </c>
      <c r="E874" s="9">
        <v>30</v>
      </c>
      <c r="F874" t="s">
        <v>12</v>
      </c>
      <c r="G874" t="s">
        <v>13</v>
      </c>
      <c r="H874" s="7">
        <v>42169</v>
      </c>
      <c r="I874">
        <v>35243.71</v>
      </c>
      <c r="K874" s="7"/>
    </row>
    <row r="875" spans="1:11">
      <c r="A875">
        <v>100000874</v>
      </c>
      <c r="B875" t="s">
        <v>304</v>
      </c>
      <c r="C875" t="s">
        <v>275</v>
      </c>
      <c r="D875" t="s">
        <v>16</v>
      </c>
      <c r="E875" s="9">
        <v>34</v>
      </c>
      <c r="F875" t="s">
        <v>12</v>
      </c>
      <c r="G875" t="s">
        <v>13</v>
      </c>
      <c r="H875" s="8">
        <v>42169</v>
      </c>
      <c r="I875">
        <v>10218.700000000001</v>
      </c>
      <c r="K875" s="8"/>
    </row>
    <row r="876" spans="1:11">
      <c r="A876">
        <v>100000875</v>
      </c>
      <c r="B876" t="s">
        <v>57</v>
      </c>
      <c r="C876" t="s">
        <v>106</v>
      </c>
      <c r="D876" t="s">
        <v>11</v>
      </c>
      <c r="E876" s="9">
        <v>47</v>
      </c>
      <c r="F876" t="s">
        <v>12</v>
      </c>
      <c r="G876" t="s">
        <v>13</v>
      </c>
      <c r="H876" s="7">
        <v>42169</v>
      </c>
      <c r="I876">
        <v>69979.67</v>
      </c>
      <c r="K876" s="7"/>
    </row>
    <row r="877" spans="1:11">
      <c r="A877">
        <v>100000876</v>
      </c>
      <c r="B877" t="s">
        <v>243</v>
      </c>
      <c r="C877" t="s">
        <v>25</v>
      </c>
      <c r="D877" t="s">
        <v>16</v>
      </c>
      <c r="E877" s="9">
        <v>35</v>
      </c>
      <c r="F877" t="s">
        <v>12</v>
      </c>
      <c r="G877" t="s">
        <v>13</v>
      </c>
      <c r="H877" s="8">
        <v>42169</v>
      </c>
      <c r="I877">
        <v>26731.119999999999</v>
      </c>
      <c r="K877" s="8"/>
    </row>
    <row r="878" spans="1:11">
      <c r="A878">
        <v>100000877</v>
      </c>
      <c r="B878" t="s">
        <v>74</v>
      </c>
      <c r="C878" t="s">
        <v>153</v>
      </c>
      <c r="D878" t="s">
        <v>16</v>
      </c>
      <c r="E878" s="9">
        <v>34</v>
      </c>
      <c r="F878" t="s">
        <v>12</v>
      </c>
      <c r="G878" t="s">
        <v>13</v>
      </c>
      <c r="H878" s="7">
        <v>42169</v>
      </c>
      <c r="I878">
        <v>76181.33</v>
      </c>
      <c r="K878" s="7"/>
    </row>
    <row r="879" spans="1:11">
      <c r="A879">
        <v>100000878</v>
      </c>
      <c r="B879" t="s">
        <v>284</v>
      </c>
      <c r="C879" t="s">
        <v>210</v>
      </c>
      <c r="D879" t="s">
        <v>16</v>
      </c>
      <c r="E879" s="9">
        <v>22</v>
      </c>
      <c r="F879" t="s">
        <v>12</v>
      </c>
      <c r="G879" t="s">
        <v>13</v>
      </c>
      <c r="H879" s="8">
        <v>42170</v>
      </c>
      <c r="I879">
        <v>31498.959999999999</v>
      </c>
      <c r="K879" s="8"/>
    </row>
    <row r="880" spans="1:11">
      <c r="A880">
        <v>100000879</v>
      </c>
      <c r="B880" t="s">
        <v>40</v>
      </c>
      <c r="C880" t="s">
        <v>205</v>
      </c>
      <c r="D880" t="s">
        <v>11</v>
      </c>
      <c r="E880" s="9">
        <v>31</v>
      </c>
      <c r="F880" t="s">
        <v>12</v>
      </c>
      <c r="G880" t="s">
        <v>13</v>
      </c>
      <c r="H880" s="7">
        <v>42170</v>
      </c>
      <c r="I880">
        <v>38820.410000000003</v>
      </c>
      <c r="K880" s="7"/>
    </row>
    <row r="881" spans="1:11">
      <c r="A881">
        <v>100000880</v>
      </c>
      <c r="B881" t="s">
        <v>66</v>
      </c>
      <c r="C881" t="s">
        <v>282</v>
      </c>
      <c r="D881" t="s">
        <v>16</v>
      </c>
      <c r="E881" s="9">
        <v>31</v>
      </c>
      <c r="F881" t="s">
        <v>12</v>
      </c>
      <c r="G881" t="s">
        <v>18</v>
      </c>
      <c r="H881" s="8">
        <v>42170</v>
      </c>
      <c r="I881">
        <v>20304.099999999999</v>
      </c>
      <c r="K881" s="8"/>
    </row>
    <row r="882" spans="1:11">
      <c r="A882">
        <v>100000881</v>
      </c>
      <c r="B882" t="s">
        <v>139</v>
      </c>
      <c r="C882" t="s">
        <v>290</v>
      </c>
      <c r="D882" t="s">
        <v>16</v>
      </c>
      <c r="E882" s="9">
        <v>38</v>
      </c>
      <c r="F882" t="s">
        <v>12</v>
      </c>
      <c r="G882" t="s">
        <v>18</v>
      </c>
      <c r="H882" s="7">
        <v>42170</v>
      </c>
      <c r="I882">
        <v>40515.599999999999</v>
      </c>
      <c r="K882" s="7"/>
    </row>
    <row r="883" spans="1:11">
      <c r="A883">
        <v>100000882</v>
      </c>
      <c r="B883" t="s">
        <v>111</v>
      </c>
      <c r="C883" t="s">
        <v>130</v>
      </c>
      <c r="D883" t="s">
        <v>11</v>
      </c>
      <c r="E883" s="9">
        <v>23</v>
      </c>
      <c r="F883" t="s">
        <v>12</v>
      </c>
      <c r="G883" t="s">
        <v>13</v>
      </c>
      <c r="H883" s="8">
        <v>42170</v>
      </c>
      <c r="I883">
        <v>13049.38</v>
      </c>
      <c r="K883" s="8"/>
    </row>
    <row r="884" spans="1:11">
      <c r="A884">
        <v>100000883</v>
      </c>
      <c r="B884" t="s">
        <v>200</v>
      </c>
      <c r="C884" t="s">
        <v>272</v>
      </c>
      <c r="D884" t="s">
        <v>16</v>
      </c>
      <c r="E884" s="9">
        <v>42</v>
      </c>
      <c r="F884" t="s">
        <v>12</v>
      </c>
      <c r="G884" t="s">
        <v>13</v>
      </c>
      <c r="H884" s="7">
        <v>42170</v>
      </c>
      <c r="I884">
        <v>38638.28</v>
      </c>
      <c r="K884" s="7"/>
    </row>
    <row r="885" spans="1:11">
      <c r="A885">
        <v>100000884</v>
      </c>
      <c r="B885" t="s">
        <v>30</v>
      </c>
      <c r="C885" t="s">
        <v>247</v>
      </c>
      <c r="D885" t="s">
        <v>16</v>
      </c>
      <c r="E885" s="9">
        <v>24</v>
      </c>
      <c r="F885" t="s">
        <v>12</v>
      </c>
      <c r="G885" t="s">
        <v>13</v>
      </c>
      <c r="H885" s="8">
        <v>42170</v>
      </c>
      <c r="I885">
        <v>38243.22</v>
      </c>
      <c r="K885" s="8"/>
    </row>
    <row r="886" spans="1:11">
      <c r="A886">
        <v>100000885</v>
      </c>
      <c r="B886" t="s">
        <v>182</v>
      </c>
      <c r="C886" t="s">
        <v>289</v>
      </c>
      <c r="D886" t="s">
        <v>16</v>
      </c>
      <c r="E886" s="9">
        <v>45</v>
      </c>
      <c r="F886" t="s">
        <v>12</v>
      </c>
      <c r="G886" t="s">
        <v>13</v>
      </c>
      <c r="H886" s="7">
        <v>42170</v>
      </c>
      <c r="I886">
        <v>29123.62</v>
      </c>
      <c r="K886" s="7"/>
    </row>
    <row r="887" spans="1:11">
      <c r="A887">
        <v>200000886</v>
      </c>
      <c r="B887" t="s">
        <v>174</v>
      </c>
      <c r="C887" t="s">
        <v>253</v>
      </c>
      <c r="D887" t="s">
        <v>11</v>
      </c>
      <c r="E887" s="9">
        <v>54</v>
      </c>
      <c r="F887" t="s">
        <v>32</v>
      </c>
      <c r="G887" t="s">
        <v>18</v>
      </c>
      <c r="H887" s="8">
        <v>42170</v>
      </c>
      <c r="I887">
        <v>55672.22</v>
      </c>
      <c r="K887" s="8"/>
    </row>
    <row r="888" spans="1:11">
      <c r="A888">
        <v>200000887</v>
      </c>
      <c r="B888" t="s">
        <v>308</v>
      </c>
      <c r="C888" t="s">
        <v>142</v>
      </c>
      <c r="D888" t="s">
        <v>16</v>
      </c>
      <c r="E888" s="9">
        <v>38</v>
      </c>
      <c r="F888" t="s">
        <v>32</v>
      </c>
      <c r="G888" t="s">
        <v>33</v>
      </c>
      <c r="H888" s="7">
        <v>42170</v>
      </c>
      <c r="I888">
        <v>18241.98</v>
      </c>
      <c r="K888" s="7"/>
    </row>
    <row r="889" spans="1:11">
      <c r="A889">
        <v>300000888</v>
      </c>
      <c r="B889" t="s">
        <v>146</v>
      </c>
      <c r="C889" t="s">
        <v>209</v>
      </c>
      <c r="D889" t="s">
        <v>16</v>
      </c>
      <c r="E889" s="9">
        <v>26</v>
      </c>
      <c r="F889" t="s">
        <v>23</v>
      </c>
      <c r="G889" t="s">
        <v>13</v>
      </c>
      <c r="H889" s="8">
        <v>42170</v>
      </c>
      <c r="I889">
        <v>54186.89</v>
      </c>
      <c r="K889" s="8"/>
    </row>
    <row r="890" spans="1:11">
      <c r="A890">
        <v>100000889</v>
      </c>
      <c r="B890" t="s">
        <v>169</v>
      </c>
      <c r="C890" t="s">
        <v>230</v>
      </c>
      <c r="D890" t="s">
        <v>11</v>
      </c>
      <c r="E890" s="9">
        <v>37</v>
      </c>
      <c r="F890" t="s">
        <v>12</v>
      </c>
      <c r="G890" t="s">
        <v>13</v>
      </c>
      <c r="H890" s="7">
        <v>42171</v>
      </c>
      <c r="I890">
        <v>44096.51</v>
      </c>
      <c r="K890" s="7"/>
    </row>
    <row r="891" spans="1:11">
      <c r="A891">
        <v>100000890</v>
      </c>
      <c r="B891" t="s">
        <v>111</v>
      </c>
      <c r="C891" t="s">
        <v>156</v>
      </c>
      <c r="D891" t="s">
        <v>11</v>
      </c>
      <c r="E891" s="9">
        <v>26</v>
      </c>
      <c r="F891" t="s">
        <v>12</v>
      </c>
      <c r="G891" t="s">
        <v>18</v>
      </c>
      <c r="H891" s="8">
        <v>42171</v>
      </c>
      <c r="I891">
        <v>70346.539999999994</v>
      </c>
      <c r="K891" s="8"/>
    </row>
    <row r="892" spans="1:11">
      <c r="A892">
        <v>100000891</v>
      </c>
      <c r="B892" t="s">
        <v>324</v>
      </c>
      <c r="C892" t="s">
        <v>136</v>
      </c>
      <c r="D892" t="s">
        <v>16</v>
      </c>
      <c r="E892" s="9">
        <v>32</v>
      </c>
      <c r="F892" t="s">
        <v>12</v>
      </c>
      <c r="G892" t="s">
        <v>33</v>
      </c>
      <c r="H892" s="7">
        <v>42171</v>
      </c>
      <c r="I892">
        <v>48355</v>
      </c>
      <c r="K892" s="7"/>
    </row>
    <row r="893" spans="1:11">
      <c r="A893">
        <v>100000892</v>
      </c>
      <c r="B893" t="s">
        <v>199</v>
      </c>
      <c r="C893" t="s">
        <v>291</v>
      </c>
      <c r="D893" t="s">
        <v>11</v>
      </c>
      <c r="E893" s="9">
        <v>27</v>
      </c>
      <c r="F893" t="s">
        <v>12</v>
      </c>
      <c r="G893" t="s">
        <v>13</v>
      </c>
      <c r="H893" s="8">
        <v>42171</v>
      </c>
      <c r="I893">
        <v>37191.94</v>
      </c>
      <c r="K893" s="8"/>
    </row>
    <row r="894" spans="1:11">
      <c r="A894">
        <v>100000893</v>
      </c>
      <c r="B894" t="s">
        <v>110</v>
      </c>
      <c r="C894" t="s">
        <v>58</v>
      </c>
      <c r="D894" t="s">
        <v>16</v>
      </c>
      <c r="E894" s="9">
        <v>41</v>
      </c>
      <c r="F894" t="s">
        <v>12</v>
      </c>
      <c r="G894" t="s">
        <v>13</v>
      </c>
      <c r="H894" s="7">
        <v>42171</v>
      </c>
      <c r="I894">
        <v>12212.85</v>
      </c>
      <c r="K894" s="7"/>
    </row>
    <row r="895" spans="1:11">
      <c r="A895">
        <v>100000894</v>
      </c>
      <c r="B895" t="s">
        <v>244</v>
      </c>
      <c r="C895" t="s">
        <v>140</v>
      </c>
      <c r="D895" t="s">
        <v>16</v>
      </c>
      <c r="E895" s="9">
        <v>39</v>
      </c>
      <c r="F895" t="s">
        <v>12</v>
      </c>
      <c r="G895" t="s">
        <v>33</v>
      </c>
      <c r="H895" s="8">
        <v>42171</v>
      </c>
      <c r="I895">
        <v>46957.62</v>
      </c>
      <c r="K895" s="8"/>
    </row>
    <row r="896" spans="1:11">
      <c r="A896">
        <v>100000895</v>
      </c>
      <c r="B896" t="s">
        <v>128</v>
      </c>
      <c r="C896" t="s">
        <v>91</v>
      </c>
      <c r="D896" t="s">
        <v>16</v>
      </c>
      <c r="E896" s="9">
        <v>33</v>
      </c>
      <c r="F896" t="s">
        <v>12</v>
      </c>
      <c r="G896" t="s">
        <v>13</v>
      </c>
      <c r="H896" s="7">
        <v>42171</v>
      </c>
      <c r="I896">
        <v>20359.61</v>
      </c>
      <c r="K896" s="7"/>
    </row>
    <row r="897" spans="1:11">
      <c r="A897">
        <v>200000896</v>
      </c>
      <c r="B897" t="s">
        <v>143</v>
      </c>
      <c r="C897" t="s">
        <v>315</v>
      </c>
      <c r="D897" t="s">
        <v>11</v>
      </c>
      <c r="E897" s="9">
        <v>59</v>
      </c>
      <c r="F897" t="s">
        <v>32</v>
      </c>
      <c r="G897" t="s">
        <v>18</v>
      </c>
      <c r="H897" s="8">
        <v>42171</v>
      </c>
      <c r="I897">
        <v>21784.09</v>
      </c>
      <c r="K897" s="8"/>
    </row>
    <row r="898" spans="1:11">
      <c r="A898">
        <v>200000897</v>
      </c>
      <c r="B898" t="s">
        <v>55</v>
      </c>
      <c r="C898" t="s">
        <v>290</v>
      </c>
      <c r="D898" t="s">
        <v>11</v>
      </c>
      <c r="E898" s="9">
        <v>49</v>
      </c>
      <c r="F898" t="s">
        <v>32</v>
      </c>
      <c r="G898" t="s">
        <v>18</v>
      </c>
      <c r="H898" s="7">
        <v>42171</v>
      </c>
      <c r="I898">
        <v>66375.91</v>
      </c>
      <c r="K898" s="7"/>
    </row>
    <row r="899" spans="1:11">
      <c r="A899">
        <v>100000898</v>
      </c>
      <c r="B899" t="s">
        <v>50</v>
      </c>
      <c r="C899" t="s">
        <v>170</v>
      </c>
      <c r="D899" t="s">
        <v>16</v>
      </c>
      <c r="E899" s="9">
        <v>47</v>
      </c>
      <c r="F899" t="s">
        <v>12</v>
      </c>
      <c r="G899" t="s">
        <v>13</v>
      </c>
      <c r="H899" s="8">
        <v>42172</v>
      </c>
      <c r="I899">
        <v>24797.11</v>
      </c>
      <c r="K899" s="8"/>
    </row>
    <row r="900" spans="1:11">
      <c r="A900">
        <v>100000899</v>
      </c>
      <c r="B900" t="s">
        <v>262</v>
      </c>
      <c r="C900" t="s">
        <v>277</v>
      </c>
      <c r="D900" t="s">
        <v>16</v>
      </c>
      <c r="E900" s="9">
        <v>40</v>
      </c>
      <c r="F900" t="s">
        <v>12</v>
      </c>
      <c r="G900" t="s">
        <v>18</v>
      </c>
      <c r="H900" s="7">
        <v>42172</v>
      </c>
      <c r="I900">
        <v>27635.279999999999</v>
      </c>
      <c r="K900" s="7"/>
    </row>
    <row r="901" spans="1:11">
      <c r="A901">
        <v>100000900</v>
      </c>
      <c r="B901" t="s">
        <v>117</v>
      </c>
      <c r="C901" t="s">
        <v>15</v>
      </c>
      <c r="D901" t="s">
        <v>16</v>
      </c>
      <c r="E901" s="9">
        <v>34</v>
      </c>
      <c r="F901" t="s">
        <v>12</v>
      </c>
      <c r="G901" t="s">
        <v>13</v>
      </c>
      <c r="H901" s="8">
        <v>42172</v>
      </c>
      <c r="I901">
        <v>17308.75</v>
      </c>
      <c r="K901" s="8"/>
    </row>
    <row r="902" spans="1:11">
      <c r="A902">
        <v>100000901</v>
      </c>
      <c r="B902" t="s">
        <v>271</v>
      </c>
      <c r="C902" t="s">
        <v>58</v>
      </c>
      <c r="D902" t="s">
        <v>16</v>
      </c>
      <c r="E902" s="9">
        <v>38</v>
      </c>
      <c r="F902" t="s">
        <v>12</v>
      </c>
      <c r="G902" t="s">
        <v>13</v>
      </c>
      <c r="H902" s="7">
        <v>42172</v>
      </c>
      <c r="I902">
        <v>95477.25</v>
      </c>
      <c r="K902" s="7"/>
    </row>
    <row r="903" spans="1:11">
      <c r="A903">
        <v>100000902</v>
      </c>
      <c r="B903" t="s">
        <v>79</v>
      </c>
      <c r="C903" t="s">
        <v>114</v>
      </c>
      <c r="D903" t="s">
        <v>11</v>
      </c>
      <c r="E903" s="9">
        <v>37</v>
      </c>
      <c r="F903" t="s">
        <v>12</v>
      </c>
      <c r="G903" t="s">
        <v>13</v>
      </c>
      <c r="H903" s="8">
        <v>42172</v>
      </c>
      <c r="I903">
        <v>46682.59</v>
      </c>
      <c r="K903" s="8"/>
    </row>
    <row r="904" spans="1:11">
      <c r="A904">
        <v>200000903</v>
      </c>
      <c r="B904" t="s">
        <v>79</v>
      </c>
      <c r="C904" t="s">
        <v>138</v>
      </c>
      <c r="D904" t="s">
        <v>11</v>
      </c>
      <c r="E904" s="9">
        <v>43</v>
      </c>
      <c r="F904" t="s">
        <v>32</v>
      </c>
      <c r="G904" t="s">
        <v>33</v>
      </c>
      <c r="H904" s="7">
        <v>42172</v>
      </c>
      <c r="I904">
        <v>21136.880000000001</v>
      </c>
      <c r="K904" s="7"/>
    </row>
    <row r="905" spans="1:11">
      <c r="A905">
        <v>200000904</v>
      </c>
      <c r="B905" t="s">
        <v>40</v>
      </c>
      <c r="C905" t="s">
        <v>209</v>
      </c>
      <c r="D905" t="s">
        <v>11</v>
      </c>
      <c r="E905" s="9">
        <v>52</v>
      </c>
      <c r="F905" t="s">
        <v>32</v>
      </c>
      <c r="G905" t="s">
        <v>18</v>
      </c>
      <c r="H905" s="8">
        <v>42172</v>
      </c>
      <c r="I905">
        <v>51689.74</v>
      </c>
      <c r="K905" s="8"/>
    </row>
    <row r="906" spans="1:11">
      <c r="A906">
        <v>300000905</v>
      </c>
      <c r="B906" t="s">
        <v>180</v>
      </c>
      <c r="C906" t="s">
        <v>94</v>
      </c>
      <c r="D906" t="s">
        <v>16</v>
      </c>
      <c r="E906" s="9">
        <v>29</v>
      </c>
      <c r="F906" t="s">
        <v>23</v>
      </c>
      <c r="G906" t="s">
        <v>33</v>
      </c>
      <c r="H906" s="7">
        <v>42172</v>
      </c>
      <c r="I906">
        <v>16037.16</v>
      </c>
      <c r="K906" s="7"/>
    </row>
    <row r="907" spans="1:11">
      <c r="A907">
        <v>100000906</v>
      </c>
      <c r="B907" t="s">
        <v>323</v>
      </c>
      <c r="C907" t="s">
        <v>142</v>
      </c>
      <c r="D907" t="s">
        <v>16</v>
      </c>
      <c r="E907" s="9">
        <v>31</v>
      </c>
      <c r="F907" t="s">
        <v>12</v>
      </c>
      <c r="G907" t="s">
        <v>13</v>
      </c>
      <c r="H907" s="8">
        <v>42173</v>
      </c>
      <c r="I907">
        <v>24602.080000000002</v>
      </c>
      <c r="K907" s="8"/>
    </row>
    <row r="908" spans="1:11">
      <c r="A908">
        <v>100000907</v>
      </c>
      <c r="B908" t="s">
        <v>90</v>
      </c>
      <c r="C908" t="s">
        <v>78</v>
      </c>
      <c r="D908" t="s">
        <v>11</v>
      </c>
      <c r="E908" s="9">
        <v>47</v>
      </c>
      <c r="F908" t="s">
        <v>12</v>
      </c>
      <c r="G908" t="s">
        <v>13</v>
      </c>
      <c r="H908" s="7">
        <v>42173</v>
      </c>
      <c r="I908">
        <v>71446.539999999994</v>
      </c>
      <c r="K908" s="7"/>
    </row>
    <row r="909" spans="1:11">
      <c r="A909">
        <v>100000908</v>
      </c>
      <c r="B909" t="s">
        <v>199</v>
      </c>
      <c r="C909" t="s">
        <v>156</v>
      </c>
      <c r="D909" t="s">
        <v>11</v>
      </c>
      <c r="E909" s="9">
        <v>31</v>
      </c>
      <c r="F909" t="s">
        <v>12</v>
      </c>
      <c r="G909" t="s">
        <v>13</v>
      </c>
      <c r="H909" s="8">
        <v>42173</v>
      </c>
      <c r="I909">
        <v>35693.86</v>
      </c>
      <c r="K909" s="8"/>
    </row>
    <row r="910" spans="1:11">
      <c r="A910">
        <v>200000909</v>
      </c>
      <c r="B910" t="s">
        <v>301</v>
      </c>
      <c r="C910" t="s">
        <v>325</v>
      </c>
      <c r="D910" t="s">
        <v>16</v>
      </c>
      <c r="E910" s="9">
        <v>44</v>
      </c>
      <c r="F910" t="s">
        <v>32</v>
      </c>
      <c r="G910" t="s">
        <v>33</v>
      </c>
      <c r="H910" s="7">
        <v>42173</v>
      </c>
      <c r="I910">
        <v>96860.93</v>
      </c>
      <c r="K910" s="7"/>
    </row>
    <row r="911" spans="1:11">
      <c r="A911">
        <v>200000910</v>
      </c>
      <c r="B911" t="s">
        <v>197</v>
      </c>
      <c r="C911" t="s">
        <v>151</v>
      </c>
      <c r="D911" t="s">
        <v>11</v>
      </c>
      <c r="E911" s="9">
        <v>43</v>
      </c>
      <c r="F911" t="s">
        <v>32</v>
      </c>
      <c r="G911" t="s">
        <v>18</v>
      </c>
      <c r="H911" s="8">
        <v>42173</v>
      </c>
      <c r="I911">
        <v>30323.97</v>
      </c>
      <c r="K911" s="8"/>
    </row>
    <row r="912" spans="1:11">
      <c r="A912">
        <v>200000911</v>
      </c>
      <c r="B912" t="s">
        <v>264</v>
      </c>
      <c r="C912" t="s">
        <v>325</v>
      </c>
      <c r="D912" t="s">
        <v>11</v>
      </c>
      <c r="E912" s="9">
        <v>48</v>
      </c>
      <c r="F912" t="s">
        <v>32</v>
      </c>
      <c r="G912" t="s">
        <v>33</v>
      </c>
      <c r="H912" s="7">
        <v>42173</v>
      </c>
      <c r="I912">
        <v>1341.31</v>
      </c>
      <c r="K912" s="7"/>
    </row>
    <row r="913" spans="1:11">
      <c r="A913">
        <v>200000912</v>
      </c>
      <c r="B913" t="s">
        <v>255</v>
      </c>
      <c r="C913" t="s">
        <v>196</v>
      </c>
      <c r="D913" t="s">
        <v>11</v>
      </c>
      <c r="E913" s="9">
        <v>56</v>
      </c>
      <c r="F913" t="s">
        <v>32</v>
      </c>
      <c r="G913" t="s">
        <v>33</v>
      </c>
      <c r="H913" s="8">
        <v>42173</v>
      </c>
      <c r="I913">
        <v>40922.28</v>
      </c>
      <c r="K913" s="8"/>
    </row>
    <row r="914" spans="1:11">
      <c r="A914">
        <v>300000913</v>
      </c>
      <c r="B914" t="s">
        <v>122</v>
      </c>
      <c r="C914" t="s">
        <v>142</v>
      </c>
      <c r="D914" t="s">
        <v>11</v>
      </c>
      <c r="E914" s="9">
        <v>39</v>
      </c>
      <c r="F914" t="s">
        <v>23</v>
      </c>
      <c r="G914" t="s">
        <v>18</v>
      </c>
      <c r="H914" s="7">
        <v>42173</v>
      </c>
      <c r="I914">
        <v>54165.919999999998</v>
      </c>
      <c r="K914" s="7"/>
    </row>
    <row r="915" spans="1:11">
      <c r="A915">
        <v>400000914</v>
      </c>
      <c r="B915" t="s">
        <v>194</v>
      </c>
      <c r="C915" t="s">
        <v>113</v>
      </c>
      <c r="D915" t="s">
        <v>16</v>
      </c>
      <c r="E915" s="9">
        <v>25</v>
      </c>
      <c r="F915" t="s">
        <v>17</v>
      </c>
      <c r="G915" t="s">
        <v>18</v>
      </c>
      <c r="H915" s="8">
        <v>42173</v>
      </c>
      <c r="I915">
        <v>149698.12</v>
      </c>
      <c r="K915" s="8"/>
    </row>
    <row r="916" spans="1:11">
      <c r="A916">
        <v>400000915</v>
      </c>
      <c r="B916" t="s">
        <v>301</v>
      </c>
      <c r="C916" t="s">
        <v>134</v>
      </c>
      <c r="D916" t="s">
        <v>16</v>
      </c>
      <c r="E916" s="9">
        <v>26</v>
      </c>
      <c r="F916" t="s">
        <v>17</v>
      </c>
      <c r="G916" t="s">
        <v>33</v>
      </c>
      <c r="H916" s="7">
        <v>42173</v>
      </c>
      <c r="I916">
        <v>54272.56</v>
      </c>
      <c r="K916" s="7"/>
    </row>
    <row r="917" spans="1:11">
      <c r="A917">
        <v>400000916</v>
      </c>
      <c r="B917" t="s">
        <v>147</v>
      </c>
      <c r="C917" t="s">
        <v>39</v>
      </c>
      <c r="D917" t="s">
        <v>11</v>
      </c>
      <c r="E917" s="9">
        <v>35</v>
      </c>
      <c r="F917" t="s">
        <v>17</v>
      </c>
      <c r="G917" t="s">
        <v>13</v>
      </c>
      <c r="H917" s="8">
        <v>42173</v>
      </c>
      <c r="I917">
        <v>93787.01</v>
      </c>
      <c r="K917" s="8"/>
    </row>
    <row r="918" spans="1:11">
      <c r="A918">
        <v>100000917</v>
      </c>
      <c r="B918" t="s">
        <v>184</v>
      </c>
      <c r="C918" t="s">
        <v>47</v>
      </c>
      <c r="D918" t="s">
        <v>16</v>
      </c>
      <c r="E918" s="9">
        <v>34</v>
      </c>
      <c r="F918" t="s">
        <v>12</v>
      </c>
      <c r="G918" t="s">
        <v>33</v>
      </c>
      <c r="H918" s="7">
        <v>42174</v>
      </c>
      <c r="I918">
        <v>57387.06</v>
      </c>
      <c r="K918" s="7"/>
    </row>
    <row r="919" spans="1:11">
      <c r="A919">
        <v>100000918</v>
      </c>
      <c r="B919" t="s">
        <v>24</v>
      </c>
      <c r="C919" t="s">
        <v>98</v>
      </c>
      <c r="D919" t="s">
        <v>16</v>
      </c>
      <c r="E919" s="9">
        <v>24</v>
      </c>
      <c r="F919" t="s">
        <v>12</v>
      </c>
      <c r="G919" t="s">
        <v>13</v>
      </c>
      <c r="H919" s="8">
        <v>42174</v>
      </c>
      <c r="I919">
        <v>41988.65</v>
      </c>
      <c r="K919" s="8"/>
    </row>
    <row r="920" spans="1:11">
      <c r="A920">
        <v>100000919</v>
      </c>
      <c r="B920" t="s">
        <v>223</v>
      </c>
      <c r="C920" t="s">
        <v>292</v>
      </c>
      <c r="D920" t="s">
        <v>16</v>
      </c>
      <c r="E920" s="9">
        <v>28</v>
      </c>
      <c r="F920" t="s">
        <v>12</v>
      </c>
      <c r="G920" t="s">
        <v>13</v>
      </c>
      <c r="H920" s="7">
        <v>42174</v>
      </c>
      <c r="I920">
        <v>73859.27</v>
      </c>
      <c r="K920" s="7"/>
    </row>
    <row r="921" spans="1:11">
      <c r="A921">
        <v>100000920</v>
      </c>
      <c r="B921" t="s">
        <v>207</v>
      </c>
      <c r="C921" t="s">
        <v>49</v>
      </c>
      <c r="D921" t="s">
        <v>11</v>
      </c>
      <c r="E921" s="9">
        <v>23</v>
      </c>
      <c r="F921" t="s">
        <v>12</v>
      </c>
      <c r="G921" t="s">
        <v>33</v>
      </c>
      <c r="H921" s="8">
        <v>42174</v>
      </c>
      <c r="I921">
        <v>50104.04</v>
      </c>
      <c r="K921" s="8"/>
    </row>
    <row r="922" spans="1:11">
      <c r="A922">
        <v>100000921</v>
      </c>
      <c r="B922" t="s">
        <v>51</v>
      </c>
      <c r="C922" t="s">
        <v>109</v>
      </c>
      <c r="D922" t="s">
        <v>11</v>
      </c>
      <c r="E922" s="9">
        <v>43</v>
      </c>
      <c r="F922" t="s">
        <v>12</v>
      </c>
      <c r="G922" t="s">
        <v>13</v>
      </c>
      <c r="H922" s="7">
        <v>42174</v>
      </c>
      <c r="I922">
        <v>29188.400000000001</v>
      </c>
      <c r="K922" s="7"/>
    </row>
    <row r="923" spans="1:11">
      <c r="A923">
        <v>100000922</v>
      </c>
      <c r="B923" t="s">
        <v>250</v>
      </c>
      <c r="C923" t="s">
        <v>227</v>
      </c>
      <c r="D923" t="s">
        <v>16</v>
      </c>
      <c r="E923" s="9">
        <v>30</v>
      </c>
      <c r="F923" t="s">
        <v>12</v>
      </c>
      <c r="G923" t="s">
        <v>13</v>
      </c>
      <c r="H923" s="8">
        <v>42174</v>
      </c>
      <c r="I923">
        <v>73490.09</v>
      </c>
      <c r="K923" s="8"/>
    </row>
    <row r="924" spans="1:11">
      <c r="A924">
        <v>100000923</v>
      </c>
      <c r="B924" t="s">
        <v>184</v>
      </c>
      <c r="C924" t="s">
        <v>151</v>
      </c>
      <c r="D924" t="s">
        <v>16</v>
      </c>
      <c r="E924" s="9">
        <v>40</v>
      </c>
      <c r="F924" t="s">
        <v>12</v>
      </c>
      <c r="G924" t="s">
        <v>13</v>
      </c>
      <c r="H924" s="7">
        <v>42174</v>
      </c>
      <c r="I924">
        <v>62886.29</v>
      </c>
      <c r="K924" s="7"/>
    </row>
    <row r="925" spans="1:11">
      <c r="A925">
        <v>200000924</v>
      </c>
      <c r="B925" t="s">
        <v>267</v>
      </c>
      <c r="C925" t="s">
        <v>152</v>
      </c>
      <c r="D925" t="s">
        <v>16</v>
      </c>
      <c r="E925" s="9">
        <v>60</v>
      </c>
      <c r="F925" t="s">
        <v>32</v>
      </c>
      <c r="G925" t="s">
        <v>33</v>
      </c>
      <c r="H925" s="8">
        <v>42174</v>
      </c>
      <c r="I925">
        <v>66713</v>
      </c>
      <c r="K925" s="8"/>
    </row>
    <row r="926" spans="1:11">
      <c r="A926">
        <v>100000925</v>
      </c>
      <c r="B926" t="s">
        <v>208</v>
      </c>
      <c r="C926" t="s">
        <v>75</v>
      </c>
      <c r="D926" t="s">
        <v>11</v>
      </c>
      <c r="E926" s="9">
        <v>34</v>
      </c>
      <c r="F926" t="s">
        <v>12</v>
      </c>
      <c r="G926" t="s">
        <v>13</v>
      </c>
      <c r="H926" s="7">
        <v>42175</v>
      </c>
      <c r="I926">
        <v>7729.88</v>
      </c>
      <c r="K926" s="7"/>
    </row>
    <row r="927" spans="1:11">
      <c r="A927">
        <v>100000926</v>
      </c>
      <c r="B927" t="s">
        <v>122</v>
      </c>
      <c r="C927" t="s">
        <v>56</v>
      </c>
      <c r="D927" t="s">
        <v>11</v>
      </c>
      <c r="E927" s="9">
        <v>49</v>
      </c>
      <c r="F927" t="s">
        <v>12</v>
      </c>
      <c r="G927" t="s">
        <v>13</v>
      </c>
      <c r="H927" s="8">
        <v>42175</v>
      </c>
      <c r="I927">
        <v>60180.76</v>
      </c>
      <c r="K927" s="8"/>
    </row>
    <row r="928" spans="1:11">
      <c r="A928">
        <v>100000927</v>
      </c>
      <c r="B928" t="s">
        <v>317</v>
      </c>
      <c r="C928" t="s">
        <v>80</v>
      </c>
      <c r="D928" t="s">
        <v>16</v>
      </c>
      <c r="E928" s="9">
        <v>37</v>
      </c>
      <c r="F928" t="s">
        <v>12</v>
      </c>
      <c r="G928" t="s">
        <v>13</v>
      </c>
      <c r="H928" s="7">
        <v>42175</v>
      </c>
      <c r="I928">
        <v>87912.9</v>
      </c>
      <c r="K928" s="7"/>
    </row>
    <row r="929" spans="1:11">
      <c r="A929">
        <v>100000928</v>
      </c>
      <c r="B929" t="s">
        <v>169</v>
      </c>
      <c r="C929" t="s">
        <v>227</v>
      </c>
      <c r="D929" t="s">
        <v>11</v>
      </c>
      <c r="E929" s="9">
        <v>30</v>
      </c>
      <c r="F929" t="s">
        <v>12</v>
      </c>
      <c r="G929" t="s">
        <v>13</v>
      </c>
      <c r="H929" s="8">
        <v>42175</v>
      </c>
      <c r="I929">
        <v>21157.3</v>
      </c>
      <c r="K929" s="8"/>
    </row>
    <row r="930" spans="1:11">
      <c r="A930">
        <v>100000929</v>
      </c>
      <c r="B930" t="s">
        <v>117</v>
      </c>
      <c r="C930" t="s">
        <v>195</v>
      </c>
      <c r="D930" t="s">
        <v>16</v>
      </c>
      <c r="E930" s="9">
        <v>35</v>
      </c>
      <c r="F930" t="s">
        <v>12</v>
      </c>
      <c r="G930" t="s">
        <v>13</v>
      </c>
      <c r="H930" s="7">
        <v>42175</v>
      </c>
      <c r="I930">
        <v>22932.94</v>
      </c>
      <c r="K930" s="7"/>
    </row>
    <row r="931" spans="1:11">
      <c r="A931">
        <v>100000930</v>
      </c>
      <c r="B931" t="s">
        <v>262</v>
      </c>
      <c r="C931" t="s">
        <v>63</v>
      </c>
      <c r="D931" t="s">
        <v>16</v>
      </c>
      <c r="E931" s="9">
        <v>35</v>
      </c>
      <c r="F931" t="s">
        <v>12</v>
      </c>
      <c r="G931" t="s">
        <v>13</v>
      </c>
      <c r="H931" s="8">
        <v>42175</v>
      </c>
      <c r="I931">
        <v>21314.68</v>
      </c>
      <c r="K931" s="8"/>
    </row>
    <row r="932" spans="1:11">
      <c r="A932">
        <v>100000931</v>
      </c>
      <c r="B932" t="s">
        <v>120</v>
      </c>
      <c r="C932" t="s">
        <v>43</v>
      </c>
      <c r="D932" t="s">
        <v>16</v>
      </c>
      <c r="E932" s="9">
        <v>42</v>
      </c>
      <c r="F932" t="s">
        <v>12</v>
      </c>
      <c r="G932" t="s">
        <v>13</v>
      </c>
      <c r="H932" s="7">
        <v>42175</v>
      </c>
      <c r="I932">
        <v>22298.93</v>
      </c>
      <c r="K932" s="7"/>
    </row>
    <row r="933" spans="1:11">
      <c r="A933">
        <v>100000932</v>
      </c>
      <c r="B933" t="s">
        <v>309</v>
      </c>
      <c r="C933" t="s">
        <v>306</v>
      </c>
      <c r="D933" t="s">
        <v>16</v>
      </c>
      <c r="E933" s="9">
        <v>30</v>
      </c>
      <c r="F933" t="s">
        <v>12</v>
      </c>
      <c r="G933" t="s">
        <v>13</v>
      </c>
      <c r="H933" s="8">
        <v>42175</v>
      </c>
      <c r="I933">
        <v>14184.7</v>
      </c>
      <c r="K933" s="8"/>
    </row>
    <row r="934" spans="1:11">
      <c r="A934">
        <v>100000933</v>
      </c>
      <c r="B934" t="s">
        <v>89</v>
      </c>
      <c r="C934" t="s">
        <v>203</v>
      </c>
      <c r="D934" t="s">
        <v>11</v>
      </c>
      <c r="E934" s="9">
        <v>32</v>
      </c>
      <c r="F934" t="s">
        <v>12</v>
      </c>
      <c r="G934" t="s">
        <v>18</v>
      </c>
      <c r="H934" s="7">
        <v>42175</v>
      </c>
      <c r="I934">
        <v>23899.56</v>
      </c>
      <c r="K934" s="7"/>
    </row>
    <row r="935" spans="1:11">
      <c r="A935">
        <v>100000934</v>
      </c>
      <c r="B935" t="s">
        <v>161</v>
      </c>
      <c r="C935" t="s">
        <v>270</v>
      </c>
      <c r="D935" t="s">
        <v>16</v>
      </c>
      <c r="E935" s="9">
        <v>35</v>
      </c>
      <c r="F935" t="s">
        <v>12</v>
      </c>
      <c r="G935" t="s">
        <v>13</v>
      </c>
      <c r="H935" s="8">
        <v>42175</v>
      </c>
      <c r="I935">
        <v>14360.43</v>
      </c>
      <c r="K935" s="8"/>
    </row>
    <row r="936" spans="1:11">
      <c r="A936">
        <v>100000935</v>
      </c>
      <c r="B936" t="s">
        <v>284</v>
      </c>
      <c r="C936" t="s">
        <v>15</v>
      </c>
      <c r="D936" t="s">
        <v>16</v>
      </c>
      <c r="E936" s="9">
        <v>32</v>
      </c>
      <c r="F936" t="s">
        <v>12</v>
      </c>
      <c r="G936" t="s">
        <v>33</v>
      </c>
      <c r="H936" s="7">
        <v>42175</v>
      </c>
      <c r="I936">
        <v>42248.4</v>
      </c>
      <c r="K936" s="7"/>
    </row>
    <row r="937" spans="1:11">
      <c r="A937">
        <v>100000936</v>
      </c>
      <c r="B937" t="s">
        <v>324</v>
      </c>
      <c r="C937" t="s">
        <v>151</v>
      </c>
      <c r="D937" t="s">
        <v>16</v>
      </c>
      <c r="E937" s="9">
        <v>36</v>
      </c>
      <c r="F937" t="s">
        <v>12</v>
      </c>
      <c r="G937" t="s">
        <v>13</v>
      </c>
      <c r="H937" s="8">
        <v>42175</v>
      </c>
      <c r="I937">
        <v>9406.07</v>
      </c>
      <c r="K937" s="8"/>
    </row>
    <row r="938" spans="1:11">
      <c r="A938">
        <v>100000937</v>
      </c>
      <c r="B938" t="s">
        <v>81</v>
      </c>
      <c r="C938" t="s">
        <v>114</v>
      </c>
      <c r="D938" t="s">
        <v>16</v>
      </c>
      <c r="E938" s="9">
        <v>28</v>
      </c>
      <c r="F938" t="s">
        <v>12</v>
      </c>
      <c r="G938" t="s">
        <v>18</v>
      </c>
      <c r="H938" s="7">
        <v>42175</v>
      </c>
      <c r="I938">
        <v>6921.74</v>
      </c>
      <c r="K938" s="7"/>
    </row>
    <row r="939" spans="1:11">
      <c r="A939">
        <v>200000938</v>
      </c>
      <c r="B939" t="s">
        <v>21</v>
      </c>
      <c r="C939" t="s">
        <v>203</v>
      </c>
      <c r="D939" t="s">
        <v>11</v>
      </c>
      <c r="E939" s="9">
        <v>52</v>
      </c>
      <c r="F939" t="s">
        <v>32</v>
      </c>
      <c r="G939" t="s">
        <v>18</v>
      </c>
      <c r="H939" s="8">
        <v>42175</v>
      </c>
      <c r="I939">
        <v>29715</v>
      </c>
      <c r="K939" s="8"/>
    </row>
    <row r="940" spans="1:11">
      <c r="A940">
        <v>200000939</v>
      </c>
      <c r="B940" t="s">
        <v>245</v>
      </c>
      <c r="C940" t="s">
        <v>82</v>
      </c>
      <c r="D940" t="s">
        <v>11</v>
      </c>
      <c r="E940" s="9">
        <v>42</v>
      </c>
      <c r="F940" t="s">
        <v>32</v>
      </c>
      <c r="G940" t="s">
        <v>33</v>
      </c>
      <c r="H940" s="7">
        <v>42175</v>
      </c>
      <c r="I940">
        <v>65530.32</v>
      </c>
      <c r="K940" s="7"/>
    </row>
    <row r="941" spans="1:11">
      <c r="A941">
        <v>200000940</v>
      </c>
      <c r="B941" t="s">
        <v>273</v>
      </c>
      <c r="C941" t="s">
        <v>318</v>
      </c>
      <c r="D941" t="s">
        <v>11</v>
      </c>
      <c r="E941" s="9">
        <v>58</v>
      </c>
      <c r="F941" t="s">
        <v>32</v>
      </c>
      <c r="G941" t="s">
        <v>18</v>
      </c>
      <c r="H941" s="8">
        <v>42175</v>
      </c>
      <c r="I941">
        <v>27878.55</v>
      </c>
      <c r="K941" s="8"/>
    </row>
    <row r="942" spans="1:11">
      <c r="A942">
        <v>200000941</v>
      </c>
      <c r="B942" t="s">
        <v>38</v>
      </c>
      <c r="C942" t="s">
        <v>289</v>
      </c>
      <c r="D942" t="s">
        <v>11</v>
      </c>
      <c r="E942" s="9">
        <v>48</v>
      </c>
      <c r="F942" t="s">
        <v>32</v>
      </c>
      <c r="G942" t="s">
        <v>18</v>
      </c>
      <c r="H942" s="7">
        <v>42175</v>
      </c>
      <c r="I942">
        <v>4941.6499999999996</v>
      </c>
      <c r="K942" s="7"/>
    </row>
    <row r="943" spans="1:11">
      <c r="A943">
        <v>200000942</v>
      </c>
      <c r="B943" t="s">
        <v>64</v>
      </c>
      <c r="C943" t="s">
        <v>127</v>
      </c>
      <c r="D943" t="s">
        <v>11</v>
      </c>
      <c r="E943" s="9">
        <v>40</v>
      </c>
      <c r="F943" t="s">
        <v>32</v>
      </c>
      <c r="G943" t="s">
        <v>13</v>
      </c>
      <c r="H943" s="8">
        <v>42175</v>
      </c>
      <c r="I943">
        <v>32790.32</v>
      </c>
      <c r="K943" s="8"/>
    </row>
    <row r="944" spans="1:11">
      <c r="A944">
        <v>200000943</v>
      </c>
      <c r="B944" t="s">
        <v>323</v>
      </c>
      <c r="C944" t="s">
        <v>219</v>
      </c>
      <c r="D944" t="s">
        <v>16</v>
      </c>
      <c r="E944" s="9">
        <v>47</v>
      </c>
      <c r="F944" t="s">
        <v>32</v>
      </c>
      <c r="G944" t="s">
        <v>33</v>
      </c>
      <c r="H944" s="7">
        <v>42175</v>
      </c>
      <c r="I944">
        <v>29481.759999999998</v>
      </c>
      <c r="K944" s="7"/>
    </row>
    <row r="945" spans="1:11">
      <c r="A945">
        <v>200000944</v>
      </c>
      <c r="B945" t="s">
        <v>143</v>
      </c>
      <c r="C945" t="s">
        <v>183</v>
      </c>
      <c r="D945" t="s">
        <v>11</v>
      </c>
      <c r="E945" s="9">
        <v>47</v>
      </c>
      <c r="F945" t="s">
        <v>32</v>
      </c>
      <c r="G945" t="s">
        <v>33</v>
      </c>
      <c r="H945" s="8">
        <v>42175</v>
      </c>
      <c r="I945">
        <v>15090.98</v>
      </c>
      <c r="K945" s="8"/>
    </row>
    <row r="946" spans="1:11">
      <c r="A946">
        <v>200000945</v>
      </c>
      <c r="B946" t="s">
        <v>231</v>
      </c>
      <c r="C946" t="s">
        <v>187</v>
      </c>
      <c r="D946" t="s">
        <v>11</v>
      </c>
      <c r="E946" s="9">
        <v>62</v>
      </c>
      <c r="F946" t="s">
        <v>32</v>
      </c>
      <c r="G946" t="s">
        <v>18</v>
      </c>
      <c r="H946" s="7">
        <v>42175</v>
      </c>
      <c r="I946">
        <v>29719.47</v>
      </c>
      <c r="K946" s="7"/>
    </row>
    <row r="947" spans="1:11">
      <c r="A947">
        <v>200000946</v>
      </c>
      <c r="B947" t="s">
        <v>147</v>
      </c>
      <c r="C947" t="s">
        <v>109</v>
      </c>
      <c r="D947" t="s">
        <v>11</v>
      </c>
      <c r="E947" s="9">
        <v>53</v>
      </c>
      <c r="F947" t="s">
        <v>32</v>
      </c>
      <c r="G947" t="s">
        <v>18</v>
      </c>
      <c r="H947" s="8">
        <v>42175</v>
      </c>
      <c r="I947">
        <v>15668.02</v>
      </c>
      <c r="K947" s="8"/>
    </row>
    <row r="948" spans="1:11">
      <c r="A948">
        <v>200000947</v>
      </c>
      <c r="B948" t="s">
        <v>298</v>
      </c>
      <c r="C948" t="s">
        <v>100</v>
      </c>
      <c r="D948" t="s">
        <v>16</v>
      </c>
      <c r="E948" s="9">
        <v>56</v>
      </c>
      <c r="F948" t="s">
        <v>32</v>
      </c>
      <c r="G948" t="s">
        <v>33</v>
      </c>
      <c r="H948" s="7">
        <v>42175</v>
      </c>
      <c r="I948">
        <v>105138.65</v>
      </c>
      <c r="K948" s="7"/>
    </row>
    <row r="949" spans="1:11">
      <c r="A949">
        <v>200000948</v>
      </c>
      <c r="B949" t="s">
        <v>265</v>
      </c>
      <c r="C949" t="s">
        <v>153</v>
      </c>
      <c r="D949" t="s">
        <v>16</v>
      </c>
      <c r="E949" s="9">
        <v>53</v>
      </c>
      <c r="F949" t="s">
        <v>32</v>
      </c>
      <c r="G949" t="s">
        <v>13</v>
      </c>
      <c r="H949" s="8">
        <v>42175</v>
      </c>
      <c r="I949">
        <v>45663.95</v>
      </c>
      <c r="K949" s="8"/>
    </row>
    <row r="950" spans="1:11">
      <c r="A950">
        <v>200000949</v>
      </c>
      <c r="B950" t="s">
        <v>145</v>
      </c>
      <c r="C950" t="s">
        <v>104</v>
      </c>
      <c r="D950" t="s">
        <v>11</v>
      </c>
      <c r="E950" s="9">
        <v>50</v>
      </c>
      <c r="F950" t="s">
        <v>32</v>
      </c>
      <c r="G950" t="s">
        <v>33</v>
      </c>
      <c r="H950" s="7">
        <v>42175</v>
      </c>
      <c r="I950">
        <v>2347.34</v>
      </c>
      <c r="K950" s="7"/>
    </row>
    <row r="951" spans="1:11">
      <c r="A951">
        <v>200000950</v>
      </c>
      <c r="B951" t="s">
        <v>283</v>
      </c>
      <c r="C951" t="s">
        <v>132</v>
      </c>
      <c r="D951" t="s">
        <v>11</v>
      </c>
      <c r="E951" s="9">
        <v>55</v>
      </c>
      <c r="F951" t="s">
        <v>32</v>
      </c>
      <c r="G951" t="s">
        <v>18</v>
      </c>
      <c r="H951" s="8">
        <v>42175</v>
      </c>
      <c r="I951">
        <v>12231.08</v>
      </c>
      <c r="K951" s="8"/>
    </row>
    <row r="952" spans="1:11">
      <c r="A952">
        <v>300000951</v>
      </c>
      <c r="B952" t="s">
        <v>206</v>
      </c>
      <c r="C952" t="s">
        <v>290</v>
      </c>
      <c r="D952" t="s">
        <v>11</v>
      </c>
      <c r="E952" s="9">
        <v>36</v>
      </c>
      <c r="F952" t="s">
        <v>23</v>
      </c>
      <c r="G952" t="s">
        <v>18</v>
      </c>
      <c r="H952" s="7">
        <v>42175</v>
      </c>
      <c r="I952">
        <v>56653.07</v>
      </c>
      <c r="K952" s="7"/>
    </row>
    <row r="953" spans="1:11">
      <c r="A953">
        <v>300000952</v>
      </c>
      <c r="B953" t="s">
        <v>161</v>
      </c>
      <c r="C953" t="s">
        <v>54</v>
      </c>
      <c r="D953" t="s">
        <v>16</v>
      </c>
      <c r="E953" s="9">
        <v>40</v>
      </c>
      <c r="F953" t="s">
        <v>23</v>
      </c>
      <c r="G953" t="s">
        <v>13</v>
      </c>
      <c r="H953" s="8">
        <v>42175</v>
      </c>
      <c r="I953">
        <v>24435.72</v>
      </c>
      <c r="K953" s="8"/>
    </row>
    <row r="954" spans="1:11">
      <c r="A954">
        <v>300000953</v>
      </c>
      <c r="B954" t="s">
        <v>143</v>
      </c>
      <c r="C954" t="s">
        <v>142</v>
      </c>
      <c r="D954" t="s">
        <v>11</v>
      </c>
      <c r="E954" s="9">
        <v>41</v>
      </c>
      <c r="F954" t="s">
        <v>23</v>
      </c>
      <c r="G954" t="s">
        <v>18</v>
      </c>
      <c r="H954" s="7">
        <v>42175</v>
      </c>
      <c r="I954">
        <v>77995.62</v>
      </c>
      <c r="K954" s="7"/>
    </row>
    <row r="955" spans="1:11">
      <c r="A955">
        <v>300000954</v>
      </c>
      <c r="B955" t="s">
        <v>64</v>
      </c>
      <c r="C955" t="s">
        <v>277</v>
      </c>
      <c r="D955" t="s">
        <v>11</v>
      </c>
      <c r="E955" s="9">
        <v>33</v>
      </c>
      <c r="F955" t="s">
        <v>23</v>
      </c>
      <c r="G955" t="s">
        <v>13</v>
      </c>
      <c r="H955" s="8">
        <v>42175</v>
      </c>
      <c r="I955">
        <v>49775.7</v>
      </c>
      <c r="K955" s="8"/>
    </row>
    <row r="956" spans="1:11">
      <c r="A956">
        <v>400000955</v>
      </c>
      <c r="B956" t="s">
        <v>280</v>
      </c>
      <c r="C956" t="s">
        <v>225</v>
      </c>
      <c r="D956" t="s">
        <v>11</v>
      </c>
      <c r="E956" s="9">
        <v>41</v>
      </c>
      <c r="F956" t="s">
        <v>17</v>
      </c>
      <c r="G956" t="s">
        <v>13</v>
      </c>
      <c r="H956" s="7">
        <v>42175</v>
      </c>
      <c r="I956">
        <v>53685.06</v>
      </c>
      <c r="K956" s="7"/>
    </row>
    <row r="957" spans="1:11">
      <c r="A957">
        <v>400000956</v>
      </c>
      <c r="B957" t="s">
        <v>262</v>
      </c>
      <c r="C957" t="s">
        <v>196</v>
      </c>
      <c r="D957" t="s">
        <v>16</v>
      </c>
      <c r="E957" s="9">
        <v>22</v>
      </c>
      <c r="F957" t="s">
        <v>17</v>
      </c>
      <c r="G957" t="s">
        <v>13</v>
      </c>
      <c r="H957" s="8">
        <v>42175</v>
      </c>
      <c r="I957">
        <v>22515.19</v>
      </c>
      <c r="K957" s="8"/>
    </row>
    <row r="958" spans="1:11">
      <c r="A958">
        <v>100000957</v>
      </c>
      <c r="B958" t="s">
        <v>135</v>
      </c>
      <c r="C958" t="s">
        <v>31</v>
      </c>
      <c r="D958" t="s">
        <v>11</v>
      </c>
      <c r="E958" s="9">
        <v>38</v>
      </c>
      <c r="F958" t="s">
        <v>12</v>
      </c>
      <c r="G958" t="s">
        <v>33</v>
      </c>
      <c r="H958" s="7">
        <v>42176</v>
      </c>
      <c r="I958">
        <v>80709.149999999994</v>
      </c>
      <c r="K958" s="7"/>
    </row>
    <row r="959" spans="1:11">
      <c r="A959">
        <v>100000958</v>
      </c>
      <c r="B959" t="s">
        <v>214</v>
      </c>
      <c r="C959" t="s">
        <v>56</v>
      </c>
      <c r="D959" t="s">
        <v>11</v>
      </c>
      <c r="E959" s="9">
        <v>33</v>
      </c>
      <c r="F959" t="s">
        <v>12</v>
      </c>
      <c r="G959" t="s">
        <v>13</v>
      </c>
      <c r="H959" s="8">
        <v>42176</v>
      </c>
      <c r="I959">
        <v>60205.51</v>
      </c>
      <c r="K959" s="8"/>
    </row>
    <row r="960" spans="1:11">
      <c r="A960">
        <v>100000959</v>
      </c>
      <c r="B960" t="s">
        <v>251</v>
      </c>
      <c r="C960" t="s">
        <v>67</v>
      </c>
      <c r="D960" t="s">
        <v>16</v>
      </c>
      <c r="E960" s="9">
        <v>26</v>
      </c>
      <c r="F960" t="s">
        <v>12</v>
      </c>
      <c r="G960" t="s">
        <v>18</v>
      </c>
      <c r="H960" s="7">
        <v>42176</v>
      </c>
      <c r="I960">
        <v>23694.9</v>
      </c>
      <c r="K960" s="7"/>
    </row>
    <row r="961" spans="1:11">
      <c r="A961">
        <v>100000960</v>
      </c>
      <c r="B961" t="s">
        <v>309</v>
      </c>
      <c r="C961" t="s">
        <v>315</v>
      </c>
      <c r="D961" t="s">
        <v>16</v>
      </c>
      <c r="E961" s="9">
        <v>36</v>
      </c>
      <c r="F961" t="s">
        <v>12</v>
      </c>
      <c r="G961" t="s">
        <v>13</v>
      </c>
      <c r="H961" s="8">
        <v>42176</v>
      </c>
      <c r="I961">
        <v>31644.37</v>
      </c>
      <c r="K961" s="8"/>
    </row>
    <row r="962" spans="1:11">
      <c r="A962">
        <v>200000961</v>
      </c>
      <c r="B962" t="s">
        <v>314</v>
      </c>
      <c r="C962" t="s">
        <v>189</v>
      </c>
      <c r="D962" t="s">
        <v>16</v>
      </c>
      <c r="E962" s="9">
        <v>49</v>
      </c>
      <c r="F962" t="s">
        <v>32</v>
      </c>
      <c r="G962" t="s">
        <v>33</v>
      </c>
      <c r="H962" s="7">
        <v>42176</v>
      </c>
      <c r="I962">
        <v>26688.85</v>
      </c>
      <c r="K962" s="7"/>
    </row>
    <row r="963" spans="1:11">
      <c r="A963">
        <v>200000962</v>
      </c>
      <c r="B963" t="s">
        <v>174</v>
      </c>
      <c r="C963" t="s">
        <v>246</v>
      </c>
      <c r="D963" t="s">
        <v>11</v>
      </c>
      <c r="E963" s="9">
        <v>50</v>
      </c>
      <c r="F963" t="s">
        <v>32</v>
      </c>
      <c r="G963" t="s">
        <v>18</v>
      </c>
      <c r="H963" s="8">
        <v>42176</v>
      </c>
      <c r="I963">
        <v>38577.660000000003</v>
      </c>
      <c r="K963" s="8"/>
    </row>
    <row r="964" spans="1:11">
      <c r="A964">
        <v>200000963</v>
      </c>
      <c r="B964" t="s">
        <v>173</v>
      </c>
      <c r="C964" t="s">
        <v>27</v>
      </c>
      <c r="D964" t="s">
        <v>11</v>
      </c>
      <c r="E964" s="9">
        <v>56</v>
      </c>
      <c r="F964" t="s">
        <v>32</v>
      </c>
      <c r="G964" t="s">
        <v>33</v>
      </c>
      <c r="H964" s="7">
        <v>42176</v>
      </c>
      <c r="I964">
        <v>54809.65</v>
      </c>
      <c r="K964" s="7"/>
    </row>
    <row r="965" spans="1:11">
      <c r="A965">
        <v>200000964</v>
      </c>
      <c r="B965" t="s">
        <v>184</v>
      </c>
      <c r="C965" t="s">
        <v>41</v>
      </c>
      <c r="D965" t="s">
        <v>16</v>
      </c>
      <c r="E965" s="9">
        <v>59</v>
      </c>
      <c r="F965" t="s">
        <v>32</v>
      </c>
      <c r="G965" t="s">
        <v>18</v>
      </c>
      <c r="H965" s="8">
        <v>42176</v>
      </c>
      <c r="I965">
        <v>29417.52</v>
      </c>
      <c r="K965" s="8"/>
    </row>
    <row r="966" spans="1:11">
      <c r="A966">
        <v>200000965</v>
      </c>
      <c r="B966" t="s">
        <v>264</v>
      </c>
      <c r="C966" t="s">
        <v>291</v>
      </c>
      <c r="D966" t="s">
        <v>11</v>
      </c>
      <c r="E966" s="9">
        <v>52</v>
      </c>
      <c r="F966" t="s">
        <v>32</v>
      </c>
      <c r="G966" t="s">
        <v>18</v>
      </c>
      <c r="H966" s="7">
        <v>42176</v>
      </c>
      <c r="I966">
        <v>30981.38</v>
      </c>
      <c r="K966" s="7"/>
    </row>
    <row r="967" spans="1:11">
      <c r="A967">
        <v>300000966</v>
      </c>
      <c r="B967" t="s">
        <v>263</v>
      </c>
      <c r="C967" t="s">
        <v>172</v>
      </c>
      <c r="D967" t="s">
        <v>16</v>
      </c>
      <c r="E967" s="9">
        <v>38</v>
      </c>
      <c r="F967" t="s">
        <v>23</v>
      </c>
      <c r="G967" t="s">
        <v>18</v>
      </c>
      <c r="H967" s="8">
        <v>42176</v>
      </c>
      <c r="I967">
        <v>23669.58</v>
      </c>
      <c r="K967" s="8"/>
    </row>
    <row r="968" spans="1:11">
      <c r="A968">
        <v>300000967</v>
      </c>
      <c r="B968" t="s">
        <v>317</v>
      </c>
      <c r="C968" t="s">
        <v>224</v>
      </c>
      <c r="D968" t="s">
        <v>16</v>
      </c>
      <c r="E968" s="9">
        <v>42</v>
      </c>
      <c r="F968" t="s">
        <v>23</v>
      </c>
      <c r="G968" t="s">
        <v>13</v>
      </c>
      <c r="H968" s="7">
        <v>42176</v>
      </c>
      <c r="I968">
        <v>61134.99</v>
      </c>
      <c r="K968" s="7"/>
    </row>
    <row r="969" spans="1:11">
      <c r="A969">
        <v>100000968</v>
      </c>
      <c r="B969" t="s">
        <v>90</v>
      </c>
      <c r="C969" t="s">
        <v>88</v>
      </c>
      <c r="D969" t="s">
        <v>11</v>
      </c>
      <c r="E969" s="9">
        <v>38</v>
      </c>
      <c r="F969" t="s">
        <v>12</v>
      </c>
      <c r="G969" t="s">
        <v>13</v>
      </c>
      <c r="H969" s="8">
        <v>42177</v>
      </c>
      <c r="I969">
        <v>21138.46</v>
      </c>
      <c r="K969" s="8"/>
    </row>
    <row r="970" spans="1:11">
      <c r="A970">
        <v>100000969</v>
      </c>
      <c r="B970" t="s">
        <v>84</v>
      </c>
      <c r="C970" t="s">
        <v>277</v>
      </c>
      <c r="D970" t="s">
        <v>16</v>
      </c>
      <c r="E970" s="9">
        <v>21</v>
      </c>
      <c r="F970" t="s">
        <v>12</v>
      </c>
      <c r="G970" t="s">
        <v>13</v>
      </c>
      <c r="H970" s="7">
        <v>42177</v>
      </c>
      <c r="I970">
        <v>89067.87</v>
      </c>
      <c r="K970" s="7"/>
    </row>
    <row r="971" spans="1:11">
      <c r="A971">
        <v>100000970</v>
      </c>
      <c r="B971" t="s">
        <v>309</v>
      </c>
      <c r="C971" t="s">
        <v>129</v>
      </c>
      <c r="D971" t="s">
        <v>16</v>
      </c>
      <c r="E971" s="9">
        <v>32</v>
      </c>
      <c r="F971" t="s">
        <v>12</v>
      </c>
      <c r="G971" t="s">
        <v>13</v>
      </c>
      <c r="H971" s="8">
        <v>42177</v>
      </c>
      <c r="I971">
        <v>20852.18</v>
      </c>
      <c r="K971" s="8"/>
    </row>
    <row r="972" spans="1:11">
      <c r="A972">
        <v>100000971</v>
      </c>
      <c r="B972" t="s">
        <v>193</v>
      </c>
      <c r="C972" t="s">
        <v>238</v>
      </c>
      <c r="D972" t="s">
        <v>11</v>
      </c>
      <c r="E972" s="9">
        <v>23</v>
      </c>
      <c r="F972" t="s">
        <v>12</v>
      </c>
      <c r="G972" t="s">
        <v>13</v>
      </c>
      <c r="H972" s="7">
        <v>42177</v>
      </c>
      <c r="I972">
        <v>28959.8</v>
      </c>
      <c r="K972" s="7"/>
    </row>
    <row r="973" spans="1:11">
      <c r="A973">
        <v>100000972</v>
      </c>
      <c r="B973" t="s">
        <v>19</v>
      </c>
      <c r="C973" t="s">
        <v>155</v>
      </c>
      <c r="D973" t="s">
        <v>11</v>
      </c>
      <c r="E973" s="9">
        <v>32</v>
      </c>
      <c r="F973" t="s">
        <v>12</v>
      </c>
      <c r="G973" t="s">
        <v>13</v>
      </c>
      <c r="H973" s="8">
        <v>42178</v>
      </c>
      <c r="I973">
        <v>85709.46</v>
      </c>
      <c r="K973" s="8"/>
    </row>
    <row r="974" spans="1:11">
      <c r="A974">
        <v>100000973</v>
      </c>
      <c r="B974" t="s">
        <v>304</v>
      </c>
      <c r="C974" t="s">
        <v>237</v>
      </c>
      <c r="D974" t="s">
        <v>16</v>
      </c>
      <c r="E974" s="9">
        <v>25</v>
      </c>
      <c r="F974" t="s">
        <v>12</v>
      </c>
      <c r="G974" t="s">
        <v>33</v>
      </c>
      <c r="H974" s="7">
        <v>42178</v>
      </c>
      <c r="I974">
        <v>86275.31</v>
      </c>
      <c r="K974" s="7"/>
    </row>
    <row r="975" spans="1:11">
      <c r="A975">
        <v>200000974</v>
      </c>
      <c r="B975" t="s">
        <v>64</v>
      </c>
      <c r="C975" t="s">
        <v>239</v>
      </c>
      <c r="D975" t="s">
        <v>11</v>
      </c>
      <c r="E975" s="9">
        <v>58</v>
      </c>
      <c r="F975" t="s">
        <v>32</v>
      </c>
      <c r="G975" t="s">
        <v>33</v>
      </c>
      <c r="H975" s="8">
        <v>42178</v>
      </c>
      <c r="I975">
        <v>11596.34</v>
      </c>
      <c r="K975" s="8"/>
    </row>
    <row r="976" spans="1:11">
      <c r="A976">
        <v>200000975</v>
      </c>
      <c r="B976" t="s">
        <v>217</v>
      </c>
      <c r="C976" t="s">
        <v>71</v>
      </c>
      <c r="D976" t="s">
        <v>11</v>
      </c>
      <c r="E976" s="9">
        <v>43</v>
      </c>
      <c r="F976" t="s">
        <v>32</v>
      </c>
      <c r="G976" t="s">
        <v>18</v>
      </c>
      <c r="H976" s="7">
        <v>42178</v>
      </c>
      <c r="I976">
        <v>74155.05</v>
      </c>
      <c r="K976" s="7"/>
    </row>
    <row r="977" spans="1:11">
      <c r="A977">
        <v>200000976</v>
      </c>
      <c r="B977" t="s">
        <v>150</v>
      </c>
      <c r="C977" t="s">
        <v>313</v>
      </c>
      <c r="D977" t="s">
        <v>16</v>
      </c>
      <c r="E977" s="9">
        <v>61</v>
      </c>
      <c r="F977" t="s">
        <v>32</v>
      </c>
      <c r="G977" t="s">
        <v>33</v>
      </c>
      <c r="H977" s="8">
        <v>42178</v>
      </c>
      <c r="I977">
        <v>75200.679999999993</v>
      </c>
      <c r="K977" s="8"/>
    </row>
    <row r="978" spans="1:11">
      <c r="A978">
        <v>200000977</v>
      </c>
      <c r="B978" t="s">
        <v>62</v>
      </c>
      <c r="C978" t="s">
        <v>152</v>
      </c>
      <c r="D978" t="s">
        <v>16</v>
      </c>
      <c r="E978" s="9">
        <v>43</v>
      </c>
      <c r="F978" t="s">
        <v>32</v>
      </c>
      <c r="G978" t="s">
        <v>33</v>
      </c>
      <c r="H978" s="7">
        <v>42178</v>
      </c>
      <c r="I978">
        <v>27580.15</v>
      </c>
      <c r="K978" s="7"/>
    </row>
    <row r="979" spans="1:11">
      <c r="A979">
        <v>300000978</v>
      </c>
      <c r="B979" t="s">
        <v>251</v>
      </c>
      <c r="C979" t="s">
        <v>162</v>
      </c>
      <c r="D979" t="s">
        <v>16</v>
      </c>
      <c r="E979" s="9">
        <v>45</v>
      </c>
      <c r="F979" t="s">
        <v>23</v>
      </c>
      <c r="G979" t="s">
        <v>13</v>
      </c>
      <c r="H979" s="8">
        <v>42178</v>
      </c>
      <c r="I979">
        <v>17753.009999999998</v>
      </c>
      <c r="K979" s="8"/>
    </row>
    <row r="980" spans="1:11">
      <c r="A980">
        <v>300000979</v>
      </c>
      <c r="B980" t="s">
        <v>21</v>
      </c>
      <c r="C980" t="s">
        <v>325</v>
      </c>
      <c r="D980" t="s">
        <v>11</v>
      </c>
      <c r="E980" s="9">
        <v>28</v>
      </c>
      <c r="F980" t="s">
        <v>23</v>
      </c>
      <c r="G980" t="s">
        <v>13</v>
      </c>
      <c r="H980" s="7">
        <v>42178</v>
      </c>
      <c r="I980">
        <v>28240.06</v>
      </c>
      <c r="K980" s="7"/>
    </row>
    <row r="981" spans="1:11">
      <c r="A981">
        <v>100000980</v>
      </c>
      <c r="B981" t="s">
        <v>51</v>
      </c>
      <c r="C981" t="s">
        <v>248</v>
      </c>
      <c r="D981" t="s">
        <v>11</v>
      </c>
      <c r="E981" s="9">
        <v>19</v>
      </c>
      <c r="F981" t="s">
        <v>12</v>
      </c>
      <c r="G981" t="s">
        <v>13</v>
      </c>
      <c r="H981" s="8">
        <v>42179</v>
      </c>
      <c r="I981">
        <v>65493.89</v>
      </c>
      <c r="K981" s="8"/>
    </row>
    <row r="982" spans="1:11">
      <c r="A982">
        <v>100000981</v>
      </c>
      <c r="B982" t="s">
        <v>317</v>
      </c>
      <c r="C982" t="s">
        <v>52</v>
      </c>
      <c r="D982" t="s">
        <v>16</v>
      </c>
      <c r="E982" s="9">
        <v>31</v>
      </c>
      <c r="F982" t="s">
        <v>12</v>
      </c>
      <c r="G982" t="s">
        <v>33</v>
      </c>
      <c r="H982" s="7">
        <v>42179</v>
      </c>
      <c r="I982">
        <v>74414.09</v>
      </c>
      <c r="K982" s="7"/>
    </row>
    <row r="983" spans="1:11">
      <c r="A983">
        <v>100000982</v>
      </c>
      <c r="B983" t="s">
        <v>24</v>
      </c>
      <c r="C983" t="s">
        <v>237</v>
      </c>
      <c r="D983" t="s">
        <v>16</v>
      </c>
      <c r="E983" s="9">
        <v>34</v>
      </c>
      <c r="F983" t="s">
        <v>12</v>
      </c>
      <c r="G983" t="s">
        <v>13</v>
      </c>
      <c r="H983" s="8">
        <v>42179</v>
      </c>
      <c r="I983">
        <v>107641.39</v>
      </c>
      <c r="K983" s="8"/>
    </row>
    <row r="984" spans="1:11">
      <c r="A984">
        <v>200000983</v>
      </c>
      <c r="B984" t="s">
        <v>251</v>
      </c>
      <c r="C984" t="s">
        <v>242</v>
      </c>
      <c r="D984" t="s">
        <v>16</v>
      </c>
      <c r="E984" s="9">
        <v>37</v>
      </c>
      <c r="F984" t="s">
        <v>32</v>
      </c>
      <c r="G984" t="s">
        <v>33</v>
      </c>
      <c r="H984" s="7">
        <v>42179</v>
      </c>
      <c r="I984">
        <v>42322.58</v>
      </c>
      <c r="K984" s="7"/>
    </row>
    <row r="985" spans="1:11">
      <c r="A985">
        <v>200000984</v>
      </c>
      <c r="B985" t="s">
        <v>263</v>
      </c>
      <c r="C985" t="s">
        <v>52</v>
      </c>
      <c r="D985" t="s">
        <v>16</v>
      </c>
      <c r="E985" s="9">
        <v>57</v>
      </c>
      <c r="F985" t="s">
        <v>32</v>
      </c>
      <c r="G985" t="s">
        <v>33</v>
      </c>
      <c r="H985" s="8">
        <v>42179</v>
      </c>
      <c r="I985">
        <v>64620.15</v>
      </c>
      <c r="K985" s="8"/>
    </row>
    <row r="986" spans="1:11">
      <c r="A986">
        <v>200000985</v>
      </c>
      <c r="B986" t="s">
        <v>193</v>
      </c>
      <c r="C986" t="s">
        <v>106</v>
      </c>
      <c r="D986" t="s">
        <v>11</v>
      </c>
      <c r="E986" s="9">
        <v>56</v>
      </c>
      <c r="F986" t="s">
        <v>32</v>
      </c>
      <c r="G986" t="s">
        <v>18</v>
      </c>
      <c r="H986" s="7">
        <v>42179</v>
      </c>
      <c r="I986">
        <v>48707.14</v>
      </c>
      <c r="K986" s="7"/>
    </row>
    <row r="987" spans="1:11">
      <c r="A987">
        <v>200000986</v>
      </c>
      <c r="B987" t="s">
        <v>273</v>
      </c>
      <c r="C987" t="s">
        <v>29</v>
      </c>
      <c r="D987" t="s">
        <v>11</v>
      </c>
      <c r="E987" s="9">
        <v>56</v>
      </c>
      <c r="F987" t="s">
        <v>32</v>
      </c>
      <c r="G987" t="s">
        <v>18</v>
      </c>
      <c r="H987" s="8">
        <v>42179</v>
      </c>
      <c r="I987">
        <v>27458.53</v>
      </c>
      <c r="K987" s="8"/>
    </row>
    <row r="988" spans="1:11">
      <c r="A988">
        <v>200000987</v>
      </c>
      <c r="B988" t="s">
        <v>145</v>
      </c>
      <c r="C988" t="s">
        <v>172</v>
      </c>
      <c r="D988" t="s">
        <v>11</v>
      </c>
      <c r="E988" s="9">
        <v>42</v>
      </c>
      <c r="F988" t="s">
        <v>32</v>
      </c>
      <c r="G988" t="s">
        <v>18</v>
      </c>
      <c r="H988" s="7">
        <v>42179</v>
      </c>
      <c r="I988">
        <v>7562.83</v>
      </c>
      <c r="K988" s="7"/>
    </row>
    <row r="989" spans="1:11">
      <c r="A989">
        <v>400000988</v>
      </c>
      <c r="B989" t="s">
        <v>128</v>
      </c>
      <c r="C989" t="s">
        <v>179</v>
      </c>
      <c r="D989" t="s">
        <v>16</v>
      </c>
      <c r="E989" s="9">
        <v>39</v>
      </c>
      <c r="F989" t="s">
        <v>17</v>
      </c>
      <c r="G989" t="s">
        <v>13</v>
      </c>
      <c r="H989" s="8">
        <v>42179</v>
      </c>
      <c r="I989">
        <v>107680.1</v>
      </c>
      <c r="K989" s="8"/>
    </row>
    <row r="990" spans="1:11">
      <c r="A990">
        <v>100000989</v>
      </c>
      <c r="B990" t="s">
        <v>149</v>
      </c>
      <c r="C990" t="s">
        <v>307</v>
      </c>
      <c r="D990" t="s">
        <v>16</v>
      </c>
      <c r="E990" s="9">
        <v>34</v>
      </c>
      <c r="F990" t="s">
        <v>12</v>
      </c>
      <c r="G990" t="s">
        <v>33</v>
      </c>
      <c r="H990" s="7">
        <v>42180</v>
      </c>
      <c r="I990">
        <v>40542.83</v>
      </c>
      <c r="K990" s="7"/>
    </row>
    <row r="991" spans="1:11">
      <c r="A991">
        <v>100000990</v>
      </c>
      <c r="B991" t="s">
        <v>208</v>
      </c>
      <c r="C991" t="s">
        <v>289</v>
      </c>
      <c r="D991" t="s">
        <v>11</v>
      </c>
      <c r="E991" s="9">
        <v>43</v>
      </c>
      <c r="F991" t="s">
        <v>12</v>
      </c>
      <c r="G991" t="s">
        <v>18</v>
      </c>
      <c r="H991" s="8">
        <v>42180</v>
      </c>
      <c r="I991">
        <v>80880.83</v>
      </c>
      <c r="K991" s="8"/>
    </row>
    <row r="992" spans="1:11">
      <c r="A992">
        <v>100000991</v>
      </c>
      <c r="B992" t="s">
        <v>38</v>
      </c>
      <c r="C992" t="s">
        <v>258</v>
      </c>
      <c r="D992" t="s">
        <v>11</v>
      </c>
      <c r="E992" s="9">
        <v>33</v>
      </c>
      <c r="F992" t="s">
        <v>12</v>
      </c>
      <c r="G992" t="s">
        <v>13</v>
      </c>
      <c r="H992" s="7">
        <v>42180</v>
      </c>
      <c r="I992">
        <v>3226.71</v>
      </c>
      <c r="K992" s="7"/>
    </row>
    <row r="993" spans="1:11">
      <c r="A993">
        <v>200000992</v>
      </c>
      <c r="B993" t="s">
        <v>143</v>
      </c>
      <c r="C993" t="s">
        <v>108</v>
      </c>
      <c r="D993" t="s">
        <v>11</v>
      </c>
      <c r="E993" s="9">
        <v>43</v>
      </c>
      <c r="F993" t="s">
        <v>32</v>
      </c>
      <c r="G993" t="s">
        <v>18</v>
      </c>
      <c r="H993" s="8">
        <v>42180</v>
      </c>
      <c r="I993">
        <v>68551.149999999994</v>
      </c>
      <c r="K993" s="8"/>
    </row>
    <row r="994" spans="1:11">
      <c r="A994">
        <v>300000993</v>
      </c>
      <c r="B994" t="s">
        <v>254</v>
      </c>
      <c r="C994" t="s">
        <v>39</v>
      </c>
      <c r="D994" t="s">
        <v>11</v>
      </c>
      <c r="E994" s="9">
        <v>33</v>
      </c>
      <c r="F994" t="s">
        <v>23</v>
      </c>
      <c r="G994" t="s">
        <v>18</v>
      </c>
      <c r="H994" s="7">
        <v>42180</v>
      </c>
      <c r="I994">
        <v>77870.460000000006</v>
      </c>
      <c r="K994" s="7"/>
    </row>
    <row r="995" spans="1:11">
      <c r="A995">
        <v>300000994</v>
      </c>
      <c r="B995" t="s">
        <v>36</v>
      </c>
      <c r="C995" t="s">
        <v>185</v>
      </c>
      <c r="D995" t="s">
        <v>11</v>
      </c>
      <c r="E995" s="9">
        <v>35</v>
      </c>
      <c r="F995" t="s">
        <v>23</v>
      </c>
      <c r="G995" t="s">
        <v>18</v>
      </c>
      <c r="H995" s="8">
        <v>42180</v>
      </c>
      <c r="I995">
        <v>56611.75</v>
      </c>
      <c r="K995" s="8"/>
    </row>
    <row r="996" spans="1:11">
      <c r="A996">
        <v>100000995</v>
      </c>
      <c r="B996" t="s">
        <v>284</v>
      </c>
      <c r="C996" t="s">
        <v>291</v>
      </c>
      <c r="D996" t="s">
        <v>16</v>
      </c>
      <c r="E996" s="9">
        <v>29</v>
      </c>
      <c r="F996" t="s">
        <v>12</v>
      </c>
      <c r="G996" t="s">
        <v>33</v>
      </c>
      <c r="H996" s="7">
        <v>42181</v>
      </c>
      <c r="I996">
        <v>81080.08</v>
      </c>
      <c r="K996" s="7"/>
    </row>
    <row r="997" spans="1:11">
      <c r="A997">
        <v>100000996</v>
      </c>
      <c r="B997" t="s">
        <v>143</v>
      </c>
      <c r="C997" t="s">
        <v>196</v>
      </c>
      <c r="D997" t="s">
        <v>11</v>
      </c>
      <c r="E997" s="9">
        <v>34</v>
      </c>
      <c r="F997" t="s">
        <v>12</v>
      </c>
      <c r="G997" t="s">
        <v>13</v>
      </c>
      <c r="H997" s="8">
        <v>42181</v>
      </c>
      <c r="I997">
        <v>40109.99</v>
      </c>
      <c r="K997" s="8"/>
    </row>
    <row r="998" spans="1:11">
      <c r="A998">
        <v>100000997</v>
      </c>
      <c r="B998" t="s">
        <v>48</v>
      </c>
      <c r="C998" t="s">
        <v>77</v>
      </c>
      <c r="D998" t="s">
        <v>16</v>
      </c>
      <c r="E998" s="9">
        <v>44</v>
      </c>
      <c r="F998" t="s">
        <v>12</v>
      </c>
      <c r="G998" t="s">
        <v>13</v>
      </c>
      <c r="H998" s="7">
        <v>42181</v>
      </c>
      <c r="I998">
        <v>74948.240000000005</v>
      </c>
      <c r="K998" s="7"/>
    </row>
    <row r="999" spans="1:11">
      <c r="A999">
        <v>100000998</v>
      </c>
      <c r="B999" t="s">
        <v>133</v>
      </c>
      <c r="C999" t="s">
        <v>315</v>
      </c>
      <c r="D999" t="s">
        <v>11</v>
      </c>
      <c r="E999" s="9">
        <v>36</v>
      </c>
      <c r="F999" t="s">
        <v>12</v>
      </c>
      <c r="G999" t="s">
        <v>33</v>
      </c>
      <c r="H999" s="8">
        <v>42181</v>
      </c>
      <c r="I999">
        <v>82776.89</v>
      </c>
      <c r="K999" s="8"/>
    </row>
    <row r="1000" spans="1:11">
      <c r="A1000">
        <v>200000999</v>
      </c>
      <c r="B1000" t="s">
        <v>118</v>
      </c>
      <c r="C1000" t="s">
        <v>185</v>
      </c>
      <c r="D1000" t="s">
        <v>11</v>
      </c>
      <c r="E1000" s="9">
        <v>60</v>
      </c>
      <c r="F1000" t="s">
        <v>32</v>
      </c>
      <c r="G1000" t="s">
        <v>33</v>
      </c>
      <c r="H1000" s="7">
        <v>42181</v>
      </c>
      <c r="I1000">
        <v>34597.56</v>
      </c>
      <c r="K1000" s="7"/>
    </row>
    <row r="1001" spans="1:11">
      <c r="A1001">
        <v>400001000</v>
      </c>
      <c r="B1001" t="s">
        <v>30</v>
      </c>
      <c r="C1001" t="s">
        <v>29</v>
      </c>
      <c r="D1001" t="s">
        <v>16</v>
      </c>
      <c r="E1001" s="9">
        <v>29</v>
      </c>
      <c r="F1001" t="s">
        <v>17</v>
      </c>
      <c r="G1001" t="s">
        <v>33</v>
      </c>
      <c r="H1001" s="8">
        <v>42181</v>
      </c>
      <c r="I1001">
        <v>4406.82</v>
      </c>
      <c r="K1001" s="8"/>
    </row>
    <row r="1002" spans="1:11">
      <c r="A1002">
        <v>400001001</v>
      </c>
      <c r="B1002" t="s">
        <v>48</v>
      </c>
      <c r="C1002" t="s">
        <v>292</v>
      </c>
      <c r="D1002" t="s">
        <v>16</v>
      </c>
      <c r="E1002" s="9">
        <v>31</v>
      </c>
      <c r="F1002" t="s">
        <v>17</v>
      </c>
      <c r="G1002" t="s">
        <v>33</v>
      </c>
      <c r="H1002" s="7">
        <v>42181</v>
      </c>
      <c r="I1002">
        <v>32162.34</v>
      </c>
      <c r="K1002" s="7"/>
    </row>
    <row r="1003" spans="1:11">
      <c r="A1003">
        <v>100001002</v>
      </c>
      <c r="B1003" t="s">
        <v>107</v>
      </c>
      <c r="C1003" t="s">
        <v>278</v>
      </c>
      <c r="D1003" t="s">
        <v>11</v>
      </c>
      <c r="E1003" s="9">
        <v>29</v>
      </c>
      <c r="F1003" t="s">
        <v>12</v>
      </c>
      <c r="G1003" t="s">
        <v>13</v>
      </c>
      <c r="H1003" s="8">
        <v>42182</v>
      </c>
      <c r="I1003">
        <v>18808.61</v>
      </c>
      <c r="K1003" s="8"/>
    </row>
    <row r="1004" spans="1:11">
      <c r="A1004">
        <v>100001003</v>
      </c>
      <c r="B1004" t="s">
        <v>180</v>
      </c>
      <c r="C1004" t="s">
        <v>116</v>
      </c>
      <c r="D1004" t="s">
        <v>16</v>
      </c>
      <c r="E1004" s="9">
        <v>32</v>
      </c>
      <c r="F1004" t="s">
        <v>12</v>
      </c>
      <c r="G1004" t="s">
        <v>18</v>
      </c>
      <c r="H1004" s="7">
        <v>42182</v>
      </c>
      <c r="I1004">
        <v>12013.82</v>
      </c>
      <c r="K1004" s="7"/>
    </row>
    <row r="1005" spans="1:11">
      <c r="A1005">
        <v>100001004</v>
      </c>
      <c r="B1005" t="s">
        <v>72</v>
      </c>
      <c r="C1005" t="s">
        <v>37</v>
      </c>
      <c r="D1005" t="s">
        <v>11</v>
      </c>
      <c r="E1005" s="9">
        <v>21</v>
      </c>
      <c r="F1005" t="s">
        <v>12</v>
      </c>
      <c r="G1005" t="s">
        <v>13</v>
      </c>
      <c r="H1005" s="8">
        <v>42182</v>
      </c>
      <c r="I1005">
        <v>40886.21</v>
      </c>
      <c r="K1005" s="8"/>
    </row>
    <row r="1006" spans="1:11">
      <c r="A1006">
        <v>100001005</v>
      </c>
      <c r="B1006" t="s">
        <v>316</v>
      </c>
      <c r="C1006" t="s">
        <v>54</v>
      </c>
      <c r="D1006" t="s">
        <v>16</v>
      </c>
      <c r="E1006" s="9">
        <v>38</v>
      </c>
      <c r="F1006" t="s">
        <v>12</v>
      </c>
      <c r="G1006" t="s">
        <v>13</v>
      </c>
      <c r="H1006" s="7">
        <v>42182</v>
      </c>
      <c r="I1006">
        <v>49490.42</v>
      </c>
      <c r="K1006" s="7"/>
    </row>
    <row r="1007" spans="1:11">
      <c r="A1007">
        <v>100001006</v>
      </c>
      <c r="B1007" t="s">
        <v>263</v>
      </c>
      <c r="C1007" t="s">
        <v>88</v>
      </c>
      <c r="D1007" t="s">
        <v>16</v>
      </c>
      <c r="E1007" s="9">
        <v>27</v>
      </c>
      <c r="F1007" t="s">
        <v>12</v>
      </c>
      <c r="G1007" t="s">
        <v>18</v>
      </c>
      <c r="H1007" s="8">
        <v>42182</v>
      </c>
      <c r="I1007">
        <v>51197.279999999999</v>
      </c>
      <c r="K1007" s="8"/>
    </row>
    <row r="1008" spans="1:11">
      <c r="A1008">
        <v>100001007</v>
      </c>
      <c r="B1008" t="s">
        <v>86</v>
      </c>
      <c r="C1008" t="s">
        <v>183</v>
      </c>
      <c r="D1008" t="s">
        <v>11</v>
      </c>
      <c r="E1008" s="9">
        <v>47</v>
      </c>
      <c r="F1008" t="s">
        <v>12</v>
      </c>
      <c r="G1008" t="s">
        <v>18</v>
      </c>
      <c r="H1008" s="7">
        <v>42182</v>
      </c>
      <c r="I1008">
        <v>8610.86</v>
      </c>
      <c r="K1008" s="7"/>
    </row>
    <row r="1009" spans="1:11">
      <c r="A1009">
        <v>300001008</v>
      </c>
      <c r="B1009" t="s">
        <v>214</v>
      </c>
      <c r="C1009" t="s">
        <v>286</v>
      </c>
      <c r="D1009" t="s">
        <v>11</v>
      </c>
      <c r="E1009" s="9">
        <v>33</v>
      </c>
      <c r="F1009" t="s">
        <v>23</v>
      </c>
      <c r="G1009" t="s">
        <v>18</v>
      </c>
      <c r="H1009" s="8">
        <v>42182</v>
      </c>
      <c r="I1009">
        <v>12567.26</v>
      </c>
      <c r="K1009" s="8"/>
    </row>
    <row r="1010" spans="1:11">
      <c r="A1010">
        <v>300001009</v>
      </c>
      <c r="B1010" t="s">
        <v>255</v>
      </c>
      <c r="C1010" t="s">
        <v>239</v>
      </c>
      <c r="D1010" t="s">
        <v>11</v>
      </c>
      <c r="E1010" s="9">
        <v>31</v>
      </c>
      <c r="F1010" t="s">
        <v>23</v>
      </c>
      <c r="G1010" t="s">
        <v>18</v>
      </c>
      <c r="H1010" s="7">
        <v>42182</v>
      </c>
      <c r="I1010">
        <v>28265.93</v>
      </c>
      <c r="K1010" s="7"/>
    </row>
    <row r="1011" spans="1:11">
      <c r="A1011">
        <v>300001010</v>
      </c>
      <c r="B1011" t="s">
        <v>97</v>
      </c>
      <c r="C1011" t="s">
        <v>211</v>
      </c>
      <c r="D1011" t="s">
        <v>16</v>
      </c>
      <c r="E1011" s="9">
        <v>36</v>
      </c>
      <c r="F1011" t="s">
        <v>23</v>
      </c>
      <c r="G1011" t="s">
        <v>33</v>
      </c>
      <c r="H1011" s="8">
        <v>42182</v>
      </c>
      <c r="I1011">
        <v>44515.4</v>
      </c>
      <c r="K1011" s="8"/>
    </row>
    <row r="1012" spans="1:11">
      <c r="A1012">
        <v>100001011</v>
      </c>
      <c r="B1012" t="s">
        <v>311</v>
      </c>
      <c r="C1012" t="s">
        <v>124</v>
      </c>
      <c r="D1012" t="s">
        <v>11</v>
      </c>
      <c r="E1012" s="9">
        <v>39</v>
      </c>
      <c r="F1012" t="s">
        <v>12</v>
      </c>
      <c r="G1012" t="s">
        <v>13</v>
      </c>
      <c r="H1012" s="7">
        <v>42183</v>
      </c>
      <c r="I1012">
        <v>20461.13</v>
      </c>
      <c r="K1012" s="7"/>
    </row>
    <row r="1013" spans="1:11">
      <c r="A1013">
        <v>100001012</v>
      </c>
      <c r="B1013" t="s">
        <v>143</v>
      </c>
      <c r="C1013" t="s">
        <v>45</v>
      </c>
      <c r="D1013" t="s">
        <v>11</v>
      </c>
      <c r="E1013" s="9">
        <v>37</v>
      </c>
      <c r="F1013" t="s">
        <v>12</v>
      </c>
      <c r="G1013" t="s">
        <v>18</v>
      </c>
      <c r="H1013" s="8">
        <v>42183</v>
      </c>
      <c r="I1013">
        <v>22457.9</v>
      </c>
      <c r="K1013" s="8"/>
    </row>
    <row r="1014" spans="1:11">
      <c r="A1014">
        <v>100001013</v>
      </c>
      <c r="B1014" t="s">
        <v>231</v>
      </c>
      <c r="C1014" t="s">
        <v>227</v>
      </c>
      <c r="D1014" t="s">
        <v>11</v>
      </c>
      <c r="E1014" s="9">
        <v>38</v>
      </c>
      <c r="F1014" t="s">
        <v>12</v>
      </c>
      <c r="G1014" t="s">
        <v>13</v>
      </c>
      <c r="H1014" s="7">
        <v>42183</v>
      </c>
      <c r="I1014">
        <v>25807.24</v>
      </c>
      <c r="K1014" s="7"/>
    </row>
    <row r="1015" spans="1:11">
      <c r="A1015">
        <v>100001014</v>
      </c>
      <c r="B1015" t="s">
        <v>186</v>
      </c>
      <c r="C1015" t="s">
        <v>134</v>
      </c>
      <c r="D1015" t="s">
        <v>11</v>
      </c>
      <c r="E1015" s="9">
        <v>41</v>
      </c>
      <c r="F1015" t="s">
        <v>12</v>
      </c>
      <c r="G1015" t="s">
        <v>13</v>
      </c>
      <c r="H1015" s="8">
        <v>42183</v>
      </c>
      <c r="I1015">
        <v>75878.509999999995</v>
      </c>
      <c r="K1015" s="8"/>
    </row>
    <row r="1016" spans="1:11">
      <c r="A1016">
        <v>100001015</v>
      </c>
      <c r="B1016" t="s">
        <v>46</v>
      </c>
      <c r="C1016" t="s">
        <v>310</v>
      </c>
      <c r="D1016" t="s">
        <v>11</v>
      </c>
      <c r="E1016" s="9">
        <v>24</v>
      </c>
      <c r="F1016" t="s">
        <v>12</v>
      </c>
      <c r="G1016" t="s">
        <v>13</v>
      </c>
      <c r="H1016" s="7">
        <v>42183</v>
      </c>
      <c r="I1016">
        <v>5880.85</v>
      </c>
      <c r="K1016" s="7"/>
    </row>
    <row r="1017" spans="1:11">
      <c r="A1017">
        <v>100001016</v>
      </c>
      <c r="B1017" t="s">
        <v>139</v>
      </c>
      <c r="C1017" t="s">
        <v>322</v>
      </c>
      <c r="D1017" t="s">
        <v>16</v>
      </c>
      <c r="E1017" s="9">
        <v>37</v>
      </c>
      <c r="F1017" t="s">
        <v>12</v>
      </c>
      <c r="G1017" t="s">
        <v>13</v>
      </c>
      <c r="H1017" s="8">
        <v>42183</v>
      </c>
      <c r="I1017">
        <v>30894.09</v>
      </c>
      <c r="K1017" s="8"/>
    </row>
    <row r="1018" spans="1:11">
      <c r="A1018">
        <v>100001017</v>
      </c>
      <c r="B1018" t="s">
        <v>171</v>
      </c>
      <c r="C1018" t="s">
        <v>49</v>
      </c>
      <c r="D1018" t="s">
        <v>16</v>
      </c>
      <c r="E1018" s="9">
        <v>33</v>
      </c>
      <c r="F1018" t="s">
        <v>12</v>
      </c>
      <c r="G1018" t="s">
        <v>13</v>
      </c>
      <c r="H1018" s="7">
        <v>42183</v>
      </c>
      <c r="I1018">
        <v>88647.1</v>
      </c>
      <c r="K1018" s="7"/>
    </row>
    <row r="1019" spans="1:11">
      <c r="A1019">
        <v>100001018</v>
      </c>
      <c r="B1019" t="s">
        <v>314</v>
      </c>
      <c r="C1019" t="s">
        <v>125</v>
      </c>
      <c r="D1019" t="s">
        <v>16</v>
      </c>
      <c r="E1019" s="9">
        <v>32</v>
      </c>
      <c r="F1019" t="s">
        <v>12</v>
      </c>
      <c r="G1019" t="s">
        <v>13</v>
      </c>
      <c r="H1019" s="8">
        <v>42183</v>
      </c>
      <c r="I1019">
        <v>55945.74</v>
      </c>
      <c r="K1019" s="8"/>
    </row>
    <row r="1020" spans="1:11">
      <c r="A1020">
        <v>200001019</v>
      </c>
      <c r="B1020" t="s">
        <v>70</v>
      </c>
      <c r="C1020" t="s">
        <v>227</v>
      </c>
      <c r="D1020" t="s">
        <v>11</v>
      </c>
      <c r="E1020" s="9">
        <v>60</v>
      </c>
      <c r="F1020" t="s">
        <v>32</v>
      </c>
      <c r="G1020" t="s">
        <v>18</v>
      </c>
      <c r="H1020" s="7">
        <v>42183</v>
      </c>
      <c r="I1020">
        <v>67510.19</v>
      </c>
      <c r="K1020" s="7"/>
    </row>
    <row r="1021" spans="1:11">
      <c r="A1021">
        <v>200001020</v>
      </c>
      <c r="B1021" t="s">
        <v>256</v>
      </c>
      <c r="C1021" t="s">
        <v>212</v>
      </c>
      <c r="D1021" t="s">
        <v>16</v>
      </c>
      <c r="E1021" s="9">
        <v>55</v>
      </c>
      <c r="F1021" t="s">
        <v>32</v>
      </c>
      <c r="G1021" t="s">
        <v>33</v>
      </c>
      <c r="H1021" s="8">
        <v>42183</v>
      </c>
      <c r="I1021">
        <v>29753.91</v>
      </c>
      <c r="K1021" s="8"/>
    </row>
    <row r="1022" spans="1:11">
      <c r="A1022">
        <v>200001021</v>
      </c>
      <c r="B1022" t="s">
        <v>182</v>
      </c>
      <c r="C1022" t="s">
        <v>172</v>
      </c>
      <c r="D1022" t="s">
        <v>16</v>
      </c>
      <c r="E1022" s="9">
        <v>57</v>
      </c>
      <c r="F1022" t="s">
        <v>32</v>
      </c>
      <c r="G1022" t="s">
        <v>18</v>
      </c>
      <c r="H1022" s="7">
        <v>42183</v>
      </c>
      <c r="I1022">
        <v>55886.74</v>
      </c>
      <c r="K1022" s="7"/>
    </row>
    <row r="1023" spans="1:11">
      <c r="A1023">
        <v>400001022</v>
      </c>
      <c r="B1023" t="s">
        <v>57</v>
      </c>
      <c r="C1023" t="s">
        <v>196</v>
      </c>
      <c r="D1023" t="s">
        <v>11</v>
      </c>
      <c r="E1023" s="9">
        <v>38</v>
      </c>
      <c r="F1023" t="s">
        <v>17</v>
      </c>
      <c r="G1023" t="s">
        <v>13</v>
      </c>
      <c r="H1023" s="8">
        <v>42183</v>
      </c>
      <c r="I1023">
        <v>76999.31</v>
      </c>
      <c r="K1023" s="8"/>
    </row>
    <row r="1024" spans="1:11">
      <c r="A1024">
        <v>100001023</v>
      </c>
      <c r="B1024" t="s">
        <v>174</v>
      </c>
      <c r="C1024" t="s">
        <v>35</v>
      </c>
      <c r="D1024" t="s">
        <v>11</v>
      </c>
      <c r="E1024" s="9">
        <v>42</v>
      </c>
      <c r="F1024" t="s">
        <v>12</v>
      </c>
      <c r="G1024" t="s">
        <v>13</v>
      </c>
      <c r="H1024" s="7">
        <v>42184</v>
      </c>
      <c r="I1024">
        <v>61354.78</v>
      </c>
      <c r="K1024" s="7"/>
    </row>
    <row r="1025" spans="1:11">
      <c r="A1025">
        <v>100001024</v>
      </c>
      <c r="B1025" t="s">
        <v>143</v>
      </c>
      <c r="C1025" t="s">
        <v>134</v>
      </c>
      <c r="D1025" t="s">
        <v>11</v>
      </c>
      <c r="E1025" s="9">
        <v>36</v>
      </c>
      <c r="F1025" t="s">
        <v>12</v>
      </c>
      <c r="G1025" t="s">
        <v>18</v>
      </c>
      <c r="H1025" s="8">
        <v>42184</v>
      </c>
      <c r="I1025">
        <v>9352.1200000000008</v>
      </c>
      <c r="K1025" s="8"/>
    </row>
    <row r="1026" spans="1:11">
      <c r="A1026">
        <v>100001025</v>
      </c>
      <c r="B1026" t="s">
        <v>165</v>
      </c>
      <c r="C1026" t="s">
        <v>216</v>
      </c>
      <c r="D1026" t="s">
        <v>16</v>
      </c>
      <c r="E1026" s="9">
        <v>40</v>
      </c>
      <c r="F1026" t="s">
        <v>12</v>
      </c>
      <c r="G1026" t="s">
        <v>13</v>
      </c>
      <c r="H1026" s="7">
        <v>42184</v>
      </c>
      <c r="I1026">
        <v>55409.56</v>
      </c>
      <c r="K1026" s="7"/>
    </row>
    <row r="1027" spans="1:11">
      <c r="A1027">
        <v>100001026</v>
      </c>
      <c r="B1027" t="s">
        <v>117</v>
      </c>
      <c r="C1027" t="s">
        <v>22</v>
      </c>
      <c r="D1027" t="s">
        <v>16</v>
      </c>
      <c r="E1027" s="9">
        <v>25</v>
      </c>
      <c r="F1027" t="s">
        <v>12</v>
      </c>
      <c r="G1027" t="s">
        <v>13</v>
      </c>
      <c r="H1027" s="8">
        <v>42184</v>
      </c>
      <c r="I1027">
        <v>22598.74</v>
      </c>
      <c r="K1027" s="8"/>
    </row>
    <row r="1028" spans="1:11">
      <c r="A1028">
        <v>100001027</v>
      </c>
      <c r="B1028" t="s">
        <v>251</v>
      </c>
      <c r="C1028" t="s">
        <v>106</v>
      </c>
      <c r="D1028" t="s">
        <v>16</v>
      </c>
      <c r="E1028" s="9">
        <v>33</v>
      </c>
      <c r="F1028" t="s">
        <v>12</v>
      </c>
      <c r="G1028" t="s">
        <v>33</v>
      </c>
      <c r="H1028" s="7">
        <v>42184</v>
      </c>
      <c r="I1028">
        <v>49665.09</v>
      </c>
      <c r="K1028" s="7"/>
    </row>
    <row r="1029" spans="1:11">
      <c r="A1029">
        <v>100001028</v>
      </c>
      <c r="B1029" t="s">
        <v>199</v>
      </c>
      <c r="C1029" t="s">
        <v>318</v>
      </c>
      <c r="D1029" t="s">
        <v>11</v>
      </c>
      <c r="E1029" s="9">
        <v>46</v>
      </c>
      <c r="F1029" t="s">
        <v>12</v>
      </c>
      <c r="G1029" t="s">
        <v>13</v>
      </c>
      <c r="H1029" s="8">
        <v>42184</v>
      </c>
      <c r="I1029">
        <v>79398.91</v>
      </c>
      <c r="K1029" s="8"/>
    </row>
    <row r="1030" spans="1:11">
      <c r="A1030">
        <v>100001029</v>
      </c>
      <c r="B1030" t="s">
        <v>268</v>
      </c>
      <c r="C1030" t="s">
        <v>239</v>
      </c>
      <c r="D1030" t="s">
        <v>16</v>
      </c>
      <c r="E1030" s="9">
        <v>38</v>
      </c>
      <c r="F1030" t="s">
        <v>12</v>
      </c>
      <c r="G1030" t="s">
        <v>13</v>
      </c>
      <c r="H1030" s="7">
        <v>42184</v>
      </c>
      <c r="I1030">
        <v>24834.61</v>
      </c>
      <c r="K1030" s="7"/>
    </row>
    <row r="1031" spans="1:11">
      <c r="A1031">
        <v>200001030</v>
      </c>
      <c r="B1031" t="s">
        <v>193</v>
      </c>
      <c r="C1031" t="s">
        <v>237</v>
      </c>
      <c r="D1031" t="s">
        <v>11</v>
      </c>
      <c r="E1031" s="9">
        <v>58</v>
      </c>
      <c r="F1031" t="s">
        <v>32</v>
      </c>
      <c r="G1031" t="s">
        <v>33</v>
      </c>
      <c r="H1031" s="8">
        <v>42184</v>
      </c>
      <c r="I1031">
        <v>41285.800000000003</v>
      </c>
      <c r="K1031" s="8"/>
    </row>
    <row r="1032" spans="1:11">
      <c r="A1032">
        <v>200001031</v>
      </c>
      <c r="B1032" t="s">
        <v>243</v>
      </c>
      <c r="C1032" t="s">
        <v>306</v>
      </c>
      <c r="D1032" t="s">
        <v>16</v>
      </c>
      <c r="E1032" s="9">
        <v>48</v>
      </c>
      <c r="F1032" t="s">
        <v>32</v>
      </c>
      <c r="G1032" t="s">
        <v>33</v>
      </c>
      <c r="H1032" s="7">
        <v>42184</v>
      </c>
      <c r="I1032">
        <v>6104.59</v>
      </c>
      <c r="K1032" s="7"/>
    </row>
    <row r="1033" spans="1:11">
      <c r="A1033">
        <v>200001032</v>
      </c>
      <c r="B1033" t="s">
        <v>152</v>
      </c>
      <c r="C1033" t="s">
        <v>25</v>
      </c>
      <c r="D1033" t="s">
        <v>11</v>
      </c>
      <c r="E1033" s="9">
        <v>41</v>
      </c>
      <c r="F1033" t="s">
        <v>32</v>
      </c>
      <c r="G1033" t="s">
        <v>18</v>
      </c>
      <c r="H1033" s="8">
        <v>42184</v>
      </c>
      <c r="I1033">
        <v>64766.09</v>
      </c>
      <c r="K1033" s="8"/>
    </row>
    <row r="1034" spans="1:11">
      <c r="A1034">
        <v>300001033</v>
      </c>
      <c r="B1034" t="s">
        <v>139</v>
      </c>
      <c r="C1034" t="s">
        <v>109</v>
      </c>
      <c r="D1034" t="s">
        <v>16</v>
      </c>
      <c r="E1034" s="9">
        <v>46</v>
      </c>
      <c r="F1034" t="s">
        <v>23</v>
      </c>
      <c r="G1034" t="s">
        <v>13</v>
      </c>
      <c r="H1034" s="7">
        <v>42184</v>
      </c>
      <c r="I1034">
        <v>55535.23</v>
      </c>
      <c r="K1034" s="7"/>
    </row>
    <row r="1035" spans="1:11">
      <c r="A1035">
        <v>300001034</v>
      </c>
      <c r="B1035" t="s">
        <v>264</v>
      </c>
      <c r="C1035" t="s">
        <v>286</v>
      </c>
      <c r="D1035" t="s">
        <v>11</v>
      </c>
      <c r="E1035" s="9">
        <v>35</v>
      </c>
      <c r="F1035" t="s">
        <v>23</v>
      </c>
      <c r="G1035" t="s">
        <v>18</v>
      </c>
      <c r="H1035" s="8">
        <v>42184</v>
      </c>
      <c r="I1035">
        <v>134324.66</v>
      </c>
      <c r="K1035" s="8"/>
    </row>
    <row r="1036" spans="1:11">
      <c r="A1036">
        <v>400001035</v>
      </c>
      <c r="B1036" t="s">
        <v>262</v>
      </c>
      <c r="C1036" t="s">
        <v>54</v>
      </c>
      <c r="D1036" t="s">
        <v>16</v>
      </c>
      <c r="E1036" s="9">
        <v>27</v>
      </c>
      <c r="F1036" t="s">
        <v>17</v>
      </c>
      <c r="G1036" t="s">
        <v>18</v>
      </c>
      <c r="H1036" s="7">
        <v>42184</v>
      </c>
      <c r="I1036">
        <v>48456.97</v>
      </c>
      <c r="K1036" s="7"/>
    </row>
    <row r="1037" spans="1:11">
      <c r="A1037">
        <v>100001036</v>
      </c>
      <c r="B1037" t="s">
        <v>221</v>
      </c>
      <c r="C1037" t="s">
        <v>210</v>
      </c>
      <c r="D1037" t="s">
        <v>16</v>
      </c>
      <c r="E1037" s="9">
        <v>40</v>
      </c>
      <c r="F1037" t="s">
        <v>12</v>
      </c>
      <c r="G1037" t="s">
        <v>13</v>
      </c>
      <c r="H1037" s="8">
        <v>42185</v>
      </c>
      <c r="I1037">
        <v>2619.62</v>
      </c>
      <c r="K1037" s="8"/>
    </row>
    <row r="1038" spans="1:11">
      <c r="A1038">
        <v>100001037</v>
      </c>
      <c r="B1038" t="s">
        <v>175</v>
      </c>
      <c r="C1038" t="s">
        <v>219</v>
      </c>
      <c r="D1038" t="s">
        <v>11</v>
      </c>
      <c r="E1038" s="9">
        <v>41</v>
      </c>
      <c r="F1038" t="s">
        <v>12</v>
      </c>
      <c r="G1038" t="s">
        <v>33</v>
      </c>
      <c r="H1038" s="7">
        <v>42185</v>
      </c>
      <c r="I1038">
        <v>61602.73</v>
      </c>
      <c r="K1038" s="7"/>
    </row>
    <row r="1039" spans="1:11">
      <c r="A1039">
        <v>100001038</v>
      </c>
      <c r="B1039" t="s">
        <v>213</v>
      </c>
      <c r="C1039" t="s">
        <v>185</v>
      </c>
      <c r="D1039" t="s">
        <v>11</v>
      </c>
      <c r="E1039" s="9">
        <v>37</v>
      </c>
      <c r="F1039" t="s">
        <v>12</v>
      </c>
      <c r="G1039" t="s">
        <v>13</v>
      </c>
      <c r="H1039" s="8">
        <v>42185</v>
      </c>
      <c r="I1039">
        <v>22058.44</v>
      </c>
      <c r="K1039" s="8"/>
    </row>
    <row r="1040" spans="1:11">
      <c r="A1040">
        <v>100001039</v>
      </c>
      <c r="B1040" t="s">
        <v>276</v>
      </c>
      <c r="C1040" t="s">
        <v>52</v>
      </c>
      <c r="D1040" t="s">
        <v>16</v>
      </c>
      <c r="E1040" s="9">
        <v>31</v>
      </c>
      <c r="F1040" t="s">
        <v>12</v>
      </c>
      <c r="G1040" t="s">
        <v>13</v>
      </c>
      <c r="H1040" s="7">
        <v>42185</v>
      </c>
      <c r="I1040">
        <v>24845.43</v>
      </c>
      <c r="K1040" s="7"/>
    </row>
    <row r="1041" spans="1:11">
      <c r="A1041">
        <v>100001040</v>
      </c>
      <c r="B1041" t="s">
        <v>51</v>
      </c>
      <c r="C1041" t="s">
        <v>172</v>
      </c>
      <c r="D1041" t="s">
        <v>11</v>
      </c>
      <c r="E1041" s="9">
        <v>28</v>
      </c>
      <c r="F1041" t="s">
        <v>12</v>
      </c>
      <c r="G1041" t="s">
        <v>13</v>
      </c>
      <c r="H1041" s="8">
        <v>42185</v>
      </c>
      <c r="I1041">
        <v>42331.5</v>
      </c>
      <c r="K1041" s="8"/>
    </row>
    <row r="1042" spans="1:11">
      <c r="A1042">
        <v>100001041</v>
      </c>
      <c r="B1042" t="s">
        <v>213</v>
      </c>
      <c r="C1042" t="s">
        <v>163</v>
      </c>
      <c r="D1042" t="s">
        <v>11</v>
      </c>
      <c r="E1042" s="9">
        <v>41</v>
      </c>
      <c r="F1042" t="s">
        <v>12</v>
      </c>
      <c r="G1042" t="s">
        <v>13</v>
      </c>
      <c r="H1042" s="7">
        <v>42185</v>
      </c>
      <c r="I1042">
        <v>43488.59</v>
      </c>
      <c r="K1042" s="7"/>
    </row>
    <row r="1043" spans="1:11">
      <c r="A1043">
        <v>200001042</v>
      </c>
      <c r="B1043" t="s">
        <v>21</v>
      </c>
      <c r="C1043" t="s">
        <v>35</v>
      </c>
      <c r="D1043" t="s">
        <v>11</v>
      </c>
      <c r="E1043" s="9">
        <v>45</v>
      </c>
      <c r="F1043" t="s">
        <v>32</v>
      </c>
      <c r="G1043" t="s">
        <v>18</v>
      </c>
      <c r="H1043" s="8">
        <v>42185</v>
      </c>
      <c r="I1043">
        <v>11565.04</v>
      </c>
      <c r="K1043" s="8"/>
    </row>
    <row r="1044" spans="1:11">
      <c r="A1044">
        <v>200001043</v>
      </c>
      <c r="B1044" t="s">
        <v>207</v>
      </c>
      <c r="C1044" t="s">
        <v>47</v>
      </c>
      <c r="D1044" t="s">
        <v>11</v>
      </c>
      <c r="E1044" s="9">
        <v>49</v>
      </c>
      <c r="F1044" t="s">
        <v>32</v>
      </c>
      <c r="G1044" t="s">
        <v>18</v>
      </c>
      <c r="H1044" s="7">
        <v>42185</v>
      </c>
      <c r="I1044">
        <v>1096.3599999999999</v>
      </c>
      <c r="K1044" s="7"/>
    </row>
    <row r="1045" spans="1:11">
      <c r="A1045">
        <v>200001044</v>
      </c>
      <c r="B1045" t="s">
        <v>169</v>
      </c>
      <c r="C1045" t="s">
        <v>136</v>
      </c>
      <c r="D1045" t="s">
        <v>11</v>
      </c>
      <c r="E1045" s="9">
        <v>52</v>
      </c>
      <c r="F1045" t="s">
        <v>32</v>
      </c>
      <c r="G1045" t="s">
        <v>33</v>
      </c>
      <c r="H1045" s="8">
        <v>42185</v>
      </c>
      <c r="I1045">
        <v>4793.55</v>
      </c>
      <c r="K1045" s="8"/>
    </row>
    <row r="1046" spans="1:11">
      <c r="A1046">
        <v>200001045</v>
      </c>
      <c r="B1046" t="s">
        <v>24</v>
      </c>
      <c r="C1046" t="s">
        <v>103</v>
      </c>
      <c r="D1046" t="s">
        <v>16</v>
      </c>
      <c r="E1046" s="9">
        <v>51</v>
      </c>
      <c r="F1046" t="s">
        <v>32</v>
      </c>
      <c r="G1046" t="s">
        <v>33</v>
      </c>
      <c r="H1046" s="7">
        <v>42185</v>
      </c>
      <c r="I1046">
        <v>11909.63</v>
      </c>
      <c r="K1046" s="7"/>
    </row>
    <row r="1047" spans="1:11">
      <c r="A1047">
        <v>200001046</v>
      </c>
      <c r="B1047" t="s">
        <v>145</v>
      </c>
      <c r="C1047" t="s">
        <v>275</v>
      </c>
      <c r="D1047" t="s">
        <v>11</v>
      </c>
      <c r="E1047" s="9">
        <v>47</v>
      </c>
      <c r="F1047" t="s">
        <v>32</v>
      </c>
      <c r="G1047" t="s">
        <v>18</v>
      </c>
      <c r="H1047" s="8">
        <v>42185</v>
      </c>
      <c r="I1047">
        <v>56257.26</v>
      </c>
      <c r="K1047" s="8"/>
    </row>
    <row r="1048" spans="1:11">
      <c r="A1048">
        <v>300001047</v>
      </c>
      <c r="B1048" t="s">
        <v>180</v>
      </c>
      <c r="C1048" t="s">
        <v>136</v>
      </c>
      <c r="D1048" t="s">
        <v>16</v>
      </c>
      <c r="E1048" s="9">
        <v>33</v>
      </c>
      <c r="F1048" t="s">
        <v>23</v>
      </c>
      <c r="G1048" t="s">
        <v>33</v>
      </c>
      <c r="H1048" s="7">
        <v>42185</v>
      </c>
      <c r="I1048">
        <v>18469.939999999999</v>
      </c>
      <c r="K1048" s="7"/>
    </row>
    <row r="1049" spans="1:11">
      <c r="A1049">
        <v>300001048</v>
      </c>
      <c r="B1049" t="s">
        <v>129</v>
      </c>
      <c r="C1049" t="s">
        <v>58</v>
      </c>
      <c r="D1049" t="s">
        <v>11</v>
      </c>
      <c r="E1049" s="9">
        <v>38</v>
      </c>
      <c r="F1049" t="s">
        <v>23</v>
      </c>
      <c r="G1049" t="s">
        <v>13</v>
      </c>
      <c r="H1049" s="8">
        <v>42185</v>
      </c>
      <c r="I1049">
        <v>48959.81</v>
      </c>
      <c r="K1049" s="8"/>
    </row>
    <row r="1050" spans="1:11">
      <c r="A1050">
        <v>100001049</v>
      </c>
      <c r="B1050" t="s">
        <v>165</v>
      </c>
      <c r="C1050" t="s">
        <v>129</v>
      </c>
      <c r="D1050" t="s">
        <v>16</v>
      </c>
      <c r="E1050" s="9">
        <v>30</v>
      </c>
      <c r="F1050" t="s">
        <v>12</v>
      </c>
      <c r="G1050" t="s">
        <v>13</v>
      </c>
      <c r="H1050" s="7">
        <v>42186</v>
      </c>
      <c r="I1050">
        <v>51090.19</v>
      </c>
      <c r="K1050" s="7"/>
    </row>
    <row r="1051" spans="1:11">
      <c r="A1051">
        <v>100001050</v>
      </c>
      <c r="B1051" t="s">
        <v>231</v>
      </c>
      <c r="C1051" t="s">
        <v>106</v>
      </c>
      <c r="D1051" t="s">
        <v>11</v>
      </c>
      <c r="E1051" s="9">
        <v>30</v>
      </c>
      <c r="F1051" t="s">
        <v>12</v>
      </c>
      <c r="G1051" t="s">
        <v>13</v>
      </c>
      <c r="H1051" s="8">
        <v>42186</v>
      </c>
      <c r="I1051">
        <v>26412.29</v>
      </c>
      <c r="K1051" s="8"/>
    </row>
    <row r="1052" spans="1:11">
      <c r="A1052">
        <v>100001051</v>
      </c>
      <c r="B1052" t="s">
        <v>186</v>
      </c>
      <c r="C1052" t="s">
        <v>75</v>
      </c>
      <c r="D1052" t="s">
        <v>11</v>
      </c>
      <c r="E1052" s="9">
        <v>47</v>
      </c>
      <c r="F1052" t="s">
        <v>12</v>
      </c>
      <c r="G1052" t="s">
        <v>13</v>
      </c>
      <c r="H1052" s="7">
        <v>42186</v>
      </c>
      <c r="I1052">
        <v>14703.33</v>
      </c>
      <c r="K1052" s="7"/>
    </row>
    <row r="1053" spans="1:11">
      <c r="A1053">
        <v>200001052</v>
      </c>
      <c r="B1053" t="s">
        <v>312</v>
      </c>
      <c r="C1053" t="s">
        <v>322</v>
      </c>
      <c r="D1053" t="s">
        <v>11</v>
      </c>
      <c r="E1053" s="9">
        <v>48</v>
      </c>
      <c r="F1053" t="s">
        <v>32</v>
      </c>
      <c r="G1053" t="s">
        <v>18</v>
      </c>
      <c r="H1053" s="8">
        <v>42186</v>
      </c>
      <c r="I1053">
        <v>73268.73</v>
      </c>
      <c r="K1053" s="8"/>
    </row>
    <row r="1054" spans="1:11">
      <c r="A1054">
        <v>200001053</v>
      </c>
      <c r="B1054" t="s">
        <v>245</v>
      </c>
      <c r="C1054" t="s">
        <v>211</v>
      </c>
      <c r="D1054" t="s">
        <v>11</v>
      </c>
      <c r="E1054" s="9">
        <v>38</v>
      </c>
      <c r="F1054" t="s">
        <v>32</v>
      </c>
      <c r="G1054" t="s">
        <v>18</v>
      </c>
      <c r="H1054" s="7">
        <v>42186</v>
      </c>
      <c r="I1054">
        <v>26844.18</v>
      </c>
      <c r="K1054" s="7"/>
    </row>
    <row r="1055" spans="1:11">
      <c r="A1055">
        <v>100001054</v>
      </c>
      <c r="B1055" t="s">
        <v>46</v>
      </c>
      <c r="C1055" t="s">
        <v>95</v>
      </c>
      <c r="D1055" t="s">
        <v>11</v>
      </c>
      <c r="E1055" s="9">
        <v>43</v>
      </c>
      <c r="F1055" t="s">
        <v>12</v>
      </c>
      <c r="G1055" t="s">
        <v>13</v>
      </c>
      <c r="H1055" s="8">
        <v>42187</v>
      </c>
      <c r="I1055">
        <v>35417.019999999997</v>
      </c>
      <c r="K1055" s="8"/>
    </row>
    <row r="1056" spans="1:11">
      <c r="A1056">
        <v>100001055</v>
      </c>
      <c r="B1056" t="s">
        <v>102</v>
      </c>
      <c r="C1056" t="s">
        <v>222</v>
      </c>
      <c r="D1056" t="s">
        <v>16</v>
      </c>
      <c r="E1056" s="9">
        <v>40</v>
      </c>
      <c r="F1056" t="s">
        <v>12</v>
      </c>
      <c r="G1056" t="s">
        <v>13</v>
      </c>
      <c r="H1056" s="7">
        <v>42187</v>
      </c>
      <c r="I1056">
        <v>17546.36</v>
      </c>
      <c r="K1056" s="7"/>
    </row>
    <row r="1057" spans="1:11">
      <c r="A1057">
        <v>100001056</v>
      </c>
      <c r="B1057" t="s">
        <v>202</v>
      </c>
      <c r="C1057" t="s">
        <v>59</v>
      </c>
      <c r="D1057" t="s">
        <v>11</v>
      </c>
      <c r="E1057" s="9">
        <v>36</v>
      </c>
      <c r="F1057" t="s">
        <v>12</v>
      </c>
      <c r="G1057" t="s">
        <v>13</v>
      </c>
      <c r="H1057" s="8">
        <v>42187</v>
      </c>
      <c r="I1057">
        <v>53344.6</v>
      </c>
      <c r="K1057" s="8"/>
    </row>
    <row r="1058" spans="1:11">
      <c r="A1058">
        <v>100001057</v>
      </c>
      <c r="B1058" t="s">
        <v>168</v>
      </c>
      <c r="C1058" t="s">
        <v>170</v>
      </c>
      <c r="D1058" t="s">
        <v>16</v>
      </c>
      <c r="E1058" s="9">
        <v>26</v>
      </c>
      <c r="F1058" t="s">
        <v>12</v>
      </c>
      <c r="G1058" t="s">
        <v>33</v>
      </c>
      <c r="H1058" s="7">
        <v>42187</v>
      </c>
      <c r="I1058">
        <v>10054.709999999999</v>
      </c>
      <c r="K1058" s="7"/>
    </row>
    <row r="1059" spans="1:11">
      <c r="A1059">
        <v>100001058</v>
      </c>
      <c r="B1059" t="s">
        <v>304</v>
      </c>
      <c r="C1059" t="s">
        <v>144</v>
      </c>
      <c r="D1059" t="s">
        <v>16</v>
      </c>
      <c r="E1059" s="9">
        <v>36</v>
      </c>
      <c r="F1059" t="s">
        <v>12</v>
      </c>
      <c r="G1059" t="s">
        <v>13</v>
      </c>
      <c r="H1059" s="8">
        <v>42187</v>
      </c>
      <c r="I1059">
        <v>49717.13</v>
      </c>
      <c r="K1059" s="8"/>
    </row>
    <row r="1060" spans="1:11">
      <c r="A1060">
        <v>200001059</v>
      </c>
      <c r="B1060" t="s">
        <v>308</v>
      </c>
      <c r="C1060" t="s">
        <v>297</v>
      </c>
      <c r="D1060" t="s">
        <v>16</v>
      </c>
      <c r="E1060" s="9">
        <v>51</v>
      </c>
      <c r="F1060" t="s">
        <v>32</v>
      </c>
      <c r="G1060" t="s">
        <v>18</v>
      </c>
      <c r="H1060" s="7">
        <v>42187</v>
      </c>
      <c r="I1060">
        <v>7573.67</v>
      </c>
      <c r="K1060" s="7"/>
    </row>
    <row r="1061" spans="1:11">
      <c r="A1061">
        <v>200001060</v>
      </c>
      <c r="B1061" t="s">
        <v>304</v>
      </c>
      <c r="C1061" t="s">
        <v>136</v>
      </c>
      <c r="D1061" t="s">
        <v>16</v>
      </c>
      <c r="E1061" s="9">
        <v>46</v>
      </c>
      <c r="F1061" t="s">
        <v>32</v>
      </c>
      <c r="G1061" t="s">
        <v>33</v>
      </c>
      <c r="H1061" s="8">
        <v>42187</v>
      </c>
      <c r="I1061">
        <v>32324.22</v>
      </c>
      <c r="K1061" s="8"/>
    </row>
    <row r="1062" spans="1:11">
      <c r="A1062">
        <v>200001061</v>
      </c>
      <c r="B1062" t="s">
        <v>159</v>
      </c>
      <c r="C1062" t="s">
        <v>295</v>
      </c>
      <c r="D1062" t="s">
        <v>11</v>
      </c>
      <c r="E1062" s="9">
        <v>49</v>
      </c>
      <c r="F1062" t="s">
        <v>32</v>
      </c>
      <c r="G1062" t="s">
        <v>33</v>
      </c>
      <c r="H1062" s="7">
        <v>42187</v>
      </c>
      <c r="I1062">
        <v>69791.570000000007</v>
      </c>
      <c r="K1062" s="7"/>
    </row>
    <row r="1063" spans="1:11">
      <c r="A1063">
        <v>200001062</v>
      </c>
      <c r="B1063" t="s">
        <v>122</v>
      </c>
      <c r="C1063" t="s">
        <v>275</v>
      </c>
      <c r="D1063" t="s">
        <v>11</v>
      </c>
      <c r="E1063" s="9">
        <v>54</v>
      </c>
      <c r="F1063" t="s">
        <v>32</v>
      </c>
      <c r="G1063" t="s">
        <v>33</v>
      </c>
      <c r="H1063" s="8">
        <v>42187</v>
      </c>
      <c r="I1063">
        <v>16280.16</v>
      </c>
      <c r="K1063" s="8"/>
    </row>
    <row r="1064" spans="1:11">
      <c r="A1064">
        <v>300001063</v>
      </c>
      <c r="B1064" t="s">
        <v>28</v>
      </c>
      <c r="C1064" t="s">
        <v>274</v>
      </c>
      <c r="D1064" t="s">
        <v>16</v>
      </c>
      <c r="E1064" s="9">
        <v>37</v>
      </c>
      <c r="F1064" t="s">
        <v>23</v>
      </c>
      <c r="G1064" t="s">
        <v>13</v>
      </c>
      <c r="H1064" s="7">
        <v>42187</v>
      </c>
      <c r="I1064">
        <v>34072.269999999997</v>
      </c>
      <c r="K1064" s="7"/>
    </row>
    <row r="1065" spans="1:11">
      <c r="A1065">
        <v>300001064</v>
      </c>
      <c r="B1065" t="s">
        <v>234</v>
      </c>
      <c r="C1065" t="s">
        <v>241</v>
      </c>
      <c r="D1065" t="s">
        <v>11</v>
      </c>
      <c r="E1065" s="9">
        <v>42</v>
      </c>
      <c r="F1065" t="s">
        <v>23</v>
      </c>
      <c r="G1065" t="s">
        <v>33</v>
      </c>
      <c r="H1065" s="8">
        <v>42187</v>
      </c>
      <c r="I1065">
        <v>11609.33</v>
      </c>
      <c r="K1065" s="8"/>
    </row>
    <row r="1066" spans="1:11">
      <c r="A1066">
        <v>100001065</v>
      </c>
      <c r="B1066" t="s">
        <v>139</v>
      </c>
      <c r="C1066" t="s">
        <v>125</v>
      </c>
      <c r="D1066" t="s">
        <v>16</v>
      </c>
      <c r="E1066" s="9">
        <v>30</v>
      </c>
      <c r="F1066" t="s">
        <v>12</v>
      </c>
      <c r="G1066" t="s">
        <v>13</v>
      </c>
      <c r="H1066" s="7">
        <v>42188</v>
      </c>
      <c r="I1066">
        <v>44599.53</v>
      </c>
      <c r="K1066" s="7"/>
    </row>
    <row r="1067" spans="1:11">
      <c r="A1067">
        <v>100001066</v>
      </c>
      <c r="B1067" t="s">
        <v>133</v>
      </c>
      <c r="C1067" t="s">
        <v>41</v>
      </c>
      <c r="D1067" t="s">
        <v>11</v>
      </c>
      <c r="E1067" s="9">
        <v>51</v>
      </c>
      <c r="F1067" t="s">
        <v>12</v>
      </c>
      <c r="G1067" t="s">
        <v>13</v>
      </c>
      <c r="H1067" s="8">
        <v>42188</v>
      </c>
      <c r="I1067">
        <v>41266.339999999997</v>
      </c>
      <c r="K1067" s="8"/>
    </row>
    <row r="1068" spans="1:11">
      <c r="A1068">
        <v>100001067</v>
      </c>
      <c r="B1068" t="s">
        <v>244</v>
      </c>
      <c r="C1068" t="s">
        <v>241</v>
      </c>
      <c r="D1068" t="s">
        <v>16</v>
      </c>
      <c r="E1068" s="9">
        <v>28</v>
      </c>
      <c r="F1068" t="s">
        <v>12</v>
      </c>
      <c r="G1068" t="s">
        <v>18</v>
      </c>
      <c r="H1068" s="7">
        <v>42188</v>
      </c>
      <c r="I1068">
        <v>28581.78</v>
      </c>
      <c r="K1068" s="7"/>
    </row>
    <row r="1069" spans="1:11">
      <c r="A1069">
        <v>100001068</v>
      </c>
      <c r="B1069" t="s">
        <v>110</v>
      </c>
      <c r="C1069" t="s">
        <v>25</v>
      </c>
      <c r="D1069" t="s">
        <v>16</v>
      </c>
      <c r="E1069" s="9">
        <v>35</v>
      </c>
      <c r="F1069" t="s">
        <v>12</v>
      </c>
      <c r="G1069" t="s">
        <v>18</v>
      </c>
      <c r="H1069" s="8">
        <v>42188</v>
      </c>
      <c r="I1069">
        <v>15477.05</v>
      </c>
      <c r="K1069" s="8"/>
    </row>
    <row r="1070" spans="1:11">
      <c r="A1070">
        <v>200001069</v>
      </c>
      <c r="B1070" t="s">
        <v>38</v>
      </c>
      <c r="C1070" t="s">
        <v>134</v>
      </c>
      <c r="D1070" t="s">
        <v>11</v>
      </c>
      <c r="E1070" s="9">
        <v>57</v>
      </c>
      <c r="F1070" t="s">
        <v>32</v>
      </c>
      <c r="G1070" t="s">
        <v>18</v>
      </c>
      <c r="H1070" s="7">
        <v>42188</v>
      </c>
      <c r="I1070">
        <v>60086.6</v>
      </c>
      <c r="K1070" s="7"/>
    </row>
    <row r="1071" spans="1:11">
      <c r="A1071">
        <v>200001070</v>
      </c>
      <c r="B1071" t="s">
        <v>190</v>
      </c>
      <c r="C1071" t="s">
        <v>292</v>
      </c>
      <c r="D1071" t="s">
        <v>11</v>
      </c>
      <c r="E1071" s="9">
        <v>62</v>
      </c>
      <c r="F1071" t="s">
        <v>32</v>
      </c>
      <c r="G1071" t="s">
        <v>18</v>
      </c>
      <c r="H1071" s="8">
        <v>42188</v>
      </c>
      <c r="I1071">
        <v>55526.53</v>
      </c>
      <c r="K1071" s="8"/>
    </row>
    <row r="1072" spans="1:11">
      <c r="A1072">
        <v>200001071</v>
      </c>
      <c r="B1072" t="s">
        <v>296</v>
      </c>
      <c r="C1072" t="s">
        <v>279</v>
      </c>
      <c r="D1072" t="s">
        <v>11</v>
      </c>
      <c r="E1072" s="9">
        <v>51</v>
      </c>
      <c r="F1072" t="s">
        <v>32</v>
      </c>
      <c r="G1072" t="s">
        <v>13</v>
      </c>
      <c r="H1072" s="7">
        <v>42188</v>
      </c>
      <c r="I1072">
        <v>41097.46</v>
      </c>
      <c r="K1072" s="7"/>
    </row>
    <row r="1073" spans="1:11">
      <c r="A1073">
        <v>400001072</v>
      </c>
      <c r="B1073" t="s">
        <v>92</v>
      </c>
      <c r="C1073" t="s">
        <v>189</v>
      </c>
      <c r="D1073" t="s">
        <v>16</v>
      </c>
      <c r="E1073" s="9">
        <v>39</v>
      </c>
      <c r="F1073" t="s">
        <v>17</v>
      </c>
      <c r="G1073" t="s">
        <v>33</v>
      </c>
      <c r="H1073" s="8">
        <v>42188</v>
      </c>
      <c r="I1073">
        <v>84480.9</v>
      </c>
      <c r="K1073" s="8"/>
    </row>
    <row r="1074" spans="1:11">
      <c r="A1074">
        <v>100001073</v>
      </c>
      <c r="B1074" t="s">
        <v>188</v>
      </c>
      <c r="C1074" t="s">
        <v>163</v>
      </c>
      <c r="D1074" t="s">
        <v>11</v>
      </c>
      <c r="E1074" s="9">
        <v>37</v>
      </c>
      <c r="F1074" t="s">
        <v>12</v>
      </c>
      <c r="G1074" t="s">
        <v>13</v>
      </c>
      <c r="H1074" s="7">
        <v>42189</v>
      </c>
      <c r="I1074">
        <v>14866.88</v>
      </c>
      <c r="K1074" s="7"/>
    </row>
    <row r="1075" spans="1:11">
      <c r="A1075">
        <v>100001074</v>
      </c>
      <c r="B1075" t="s">
        <v>148</v>
      </c>
      <c r="C1075" t="s">
        <v>210</v>
      </c>
      <c r="D1075" t="s">
        <v>11</v>
      </c>
      <c r="E1075" s="9">
        <v>37</v>
      </c>
      <c r="F1075" t="s">
        <v>12</v>
      </c>
      <c r="G1075" t="s">
        <v>13</v>
      </c>
      <c r="H1075" s="8">
        <v>42189</v>
      </c>
      <c r="I1075">
        <v>50527.47</v>
      </c>
      <c r="K1075" s="8"/>
    </row>
    <row r="1076" spans="1:11">
      <c r="A1076">
        <v>100001075</v>
      </c>
      <c r="B1076" t="s">
        <v>319</v>
      </c>
      <c r="C1076" t="s">
        <v>98</v>
      </c>
      <c r="D1076" t="s">
        <v>16</v>
      </c>
      <c r="E1076" s="9">
        <v>27</v>
      </c>
      <c r="F1076" t="s">
        <v>12</v>
      </c>
      <c r="G1076" t="s">
        <v>18</v>
      </c>
      <c r="H1076" s="7">
        <v>42189</v>
      </c>
      <c r="I1076">
        <v>27565.54</v>
      </c>
      <c r="K1076" s="7"/>
    </row>
    <row r="1077" spans="1:11">
      <c r="A1077">
        <v>100001076</v>
      </c>
      <c r="B1077" t="s">
        <v>90</v>
      </c>
      <c r="C1077" t="s">
        <v>85</v>
      </c>
      <c r="D1077" t="s">
        <v>11</v>
      </c>
      <c r="E1077" s="9">
        <v>32</v>
      </c>
      <c r="F1077" t="s">
        <v>12</v>
      </c>
      <c r="G1077" t="s">
        <v>18</v>
      </c>
      <c r="H1077" s="8">
        <v>42189</v>
      </c>
      <c r="I1077">
        <v>78712.11</v>
      </c>
      <c r="K1077" s="8"/>
    </row>
    <row r="1078" spans="1:11">
      <c r="A1078">
        <v>200001077</v>
      </c>
      <c r="B1078" t="s">
        <v>218</v>
      </c>
      <c r="C1078" t="s">
        <v>179</v>
      </c>
      <c r="D1078" t="s">
        <v>11</v>
      </c>
      <c r="E1078" s="9">
        <v>48</v>
      </c>
      <c r="F1078" t="s">
        <v>32</v>
      </c>
      <c r="G1078" t="s">
        <v>33</v>
      </c>
      <c r="H1078" s="7">
        <v>42189</v>
      </c>
      <c r="I1078">
        <v>40487.71</v>
      </c>
      <c r="K1078" s="7"/>
    </row>
    <row r="1079" spans="1:11">
      <c r="A1079">
        <v>200001078</v>
      </c>
      <c r="B1079" t="s">
        <v>293</v>
      </c>
      <c r="C1079" t="s">
        <v>216</v>
      </c>
      <c r="D1079" t="s">
        <v>11</v>
      </c>
      <c r="E1079" s="9">
        <v>47</v>
      </c>
      <c r="F1079" t="s">
        <v>32</v>
      </c>
      <c r="G1079" t="s">
        <v>18</v>
      </c>
      <c r="H1079" s="8">
        <v>42189</v>
      </c>
      <c r="I1079">
        <v>59432.06</v>
      </c>
      <c r="K1079" s="8"/>
    </row>
    <row r="1080" spans="1:11">
      <c r="A1080">
        <v>300001079</v>
      </c>
      <c r="B1080" t="s">
        <v>112</v>
      </c>
      <c r="C1080" t="s">
        <v>257</v>
      </c>
      <c r="D1080" t="s">
        <v>11</v>
      </c>
      <c r="E1080" s="9">
        <v>36</v>
      </c>
      <c r="F1080" t="s">
        <v>23</v>
      </c>
      <c r="G1080" t="s">
        <v>18</v>
      </c>
      <c r="H1080" s="7">
        <v>42189</v>
      </c>
      <c r="I1080">
        <v>6467.89</v>
      </c>
      <c r="K1080" s="7"/>
    </row>
    <row r="1081" spans="1:11">
      <c r="A1081">
        <v>300001080</v>
      </c>
      <c r="B1081" t="s">
        <v>181</v>
      </c>
      <c r="C1081" t="s">
        <v>52</v>
      </c>
      <c r="D1081" t="s">
        <v>11</v>
      </c>
      <c r="E1081" s="9">
        <v>44</v>
      </c>
      <c r="F1081" t="s">
        <v>23</v>
      </c>
      <c r="G1081" t="s">
        <v>18</v>
      </c>
      <c r="H1081" s="8">
        <v>42189</v>
      </c>
      <c r="I1081">
        <v>37449.47</v>
      </c>
      <c r="K1081" s="8"/>
    </row>
    <row r="1082" spans="1:11">
      <c r="A1082">
        <v>300001081</v>
      </c>
      <c r="B1082" t="s">
        <v>105</v>
      </c>
      <c r="C1082" t="s">
        <v>306</v>
      </c>
      <c r="D1082" t="s">
        <v>16</v>
      </c>
      <c r="E1082" s="9">
        <v>38</v>
      </c>
      <c r="F1082" t="s">
        <v>23</v>
      </c>
      <c r="G1082" t="s">
        <v>13</v>
      </c>
      <c r="H1082" s="7">
        <v>42189</v>
      </c>
      <c r="I1082">
        <v>15926.91</v>
      </c>
      <c r="K1082" s="7"/>
    </row>
    <row r="1083" spans="1:11">
      <c r="A1083">
        <v>400001082</v>
      </c>
      <c r="B1083" t="s">
        <v>30</v>
      </c>
      <c r="C1083" t="s">
        <v>98</v>
      </c>
      <c r="D1083" t="s">
        <v>16</v>
      </c>
      <c r="E1083" s="9">
        <v>32</v>
      </c>
      <c r="F1083" t="s">
        <v>17</v>
      </c>
      <c r="G1083" t="s">
        <v>33</v>
      </c>
      <c r="H1083" s="8">
        <v>42189</v>
      </c>
      <c r="I1083">
        <v>20451.86</v>
      </c>
      <c r="K1083" s="8"/>
    </row>
    <row r="1084" spans="1:11">
      <c r="A1084">
        <v>100001083</v>
      </c>
      <c r="B1084" t="s">
        <v>298</v>
      </c>
      <c r="C1084" t="s">
        <v>85</v>
      </c>
      <c r="D1084" t="s">
        <v>16</v>
      </c>
      <c r="E1084" s="9">
        <v>41</v>
      </c>
      <c r="F1084" t="s">
        <v>12</v>
      </c>
      <c r="G1084" t="s">
        <v>13</v>
      </c>
      <c r="H1084" s="7">
        <v>42190</v>
      </c>
      <c r="I1084">
        <v>81089.55</v>
      </c>
      <c r="K1084" s="7"/>
    </row>
    <row r="1085" spans="1:11">
      <c r="A1085">
        <v>100001084</v>
      </c>
      <c r="B1085" t="s">
        <v>300</v>
      </c>
      <c r="C1085" t="s">
        <v>162</v>
      </c>
      <c r="D1085" t="s">
        <v>16</v>
      </c>
      <c r="E1085" s="9">
        <v>44</v>
      </c>
      <c r="F1085" t="s">
        <v>12</v>
      </c>
      <c r="G1085" t="s">
        <v>13</v>
      </c>
      <c r="H1085" s="8">
        <v>42190</v>
      </c>
      <c r="I1085">
        <v>5032.09</v>
      </c>
      <c r="K1085" s="8"/>
    </row>
    <row r="1086" spans="1:11">
      <c r="A1086">
        <v>100001085</v>
      </c>
      <c r="B1086" t="s">
        <v>319</v>
      </c>
      <c r="C1086" t="s">
        <v>295</v>
      </c>
      <c r="D1086" t="s">
        <v>16</v>
      </c>
      <c r="E1086" s="9">
        <v>41</v>
      </c>
      <c r="F1086" t="s">
        <v>12</v>
      </c>
      <c r="G1086" t="s">
        <v>13</v>
      </c>
      <c r="H1086" s="7">
        <v>42190</v>
      </c>
      <c r="I1086">
        <v>40523.18</v>
      </c>
      <c r="K1086" s="7"/>
    </row>
    <row r="1087" spans="1:11">
      <c r="A1087">
        <v>200001086</v>
      </c>
      <c r="B1087" t="s">
        <v>72</v>
      </c>
      <c r="C1087" t="s">
        <v>305</v>
      </c>
      <c r="D1087" t="s">
        <v>11</v>
      </c>
      <c r="E1087" s="9">
        <v>47</v>
      </c>
      <c r="F1087" t="s">
        <v>32</v>
      </c>
      <c r="G1087" t="s">
        <v>18</v>
      </c>
      <c r="H1087" s="8">
        <v>42190</v>
      </c>
      <c r="I1087">
        <v>1948.26</v>
      </c>
      <c r="K1087" s="8"/>
    </row>
    <row r="1088" spans="1:11">
      <c r="A1088">
        <v>200001087</v>
      </c>
      <c r="B1088" t="s">
        <v>192</v>
      </c>
      <c r="C1088" t="s">
        <v>225</v>
      </c>
      <c r="D1088" t="s">
        <v>16</v>
      </c>
      <c r="E1088" s="9">
        <v>59</v>
      </c>
      <c r="F1088" t="s">
        <v>32</v>
      </c>
      <c r="G1088" t="s">
        <v>33</v>
      </c>
      <c r="H1088" s="7">
        <v>42190</v>
      </c>
      <c r="I1088">
        <v>44326.6</v>
      </c>
      <c r="K1088" s="7"/>
    </row>
    <row r="1089" spans="1:11">
      <c r="A1089">
        <v>200001088</v>
      </c>
      <c r="B1089" t="s">
        <v>152</v>
      </c>
      <c r="C1089" t="s">
        <v>138</v>
      </c>
      <c r="D1089" t="s">
        <v>11</v>
      </c>
      <c r="E1089" s="9">
        <v>43</v>
      </c>
      <c r="F1089" t="s">
        <v>32</v>
      </c>
      <c r="G1089" t="s">
        <v>18</v>
      </c>
      <c r="H1089" s="8">
        <v>42190</v>
      </c>
      <c r="I1089">
        <v>16457.71</v>
      </c>
      <c r="K1089" s="8"/>
    </row>
    <row r="1090" spans="1:11">
      <c r="A1090">
        <v>100001089</v>
      </c>
      <c r="B1090" t="s">
        <v>86</v>
      </c>
      <c r="C1090" t="s">
        <v>116</v>
      </c>
      <c r="D1090" t="s">
        <v>11</v>
      </c>
      <c r="E1090" s="9">
        <v>36</v>
      </c>
      <c r="F1090" t="s">
        <v>12</v>
      </c>
      <c r="G1090" t="s">
        <v>33</v>
      </c>
      <c r="H1090" s="7">
        <v>42191</v>
      </c>
      <c r="I1090">
        <v>22756.57</v>
      </c>
      <c r="K1090" s="7"/>
    </row>
    <row r="1091" spans="1:11">
      <c r="A1091">
        <v>100001090</v>
      </c>
      <c r="B1091" t="s">
        <v>255</v>
      </c>
      <c r="C1091" t="s">
        <v>210</v>
      </c>
      <c r="D1091" t="s">
        <v>11</v>
      </c>
      <c r="E1091" s="9">
        <v>25</v>
      </c>
      <c r="F1091" t="s">
        <v>12</v>
      </c>
      <c r="G1091" t="s">
        <v>33</v>
      </c>
      <c r="H1091" s="8">
        <v>42191</v>
      </c>
      <c r="I1091">
        <v>44277.62</v>
      </c>
      <c r="K1091" s="8"/>
    </row>
    <row r="1092" spans="1:11">
      <c r="A1092">
        <v>100001091</v>
      </c>
      <c r="B1092" t="s">
        <v>304</v>
      </c>
      <c r="C1092" t="s">
        <v>225</v>
      </c>
      <c r="D1092" t="s">
        <v>16</v>
      </c>
      <c r="E1092" s="9">
        <v>45</v>
      </c>
      <c r="F1092" t="s">
        <v>12</v>
      </c>
      <c r="G1092" t="s">
        <v>13</v>
      </c>
      <c r="H1092" s="7">
        <v>42191</v>
      </c>
      <c r="I1092">
        <v>57797.68</v>
      </c>
      <c r="K1092" s="7"/>
    </row>
    <row r="1093" spans="1:11">
      <c r="A1093">
        <v>100001092</v>
      </c>
      <c r="B1093" t="s">
        <v>324</v>
      </c>
      <c r="C1093" t="s">
        <v>85</v>
      </c>
      <c r="D1093" t="s">
        <v>16</v>
      </c>
      <c r="E1093" s="9">
        <v>35</v>
      </c>
      <c r="F1093" t="s">
        <v>12</v>
      </c>
      <c r="G1093" t="s">
        <v>13</v>
      </c>
      <c r="H1093" s="8">
        <v>42191</v>
      </c>
      <c r="I1093">
        <v>1827.85</v>
      </c>
      <c r="K1093" s="8"/>
    </row>
    <row r="1094" spans="1:11">
      <c r="A1094">
        <v>100001093</v>
      </c>
      <c r="B1094" t="s">
        <v>86</v>
      </c>
      <c r="C1094" t="s">
        <v>201</v>
      </c>
      <c r="D1094" t="s">
        <v>11</v>
      </c>
      <c r="E1094" s="9">
        <v>31</v>
      </c>
      <c r="F1094" t="s">
        <v>12</v>
      </c>
      <c r="G1094" t="s">
        <v>13</v>
      </c>
      <c r="H1094" s="7">
        <v>42191</v>
      </c>
      <c r="I1094">
        <v>71267.850000000006</v>
      </c>
      <c r="K1094" s="7"/>
    </row>
    <row r="1095" spans="1:11">
      <c r="A1095">
        <v>100001094</v>
      </c>
      <c r="B1095" t="s">
        <v>220</v>
      </c>
      <c r="C1095" t="s">
        <v>96</v>
      </c>
      <c r="D1095" t="s">
        <v>16</v>
      </c>
      <c r="E1095" s="9">
        <v>30</v>
      </c>
      <c r="F1095" t="s">
        <v>12</v>
      </c>
      <c r="G1095" t="s">
        <v>33</v>
      </c>
      <c r="H1095" s="8">
        <v>42191</v>
      </c>
      <c r="I1095">
        <v>2730.89</v>
      </c>
      <c r="K1095" s="8"/>
    </row>
    <row r="1096" spans="1:11">
      <c r="A1096">
        <v>100001095</v>
      </c>
      <c r="B1096" t="s">
        <v>146</v>
      </c>
      <c r="C1096" t="s">
        <v>290</v>
      </c>
      <c r="D1096" t="s">
        <v>16</v>
      </c>
      <c r="E1096" s="9">
        <v>45</v>
      </c>
      <c r="F1096" t="s">
        <v>12</v>
      </c>
      <c r="G1096" t="s">
        <v>33</v>
      </c>
      <c r="H1096" s="7">
        <v>42191</v>
      </c>
      <c r="I1096">
        <v>9976.92</v>
      </c>
      <c r="K1096" s="7"/>
    </row>
    <row r="1097" spans="1:11">
      <c r="A1097">
        <v>100001096</v>
      </c>
      <c r="B1097" t="s">
        <v>158</v>
      </c>
      <c r="C1097" t="s">
        <v>75</v>
      </c>
      <c r="D1097" t="s">
        <v>16</v>
      </c>
      <c r="E1097" s="9">
        <v>35</v>
      </c>
      <c r="F1097" t="s">
        <v>12</v>
      </c>
      <c r="G1097" t="s">
        <v>18</v>
      </c>
      <c r="H1097" s="8">
        <v>42191</v>
      </c>
      <c r="I1097">
        <v>6083.13</v>
      </c>
      <c r="K1097" s="8"/>
    </row>
    <row r="1098" spans="1:11">
      <c r="A1098">
        <v>100001097</v>
      </c>
      <c r="B1098" t="s">
        <v>181</v>
      </c>
      <c r="C1098" t="s">
        <v>241</v>
      </c>
      <c r="D1098" t="s">
        <v>11</v>
      </c>
      <c r="E1098" s="9">
        <v>36</v>
      </c>
      <c r="F1098" t="s">
        <v>12</v>
      </c>
      <c r="G1098" t="s">
        <v>33</v>
      </c>
      <c r="H1098" s="7">
        <v>42191</v>
      </c>
      <c r="I1098">
        <v>88451.81</v>
      </c>
      <c r="K1098" s="7"/>
    </row>
    <row r="1099" spans="1:11">
      <c r="A1099">
        <v>100001098</v>
      </c>
      <c r="B1099" t="s">
        <v>316</v>
      </c>
      <c r="C1099" t="s">
        <v>88</v>
      </c>
      <c r="D1099" t="s">
        <v>16</v>
      </c>
      <c r="E1099" s="9">
        <v>24</v>
      </c>
      <c r="F1099" t="s">
        <v>12</v>
      </c>
      <c r="G1099" t="s">
        <v>18</v>
      </c>
      <c r="H1099" s="8">
        <v>42191</v>
      </c>
      <c r="I1099">
        <v>77514.080000000002</v>
      </c>
      <c r="K1099" s="8"/>
    </row>
    <row r="1100" spans="1:11">
      <c r="A1100">
        <v>200001099</v>
      </c>
      <c r="B1100" t="s">
        <v>217</v>
      </c>
      <c r="C1100" t="s">
        <v>241</v>
      </c>
      <c r="D1100" t="s">
        <v>11</v>
      </c>
      <c r="E1100" s="9">
        <v>48</v>
      </c>
      <c r="F1100" t="s">
        <v>32</v>
      </c>
      <c r="G1100" t="s">
        <v>13</v>
      </c>
      <c r="H1100" s="7">
        <v>42191</v>
      </c>
      <c r="I1100">
        <v>66005.41</v>
      </c>
      <c r="K1100" s="7"/>
    </row>
    <row r="1101" spans="1:11">
      <c r="A1101">
        <v>200001100</v>
      </c>
      <c r="B1101" t="s">
        <v>245</v>
      </c>
      <c r="C1101" t="s">
        <v>239</v>
      </c>
      <c r="D1101" t="s">
        <v>11</v>
      </c>
      <c r="E1101" s="9">
        <v>48</v>
      </c>
      <c r="F1101" t="s">
        <v>32</v>
      </c>
      <c r="G1101" t="s">
        <v>33</v>
      </c>
      <c r="H1101" s="8">
        <v>42191</v>
      </c>
      <c r="I1101">
        <v>77332.09</v>
      </c>
      <c r="K1101" s="8"/>
    </row>
    <row r="1102" spans="1:11">
      <c r="A1102">
        <v>200001101</v>
      </c>
      <c r="B1102" t="s">
        <v>231</v>
      </c>
      <c r="C1102" t="s">
        <v>22</v>
      </c>
      <c r="D1102" t="s">
        <v>11</v>
      </c>
      <c r="E1102" s="9">
        <v>56</v>
      </c>
      <c r="F1102" t="s">
        <v>32</v>
      </c>
      <c r="G1102" t="s">
        <v>18</v>
      </c>
      <c r="H1102" s="7">
        <v>42191</v>
      </c>
      <c r="I1102">
        <v>3516.35</v>
      </c>
      <c r="K1102" s="7"/>
    </row>
    <row r="1103" spans="1:11">
      <c r="A1103">
        <v>200001102</v>
      </c>
      <c r="B1103" t="s">
        <v>204</v>
      </c>
      <c r="C1103" t="s">
        <v>246</v>
      </c>
      <c r="D1103" t="s">
        <v>11</v>
      </c>
      <c r="E1103" s="9">
        <v>60</v>
      </c>
      <c r="F1103" t="s">
        <v>32</v>
      </c>
      <c r="G1103" t="s">
        <v>33</v>
      </c>
      <c r="H1103" s="8">
        <v>42191</v>
      </c>
      <c r="I1103">
        <v>22067.63</v>
      </c>
      <c r="K1103" s="8"/>
    </row>
    <row r="1104" spans="1:11">
      <c r="A1104">
        <v>200001103</v>
      </c>
      <c r="B1104" t="s">
        <v>245</v>
      </c>
      <c r="C1104" t="s">
        <v>116</v>
      </c>
      <c r="D1104" t="s">
        <v>11</v>
      </c>
      <c r="E1104" s="9">
        <v>42</v>
      </c>
      <c r="F1104" t="s">
        <v>32</v>
      </c>
      <c r="G1104" t="s">
        <v>33</v>
      </c>
      <c r="H1104" s="7">
        <v>42191</v>
      </c>
      <c r="I1104">
        <v>28676.720000000001</v>
      </c>
      <c r="K1104" s="7"/>
    </row>
    <row r="1105" spans="1:11">
      <c r="A1105">
        <v>300001104</v>
      </c>
      <c r="B1105" t="s">
        <v>169</v>
      </c>
      <c r="C1105" t="s">
        <v>22</v>
      </c>
      <c r="D1105" t="s">
        <v>11</v>
      </c>
      <c r="E1105" s="9">
        <v>44</v>
      </c>
      <c r="F1105" t="s">
        <v>23</v>
      </c>
      <c r="G1105" t="s">
        <v>18</v>
      </c>
      <c r="H1105" s="8">
        <v>42191</v>
      </c>
      <c r="I1105">
        <v>8365.0400000000009</v>
      </c>
      <c r="K1105" s="8"/>
    </row>
    <row r="1106" spans="1:11">
      <c r="A1106">
        <v>300001105</v>
      </c>
      <c r="B1106" t="s">
        <v>26</v>
      </c>
      <c r="C1106" t="s">
        <v>274</v>
      </c>
      <c r="D1106" t="s">
        <v>16</v>
      </c>
      <c r="E1106" s="9">
        <v>33</v>
      </c>
      <c r="F1106" t="s">
        <v>23</v>
      </c>
      <c r="G1106" t="s">
        <v>18</v>
      </c>
      <c r="H1106" s="7">
        <v>42191</v>
      </c>
      <c r="I1106">
        <v>15196.68</v>
      </c>
      <c r="K1106" s="7"/>
    </row>
    <row r="1107" spans="1:11">
      <c r="A1107">
        <v>100001106</v>
      </c>
      <c r="B1107" t="s">
        <v>317</v>
      </c>
      <c r="C1107" t="s">
        <v>15</v>
      </c>
      <c r="D1107" t="s">
        <v>16</v>
      </c>
      <c r="E1107" s="9">
        <v>29</v>
      </c>
      <c r="F1107" t="s">
        <v>12</v>
      </c>
      <c r="G1107" t="s">
        <v>18</v>
      </c>
      <c r="H1107" s="8">
        <v>42192</v>
      </c>
      <c r="I1107">
        <v>55720.37</v>
      </c>
      <c r="K1107" s="8"/>
    </row>
    <row r="1108" spans="1:11">
      <c r="A1108">
        <v>100001107</v>
      </c>
      <c r="B1108" t="s">
        <v>204</v>
      </c>
      <c r="C1108" t="s">
        <v>242</v>
      </c>
      <c r="D1108" t="s">
        <v>11</v>
      </c>
      <c r="E1108" s="9">
        <v>33</v>
      </c>
      <c r="F1108" t="s">
        <v>12</v>
      </c>
      <c r="G1108" t="s">
        <v>13</v>
      </c>
      <c r="H1108" s="7">
        <v>42192</v>
      </c>
      <c r="I1108">
        <v>96379.13</v>
      </c>
      <c r="K1108" s="7"/>
    </row>
    <row r="1109" spans="1:11">
      <c r="A1109">
        <v>100001108</v>
      </c>
      <c r="B1109" t="s">
        <v>202</v>
      </c>
      <c r="C1109" t="s">
        <v>242</v>
      </c>
      <c r="D1109" t="s">
        <v>11</v>
      </c>
      <c r="E1109" s="9">
        <v>27</v>
      </c>
      <c r="F1109" t="s">
        <v>12</v>
      </c>
      <c r="G1109" t="s">
        <v>13</v>
      </c>
      <c r="H1109" s="8">
        <v>42192</v>
      </c>
      <c r="I1109">
        <v>45374.89</v>
      </c>
      <c r="K1109" s="8"/>
    </row>
    <row r="1110" spans="1:11">
      <c r="A1110">
        <v>100001109</v>
      </c>
      <c r="B1110" t="s">
        <v>223</v>
      </c>
      <c r="C1110" t="s">
        <v>275</v>
      </c>
      <c r="D1110" t="s">
        <v>16</v>
      </c>
      <c r="E1110" s="9">
        <v>33</v>
      </c>
      <c r="F1110" t="s">
        <v>12</v>
      </c>
      <c r="G1110" t="s">
        <v>13</v>
      </c>
      <c r="H1110" s="7">
        <v>42192</v>
      </c>
      <c r="I1110">
        <v>36425.21</v>
      </c>
      <c r="K1110" s="7"/>
    </row>
    <row r="1111" spans="1:11">
      <c r="A1111">
        <v>100001110</v>
      </c>
      <c r="B1111" t="s">
        <v>148</v>
      </c>
      <c r="C1111" t="s">
        <v>305</v>
      </c>
      <c r="D1111" t="s">
        <v>11</v>
      </c>
      <c r="E1111" s="9">
        <v>35</v>
      </c>
      <c r="F1111" t="s">
        <v>12</v>
      </c>
      <c r="G1111" t="s">
        <v>13</v>
      </c>
      <c r="H1111" s="8">
        <v>42192</v>
      </c>
      <c r="I1111">
        <v>66122.89</v>
      </c>
      <c r="K1111" s="8"/>
    </row>
    <row r="1112" spans="1:11">
      <c r="A1112">
        <v>100001111</v>
      </c>
      <c r="B1112" t="s">
        <v>126</v>
      </c>
      <c r="C1112" t="s">
        <v>116</v>
      </c>
      <c r="D1112" t="s">
        <v>16</v>
      </c>
      <c r="E1112" s="9">
        <v>26</v>
      </c>
      <c r="F1112" t="s">
        <v>12</v>
      </c>
      <c r="G1112" t="s">
        <v>13</v>
      </c>
      <c r="H1112" s="7">
        <v>42192</v>
      </c>
      <c r="I1112">
        <v>21988.77</v>
      </c>
      <c r="K1112" s="7"/>
    </row>
    <row r="1113" spans="1:11">
      <c r="A1113">
        <v>100001112</v>
      </c>
      <c r="B1113" t="s">
        <v>176</v>
      </c>
      <c r="C1113" t="s">
        <v>266</v>
      </c>
      <c r="D1113" t="s">
        <v>16</v>
      </c>
      <c r="E1113" s="9">
        <v>33</v>
      </c>
      <c r="F1113" t="s">
        <v>12</v>
      </c>
      <c r="G1113" t="s">
        <v>13</v>
      </c>
      <c r="H1113" s="8">
        <v>42192</v>
      </c>
      <c r="I1113">
        <v>84064.01</v>
      </c>
      <c r="K1113" s="8"/>
    </row>
    <row r="1114" spans="1:11">
      <c r="A1114">
        <v>100001113</v>
      </c>
      <c r="B1114" t="s">
        <v>131</v>
      </c>
      <c r="C1114" t="s">
        <v>259</v>
      </c>
      <c r="D1114" t="s">
        <v>16</v>
      </c>
      <c r="E1114" s="9">
        <v>42</v>
      </c>
      <c r="F1114" t="s">
        <v>12</v>
      </c>
      <c r="G1114" t="s">
        <v>33</v>
      </c>
      <c r="H1114" s="7">
        <v>42192</v>
      </c>
      <c r="I1114">
        <v>107366.02</v>
      </c>
      <c r="K1114" s="7"/>
    </row>
    <row r="1115" spans="1:11">
      <c r="A1115">
        <v>100001114</v>
      </c>
      <c r="B1115" t="s">
        <v>64</v>
      </c>
      <c r="C1115" t="s">
        <v>285</v>
      </c>
      <c r="D1115" t="s">
        <v>11</v>
      </c>
      <c r="E1115" s="9">
        <v>33</v>
      </c>
      <c r="F1115" t="s">
        <v>12</v>
      </c>
      <c r="G1115" t="s">
        <v>13</v>
      </c>
      <c r="H1115" s="8">
        <v>42192</v>
      </c>
      <c r="I1115">
        <v>59890</v>
      </c>
      <c r="K1115" s="8"/>
    </row>
    <row r="1116" spans="1:11">
      <c r="A1116">
        <v>200001115</v>
      </c>
      <c r="B1116" t="s">
        <v>137</v>
      </c>
      <c r="C1116" t="s">
        <v>196</v>
      </c>
      <c r="D1116" t="s">
        <v>11</v>
      </c>
      <c r="E1116" s="9">
        <v>48</v>
      </c>
      <c r="F1116" t="s">
        <v>32</v>
      </c>
      <c r="G1116" t="s">
        <v>18</v>
      </c>
      <c r="H1116" s="7">
        <v>42192</v>
      </c>
      <c r="I1116">
        <v>36171.83</v>
      </c>
      <c r="K1116" s="7"/>
    </row>
    <row r="1117" spans="1:11">
      <c r="A1117">
        <v>200001116</v>
      </c>
      <c r="B1117" t="s">
        <v>204</v>
      </c>
      <c r="C1117" t="s">
        <v>318</v>
      </c>
      <c r="D1117" t="s">
        <v>11</v>
      </c>
      <c r="E1117" s="9">
        <v>58</v>
      </c>
      <c r="F1117" t="s">
        <v>32</v>
      </c>
      <c r="G1117" t="s">
        <v>18</v>
      </c>
      <c r="H1117" s="8">
        <v>42192</v>
      </c>
      <c r="I1117">
        <v>17953.21</v>
      </c>
      <c r="K1117" s="8"/>
    </row>
    <row r="1118" spans="1:11">
      <c r="A1118">
        <v>200001117</v>
      </c>
      <c r="B1118" t="s">
        <v>126</v>
      </c>
      <c r="C1118" t="s">
        <v>305</v>
      </c>
      <c r="D1118" t="s">
        <v>16</v>
      </c>
      <c r="E1118" s="9">
        <v>42</v>
      </c>
      <c r="F1118" t="s">
        <v>32</v>
      </c>
      <c r="G1118" t="s">
        <v>33</v>
      </c>
      <c r="H1118" s="7">
        <v>42192</v>
      </c>
      <c r="I1118">
        <v>62850.82</v>
      </c>
      <c r="K1118" s="7"/>
    </row>
    <row r="1119" spans="1:11">
      <c r="A1119">
        <v>200001118</v>
      </c>
      <c r="B1119" t="s">
        <v>129</v>
      </c>
      <c r="C1119" t="s">
        <v>47</v>
      </c>
      <c r="D1119" t="s">
        <v>11</v>
      </c>
      <c r="E1119" s="9">
        <v>61</v>
      </c>
      <c r="F1119" t="s">
        <v>32</v>
      </c>
      <c r="G1119" t="s">
        <v>33</v>
      </c>
      <c r="H1119" s="8">
        <v>42192</v>
      </c>
      <c r="I1119">
        <v>40989.589999999997</v>
      </c>
      <c r="K1119" s="8"/>
    </row>
    <row r="1120" spans="1:11">
      <c r="A1120">
        <v>300001119</v>
      </c>
      <c r="B1120" t="s">
        <v>204</v>
      </c>
      <c r="C1120" t="s">
        <v>93</v>
      </c>
      <c r="D1120" t="s">
        <v>11</v>
      </c>
      <c r="E1120" s="9">
        <v>35</v>
      </c>
      <c r="F1120" t="s">
        <v>23</v>
      </c>
      <c r="G1120" t="s">
        <v>18</v>
      </c>
      <c r="H1120" s="7">
        <v>42192</v>
      </c>
      <c r="I1120">
        <v>45240.82</v>
      </c>
      <c r="K1120" s="7"/>
    </row>
    <row r="1121" spans="1:11">
      <c r="A1121">
        <v>300001120</v>
      </c>
      <c r="B1121" t="s">
        <v>19</v>
      </c>
      <c r="C1121" t="s">
        <v>98</v>
      </c>
      <c r="D1121" t="s">
        <v>11</v>
      </c>
      <c r="E1121" s="9">
        <v>38</v>
      </c>
      <c r="F1121" t="s">
        <v>23</v>
      </c>
      <c r="G1121" t="s">
        <v>13</v>
      </c>
      <c r="H1121" s="8">
        <v>42192</v>
      </c>
      <c r="I1121">
        <v>24965.41</v>
      </c>
      <c r="K1121" s="8"/>
    </row>
    <row r="1122" spans="1:11">
      <c r="A1122">
        <v>100001121</v>
      </c>
      <c r="B1122" t="s">
        <v>48</v>
      </c>
      <c r="C1122" t="s">
        <v>134</v>
      </c>
      <c r="D1122" t="s">
        <v>16</v>
      </c>
      <c r="E1122" s="9">
        <v>29</v>
      </c>
      <c r="F1122" t="s">
        <v>12</v>
      </c>
      <c r="G1122" t="s">
        <v>13</v>
      </c>
      <c r="H1122" s="7">
        <v>42193</v>
      </c>
      <c r="I1122">
        <v>25137.17</v>
      </c>
      <c r="K1122" s="7"/>
    </row>
    <row r="1123" spans="1:11">
      <c r="A1123">
        <v>100001122</v>
      </c>
      <c r="B1123" t="s">
        <v>293</v>
      </c>
      <c r="C1123" t="s">
        <v>43</v>
      </c>
      <c r="D1123" t="s">
        <v>11</v>
      </c>
      <c r="E1123" s="9">
        <v>39</v>
      </c>
      <c r="F1123" t="s">
        <v>12</v>
      </c>
      <c r="G1123" t="s">
        <v>33</v>
      </c>
      <c r="H1123" s="8">
        <v>42193</v>
      </c>
      <c r="I1123">
        <v>36666.699999999997</v>
      </c>
      <c r="K1123" s="8"/>
    </row>
    <row r="1124" spans="1:11">
      <c r="A1124">
        <v>100001123</v>
      </c>
      <c r="B1124" t="s">
        <v>24</v>
      </c>
      <c r="C1124" t="s">
        <v>187</v>
      </c>
      <c r="D1124" t="s">
        <v>16</v>
      </c>
      <c r="E1124" s="9">
        <v>43</v>
      </c>
      <c r="F1124" t="s">
        <v>12</v>
      </c>
      <c r="G1124" t="s">
        <v>13</v>
      </c>
      <c r="H1124" s="7">
        <v>42193</v>
      </c>
      <c r="I1124">
        <v>10959.59</v>
      </c>
      <c r="K1124" s="7"/>
    </row>
    <row r="1125" spans="1:11">
      <c r="A1125">
        <v>100001124</v>
      </c>
      <c r="B1125" t="s">
        <v>197</v>
      </c>
      <c r="C1125" t="s">
        <v>155</v>
      </c>
      <c r="D1125" t="s">
        <v>11</v>
      </c>
      <c r="E1125" s="9">
        <v>35</v>
      </c>
      <c r="F1125" t="s">
        <v>12</v>
      </c>
      <c r="G1125" t="s">
        <v>13</v>
      </c>
      <c r="H1125" s="8">
        <v>42193</v>
      </c>
      <c r="I1125">
        <v>114115.93</v>
      </c>
      <c r="K1125" s="8"/>
    </row>
    <row r="1126" spans="1:11">
      <c r="A1126">
        <v>100001125</v>
      </c>
      <c r="B1126" t="s">
        <v>70</v>
      </c>
      <c r="C1126" t="s">
        <v>29</v>
      </c>
      <c r="D1126" t="s">
        <v>11</v>
      </c>
      <c r="E1126" s="9">
        <v>31</v>
      </c>
      <c r="F1126" t="s">
        <v>12</v>
      </c>
      <c r="G1126" t="s">
        <v>13</v>
      </c>
      <c r="H1126" s="7">
        <v>42193</v>
      </c>
      <c r="I1126">
        <v>51397.48</v>
      </c>
      <c r="K1126" s="7"/>
    </row>
    <row r="1127" spans="1:11">
      <c r="A1127">
        <v>100001126</v>
      </c>
      <c r="B1127" t="s">
        <v>161</v>
      </c>
      <c r="C1127" t="s">
        <v>100</v>
      </c>
      <c r="D1127" t="s">
        <v>16</v>
      </c>
      <c r="E1127" s="9">
        <v>49</v>
      </c>
      <c r="F1127" t="s">
        <v>12</v>
      </c>
      <c r="G1127" t="s">
        <v>13</v>
      </c>
      <c r="H1127" s="8">
        <v>42193</v>
      </c>
      <c r="I1127">
        <v>68026.14</v>
      </c>
      <c r="K1127" s="8"/>
    </row>
    <row r="1128" spans="1:11">
      <c r="A1128">
        <v>200001127</v>
      </c>
      <c r="B1128" t="s">
        <v>231</v>
      </c>
      <c r="C1128" t="s">
        <v>98</v>
      </c>
      <c r="D1128" t="s">
        <v>11</v>
      </c>
      <c r="E1128" s="9">
        <v>33</v>
      </c>
      <c r="F1128" t="s">
        <v>32</v>
      </c>
      <c r="G1128" t="s">
        <v>18</v>
      </c>
      <c r="H1128" s="7">
        <v>42193</v>
      </c>
      <c r="I1128">
        <v>4403.78</v>
      </c>
      <c r="K1128" s="7"/>
    </row>
    <row r="1129" spans="1:11">
      <c r="A1129">
        <v>200001128</v>
      </c>
      <c r="B1129" t="s">
        <v>38</v>
      </c>
      <c r="C1129" t="s">
        <v>219</v>
      </c>
      <c r="D1129" t="s">
        <v>11</v>
      </c>
      <c r="E1129" s="9">
        <v>46</v>
      </c>
      <c r="F1129" t="s">
        <v>32</v>
      </c>
      <c r="G1129" t="s">
        <v>18</v>
      </c>
      <c r="H1129" s="8">
        <v>42193</v>
      </c>
      <c r="I1129">
        <v>57005.15</v>
      </c>
      <c r="K1129" s="8"/>
    </row>
    <row r="1130" spans="1:11">
      <c r="A1130">
        <v>200001129</v>
      </c>
      <c r="B1130" t="s">
        <v>173</v>
      </c>
      <c r="C1130" t="s">
        <v>279</v>
      </c>
      <c r="D1130" t="s">
        <v>11</v>
      </c>
      <c r="E1130" s="9">
        <v>44</v>
      </c>
      <c r="F1130" t="s">
        <v>32</v>
      </c>
      <c r="G1130" t="s">
        <v>13</v>
      </c>
      <c r="H1130" s="7">
        <v>42193</v>
      </c>
      <c r="I1130">
        <v>82950.039999999994</v>
      </c>
      <c r="K1130" s="7"/>
    </row>
    <row r="1131" spans="1:11">
      <c r="A1131">
        <v>300001130</v>
      </c>
      <c r="B1131" t="s">
        <v>280</v>
      </c>
      <c r="C1131" t="s">
        <v>93</v>
      </c>
      <c r="D1131" t="s">
        <v>11</v>
      </c>
      <c r="E1131" s="9">
        <v>36</v>
      </c>
      <c r="F1131" t="s">
        <v>23</v>
      </c>
      <c r="G1131" t="s">
        <v>13</v>
      </c>
      <c r="H1131" s="8">
        <v>42193</v>
      </c>
      <c r="I1131">
        <v>55382.31</v>
      </c>
      <c r="K1131" s="8"/>
    </row>
    <row r="1132" spans="1:11">
      <c r="A1132">
        <v>300001131</v>
      </c>
      <c r="B1132" t="s">
        <v>28</v>
      </c>
      <c r="C1132" t="s">
        <v>116</v>
      </c>
      <c r="D1132" t="s">
        <v>16</v>
      </c>
      <c r="E1132" s="9">
        <v>32</v>
      </c>
      <c r="F1132" t="s">
        <v>23</v>
      </c>
      <c r="G1132" t="s">
        <v>13</v>
      </c>
      <c r="H1132" s="7">
        <v>42193</v>
      </c>
      <c r="I1132">
        <v>38704.519999999997</v>
      </c>
      <c r="K1132" s="7"/>
    </row>
    <row r="1133" spans="1:11">
      <c r="A1133">
        <v>100001132</v>
      </c>
      <c r="B1133" t="s">
        <v>147</v>
      </c>
      <c r="C1133" t="s">
        <v>47</v>
      </c>
      <c r="D1133" t="s">
        <v>11</v>
      </c>
      <c r="E1133" s="9">
        <v>33</v>
      </c>
      <c r="F1133" t="s">
        <v>12</v>
      </c>
      <c r="G1133" t="s">
        <v>13</v>
      </c>
      <c r="H1133" s="8">
        <v>42194</v>
      </c>
      <c r="I1133">
        <v>76301.47</v>
      </c>
      <c r="K1133" s="8"/>
    </row>
    <row r="1134" spans="1:11">
      <c r="A1134">
        <v>100001133</v>
      </c>
      <c r="B1134" t="s">
        <v>217</v>
      </c>
      <c r="C1134" t="s">
        <v>227</v>
      </c>
      <c r="D1134" t="s">
        <v>11</v>
      </c>
      <c r="E1134" s="9">
        <v>22</v>
      </c>
      <c r="F1134" t="s">
        <v>12</v>
      </c>
      <c r="G1134" t="s">
        <v>13</v>
      </c>
      <c r="H1134" s="7">
        <v>42194</v>
      </c>
      <c r="I1134">
        <v>14282.81</v>
      </c>
      <c r="K1134" s="7"/>
    </row>
    <row r="1135" spans="1:11">
      <c r="A1135">
        <v>100001134</v>
      </c>
      <c r="B1135" t="s">
        <v>304</v>
      </c>
      <c r="C1135" t="s">
        <v>45</v>
      </c>
      <c r="D1135" t="s">
        <v>16</v>
      </c>
      <c r="E1135" s="9">
        <v>36</v>
      </c>
      <c r="F1135" t="s">
        <v>12</v>
      </c>
      <c r="G1135" t="s">
        <v>13</v>
      </c>
      <c r="H1135" s="8">
        <v>42194</v>
      </c>
      <c r="I1135">
        <v>3108.56</v>
      </c>
      <c r="K1135" s="8"/>
    </row>
    <row r="1136" spans="1:11">
      <c r="A1136">
        <v>100001135</v>
      </c>
      <c r="B1136" t="s">
        <v>81</v>
      </c>
      <c r="C1136" t="s">
        <v>295</v>
      </c>
      <c r="D1136" t="s">
        <v>16</v>
      </c>
      <c r="E1136" s="9">
        <v>46</v>
      </c>
      <c r="F1136" t="s">
        <v>12</v>
      </c>
      <c r="G1136" t="s">
        <v>13</v>
      </c>
      <c r="H1136" s="7">
        <v>42194</v>
      </c>
      <c r="I1136">
        <v>33779.410000000003</v>
      </c>
      <c r="K1136" s="7"/>
    </row>
    <row r="1137" spans="1:11">
      <c r="A1137">
        <v>200001136</v>
      </c>
      <c r="B1137" t="s">
        <v>236</v>
      </c>
      <c r="C1137" t="s">
        <v>25</v>
      </c>
      <c r="D1137" t="s">
        <v>16</v>
      </c>
      <c r="E1137" s="9">
        <v>38</v>
      </c>
      <c r="F1137" t="s">
        <v>32</v>
      </c>
      <c r="G1137" t="s">
        <v>33</v>
      </c>
      <c r="H1137" s="8">
        <v>42194</v>
      </c>
      <c r="I1137">
        <v>102268.43</v>
      </c>
      <c r="K1137" s="8"/>
    </row>
    <row r="1138" spans="1:11">
      <c r="A1138">
        <v>200001137</v>
      </c>
      <c r="B1138" t="s">
        <v>220</v>
      </c>
      <c r="C1138" t="s">
        <v>230</v>
      </c>
      <c r="D1138" t="s">
        <v>16</v>
      </c>
      <c r="E1138" s="9">
        <v>57</v>
      </c>
      <c r="F1138" t="s">
        <v>32</v>
      </c>
      <c r="G1138" t="s">
        <v>13</v>
      </c>
      <c r="H1138" s="7">
        <v>42194</v>
      </c>
      <c r="I1138">
        <v>83992.09</v>
      </c>
      <c r="K1138" s="7"/>
    </row>
    <row r="1139" spans="1:11">
      <c r="A1139">
        <v>200001138</v>
      </c>
      <c r="B1139" t="s">
        <v>149</v>
      </c>
      <c r="C1139" t="s">
        <v>93</v>
      </c>
      <c r="D1139" t="s">
        <v>16</v>
      </c>
      <c r="E1139" s="9">
        <v>46</v>
      </c>
      <c r="F1139" t="s">
        <v>32</v>
      </c>
      <c r="G1139" t="s">
        <v>33</v>
      </c>
      <c r="H1139" s="8">
        <v>42194</v>
      </c>
      <c r="I1139">
        <v>24686.89</v>
      </c>
      <c r="K1139" s="8"/>
    </row>
    <row r="1140" spans="1:11">
      <c r="A1140">
        <v>300001139</v>
      </c>
      <c r="B1140" t="s">
        <v>262</v>
      </c>
      <c r="C1140" t="s">
        <v>272</v>
      </c>
      <c r="D1140" t="s">
        <v>16</v>
      </c>
      <c r="E1140" s="9">
        <v>42</v>
      </c>
      <c r="F1140" t="s">
        <v>23</v>
      </c>
      <c r="G1140" t="s">
        <v>33</v>
      </c>
      <c r="H1140" s="7">
        <v>42194</v>
      </c>
      <c r="I1140">
        <v>28516.17</v>
      </c>
      <c r="K1140" s="7"/>
    </row>
    <row r="1141" spans="1:11">
      <c r="A1141">
        <v>400001140</v>
      </c>
      <c r="B1141" t="s">
        <v>64</v>
      </c>
      <c r="C1141" t="s">
        <v>294</v>
      </c>
      <c r="D1141" t="s">
        <v>11</v>
      </c>
      <c r="E1141" s="9">
        <v>31</v>
      </c>
      <c r="F1141" t="s">
        <v>17</v>
      </c>
      <c r="G1141" t="s">
        <v>13</v>
      </c>
      <c r="H1141" s="8">
        <v>42194</v>
      </c>
      <c r="I1141">
        <v>9482.02</v>
      </c>
      <c r="K1141" s="8"/>
    </row>
    <row r="1142" spans="1:11">
      <c r="A1142">
        <v>100001141</v>
      </c>
      <c r="B1142" t="s">
        <v>197</v>
      </c>
      <c r="C1142" t="s">
        <v>39</v>
      </c>
      <c r="D1142" t="s">
        <v>11</v>
      </c>
      <c r="E1142" s="9">
        <v>27</v>
      </c>
      <c r="F1142" t="s">
        <v>12</v>
      </c>
      <c r="G1142" t="s">
        <v>33</v>
      </c>
      <c r="H1142" s="7">
        <v>42195</v>
      </c>
      <c r="I1142">
        <v>16613.41</v>
      </c>
      <c r="K1142" s="7"/>
    </row>
    <row r="1143" spans="1:11">
      <c r="A1143">
        <v>100001142</v>
      </c>
      <c r="B1143" t="s">
        <v>139</v>
      </c>
      <c r="C1143" t="s">
        <v>10</v>
      </c>
      <c r="D1143" t="s">
        <v>16</v>
      </c>
      <c r="E1143" s="9">
        <v>35</v>
      </c>
      <c r="F1143" t="s">
        <v>12</v>
      </c>
      <c r="G1143" t="s">
        <v>13</v>
      </c>
      <c r="H1143" s="8">
        <v>42195</v>
      </c>
      <c r="I1143">
        <v>64757.52</v>
      </c>
      <c r="K1143" s="8"/>
    </row>
    <row r="1144" spans="1:11">
      <c r="A1144">
        <v>100001143</v>
      </c>
      <c r="B1144" t="s">
        <v>44</v>
      </c>
      <c r="C1144" t="s">
        <v>124</v>
      </c>
      <c r="D1144" t="s">
        <v>16</v>
      </c>
      <c r="E1144" s="9">
        <v>34</v>
      </c>
      <c r="F1144" t="s">
        <v>12</v>
      </c>
      <c r="G1144" t="s">
        <v>33</v>
      </c>
      <c r="H1144" s="7">
        <v>42195</v>
      </c>
      <c r="I1144">
        <v>21997.45</v>
      </c>
      <c r="K1144" s="7"/>
    </row>
    <row r="1145" spans="1:11">
      <c r="A1145">
        <v>100001144</v>
      </c>
      <c r="B1145" t="s">
        <v>254</v>
      </c>
      <c r="C1145" t="s">
        <v>67</v>
      </c>
      <c r="D1145" t="s">
        <v>11</v>
      </c>
      <c r="E1145" s="9">
        <v>43</v>
      </c>
      <c r="F1145" t="s">
        <v>12</v>
      </c>
      <c r="G1145" t="s">
        <v>13</v>
      </c>
      <c r="H1145" s="8">
        <v>42195</v>
      </c>
      <c r="I1145">
        <v>55988.59</v>
      </c>
      <c r="K1145" s="8"/>
    </row>
    <row r="1146" spans="1:11">
      <c r="A1146">
        <v>100001145</v>
      </c>
      <c r="B1146" t="s">
        <v>312</v>
      </c>
      <c r="C1146" t="s">
        <v>49</v>
      </c>
      <c r="D1146" t="s">
        <v>11</v>
      </c>
      <c r="E1146" s="9">
        <v>32</v>
      </c>
      <c r="F1146" t="s">
        <v>12</v>
      </c>
      <c r="G1146" t="s">
        <v>18</v>
      </c>
      <c r="H1146" s="7">
        <v>42195</v>
      </c>
      <c r="I1146">
        <v>91674.559999999998</v>
      </c>
      <c r="K1146" s="7"/>
    </row>
    <row r="1147" spans="1:11">
      <c r="A1147">
        <v>200001146</v>
      </c>
      <c r="B1147" t="s">
        <v>105</v>
      </c>
      <c r="C1147" t="s">
        <v>157</v>
      </c>
      <c r="D1147" t="s">
        <v>16</v>
      </c>
      <c r="E1147" s="9">
        <v>46</v>
      </c>
      <c r="F1147" t="s">
        <v>32</v>
      </c>
      <c r="G1147" t="s">
        <v>33</v>
      </c>
      <c r="H1147" s="8">
        <v>42195</v>
      </c>
      <c r="I1147">
        <v>3374.35</v>
      </c>
      <c r="K1147" s="8"/>
    </row>
    <row r="1148" spans="1:11">
      <c r="A1148">
        <v>200001147</v>
      </c>
      <c r="B1148" t="s">
        <v>42</v>
      </c>
      <c r="C1148" t="s">
        <v>20</v>
      </c>
      <c r="D1148" t="s">
        <v>11</v>
      </c>
      <c r="E1148" s="9">
        <v>50</v>
      </c>
      <c r="F1148" t="s">
        <v>32</v>
      </c>
      <c r="G1148" t="s">
        <v>18</v>
      </c>
      <c r="H1148" s="7">
        <v>42195</v>
      </c>
      <c r="I1148">
        <v>67763.97</v>
      </c>
      <c r="K1148" s="7"/>
    </row>
    <row r="1149" spans="1:11">
      <c r="A1149">
        <v>200001148</v>
      </c>
      <c r="B1149" t="s">
        <v>234</v>
      </c>
      <c r="C1149" t="s">
        <v>113</v>
      </c>
      <c r="D1149" t="s">
        <v>11</v>
      </c>
      <c r="E1149" s="9">
        <v>60</v>
      </c>
      <c r="F1149" t="s">
        <v>32</v>
      </c>
      <c r="G1149" t="s">
        <v>18</v>
      </c>
      <c r="H1149" s="8">
        <v>42195</v>
      </c>
      <c r="I1149">
        <v>35082.21</v>
      </c>
      <c r="K1149" s="8"/>
    </row>
    <row r="1150" spans="1:11">
      <c r="A1150">
        <v>200001149</v>
      </c>
      <c r="B1150" t="s">
        <v>42</v>
      </c>
      <c r="C1150" t="s">
        <v>82</v>
      </c>
      <c r="D1150" t="s">
        <v>11</v>
      </c>
      <c r="E1150" s="9">
        <v>31</v>
      </c>
      <c r="F1150" t="s">
        <v>32</v>
      </c>
      <c r="G1150" t="s">
        <v>18</v>
      </c>
      <c r="H1150" s="7">
        <v>42195</v>
      </c>
      <c r="I1150">
        <v>19383.88</v>
      </c>
      <c r="K1150" s="7"/>
    </row>
    <row r="1151" spans="1:11">
      <c r="A1151">
        <v>200001150</v>
      </c>
      <c r="B1151" t="s">
        <v>180</v>
      </c>
      <c r="C1151" t="s">
        <v>260</v>
      </c>
      <c r="D1151" t="s">
        <v>16</v>
      </c>
      <c r="E1151" s="9">
        <v>60</v>
      </c>
      <c r="F1151" t="s">
        <v>32</v>
      </c>
      <c r="G1151" t="s">
        <v>18</v>
      </c>
      <c r="H1151" s="8">
        <v>42195</v>
      </c>
      <c r="I1151">
        <v>5916.94</v>
      </c>
      <c r="K1151" s="8"/>
    </row>
    <row r="1152" spans="1:11">
      <c r="A1152">
        <v>300001151</v>
      </c>
      <c r="B1152" t="s">
        <v>323</v>
      </c>
      <c r="C1152" t="s">
        <v>187</v>
      </c>
      <c r="D1152" t="s">
        <v>16</v>
      </c>
      <c r="E1152" s="9">
        <v>44</v>
      </c>
      <c r="F1152" t="s">
        <v>23</v>
      </c>
      <c r="G1152" t="s">
        <v>13</v>
      </c>
      <c r="H1152" s="7">
        <v>42195</v>
      </c>
      <c r="I1152">
        <v>68185.66</v>
      </c>
      <c r="K1152" s="7"/>
    </row>
    <row r="1153" spans="1:11">
      <c r="A1153">
        <v>100001152</v>
      </c>
      <c r="B1153" t="s">
        <v>206</v>
      </c>
      <c r="C1153" t="s">
        <v>170</v>
      </c>
      <c r="D1153" t="s">
        <v>11</v>
      </c>
      <c r="E1153" s="9">
        <v>41</v>
      </c>
      <c r="F1153" t="s">
        <v>12</v>
      </c>
      <c r="G1153" t="s">
        <v>13</v>
      </c>
      <c r="H1153" s="8">
        <v>42196</v>
      </c>
      <c r="I1153">
        <v>80234.490000000005</v>
      </c>
      <c r="K1153" s="8"/>
    </row>
    <row r="1154" spans="1:11">
      <c r="A1154">
        <v>100001153</v>
      </c>
      <c r="B1154" t="s">
        <v>312</v>
      </c>
      <c r="C1154" t="s">
        <v>172</v>
      </c>
      <c r="D1154" t="s">
        <v>11</v>
      </c>
      <c r="E1154" s="9">
        <v>47</v>
      </c>
      <c r="F1154" t="s">
        <v>12</v>
      </c>
      <c r="G1154" t="s">
        <v>13</v>
      </c>
      <c r="H1154" s="7">
        <v>42196</v>
      </c>
      <c r="I1154">
        <v>36493.69</v>
      </c>
      <c r="K1154" s="7"/>
    </row>
    <row r="1155" spans="1:11">
      <c r="A1155">
        <v>100001154</v>
      </c>
      <c r="B1155" t="s">
        <v>256</v>
      </c>
      <c r="C1155" t="s">
        <v>325</v>
      </c>
      <c r="D1155" t="s">
        <v>16</v>
      </c>
      <c r="E1155" s="9">
        <v>32</v>
      </c>
      <c r="F1155" t="s">
        <v>12</v>
      </c>
      <c r="G1155" t="s">
        <v>13</v>
      </c>
      <c r="H1155" s="8">
        <v>42196</v>
      </c>
      <c r="I1155">
        <v>35888.1</v>
      </c>
      <c r="K1155" s="8"/>
    </row>
    <row r="1156" spans="1:11">
      <c r="A1156">
        <v>100001155</v>
      </c>
      <c r="B1156" t="s">
        <v>86</v>
      </c>
      <c r="C1156" t="s">
        <v>96</v>
      </c>
      <c r="D1156" t="s">
        <v>11</v>
      </c>
      <c r="E1156" s="9">
        <v>40</v>
      </c>
      <c r="F1156" t="s">
        <v>12</v>
      </c>
      <c r="G1156" t="s">
        <v>18</v>
      </c>
      <c r="H1156" s="7">
        <v>42196</v>
      </c>
      <c r="I1156">
        <v>62218.34</v>
      </c>
      <c r="K1156" s="7"/>
    </row>
    <row r="1157" spans="1:11">
      <c r="A1157">
        <v>100001156</v>
      </c>
      <c r="B1157" t="s">
        <v>154</v>
      </c>
      <c r="C1157" t="s">
        <v>37</v>
      </c>
      <c r="D1157" t="s">
        <v>16</v>
      </c>
      <c r="E1157" s="9">
        <v>45</v>
      </c>
      <c r="F1157" t="s">
        <v>12</v>
      </c>
      <c r="G1157" t="s">
        <v>13</v>
      </c>
      <c r="H1157" s="8">
        <v>42196</v>
      </c>
      <c r="I1157">
        <v>27955.59</v>
      </c>
      <c r="K1157" s="8"/>
    </row>
    <row r="1158" spans="1:11">
      <c r="A1158">
        <v>100001157</v>
      </c>
      <c r="B1158" t="s">
        <v>102</v>
      </c>
      <c r="C1158" t="s">
        <v>241</v>
      </c>
      <c r="D1158" t="s">
        <v>16</v>
      </c>
      <c r="E1158" s="9">
        <v>40</v>
      </c>
      <c r="F1158" t="s">
        <v>12</v>
      </c>
      <c r="G1158" t="s">
        <v>13</v>
      </c>
      <c r="H1158" s="7">
        <v>42196</v>
      </c>
      <c r="I1158">
        <v>21945.27</v>
      </c>
      <c r="K1158" s="7"/>
    </row>
    <row r="1159" spans="1:11">
      <c r="A1159">
        <v>100001158</v>
      </c>
      <c r="B1159" t="s">
        <v>44</v>
      </c>
      <c r="C1159" t="s">
        <v>80</v>
      </c>
      <c r="D1159" t="s">
        <v>16</v>
      </c>
      <c r="E1159" s="9">
        <v>35</v>
      </c>
      <c r="F1159" t="s">
        <v>12</v>
      </c>
      <c r="G1159" t="s">
        <v>13</v>
      </c>
      <c r="H1159" s="8">
        <v>42196</v>
      </c>
      <c r="I1159">
        <v>21508.14</v>
      </c>
      <c r="K1159" s="8"/>
    </row>
    <row r="1160" spans="1:11">
      <c r="A1160">
        <v>100001159</v>
      </c>
      <c r="B1160" t="s">
        <v>254</v>
      </c>
      <c r="C1160" t="s">
        <v>297</v>
      </c>
      <c r="D1160" t="s">
        <v>11</v>
      </c>
      <c r="E1160" s="9">
        <v>32</v>
      </c>
      <c r="F1160" t="s">
        <v>12</v>
      </c>
      <c r="G1160" t="s">
        <v>13</v>
      </c>
      <c r="H1160" s="7">
        <v>42196</v>
      </c>
      <c r="I1160">
        <v>6471.9</v>
      </c>
      <c r="K1160" s="7"/>
    </row>
    <row r="1161" spans="1:11">
      <c r="A1161">
        <v>200001160</v>
      </c>
      <c r="B1161" t="s">
        <v>107</v>
      </c>
      <c r="C1161" t="s">
        <v>61</v>
      </c>
      <c r="D1161" t="s">
        <v>11</v>
      </c>
      <c r="E1161" s="9">
        <v>41</v>
      </c>
      <c r="F1161" t="s">
        <v>32</v>
      </c>
      <c r="G1161" t="s">
        <v>18</v>
      </c>
      <c r="H1161" s="8">
        <v>42196</v>
      </c>
      <c r="I1161">
        <v>1684.44</v>
      </c>
      <c r="K1161" s="8"/>
    </row>
    <row r="1162" spans="1:11">
      <c r="A1162">
        <v>200001161</v>
      </c>
      <c r="B1162" t="s">
        <v>321</v>
      </c>
      <c r="C1162" t="s">
        <v>257</v>
      </c>
      <c r="D1162" t="s">
        <v>16</v>
      </c>
      <c r="E1162" s="9">
        <v>49</v>
      </c>
      <c r="F1162" t="s">
        <v>32</v>
      </c>
      <c r="G1162" t="s">
        <v>33</v>
      </c>
      <c r="H1162" s="7">
        <v>42196</v>
      </c>
      <c r="I1162">
        <v>73866.02</v>
      </c>
      <c r="K1162" s="7"/>
    </row>
    <row r="1163" spans="1:11">
      <c r="A1163">
        <v>200001162</v>
      </c>
      <c r="B1163" t="s">
        <v>186</v>
      </c>
      <c r="C1163" t="s">
        <v>203</v>
      </c>
      <c r="D1163" t="s">
        <v>11</v>
      </c>
      <c r="E1163" s="9">
        <v>47</v>
      </c>
      <c r="F1163" t="s">
        <v>32</v>
      </c>
      <c r="G1163" t="s">
        <v>18</v>
      </c>
      <c r="H1163" s="8">
        <v>42196</v>
      </c>
      <c r="I1163">
        <v>62781.64</v>
      </c>
      <c r="K1163" s="8"/>
    </row>
    <row r="1164" spans="1:11">
      <c r="A1164">
        <v>200001163</v>
      </c>
      <c r="B1164" t="s">
        <v>118</v>
      </c>
      <c r="C1164" t="s">
        <v>230</v>
      </c>
      <c r="D1164" t="s">
        <v>11</v>
      </c>
      <c r="E1164" s="9">
        <v>52</v>
      </c>
      <c r="F1164" t="s">
        <v>32</v>
      </c>
      <c r="G1164" t="s">
        <v>18</v>
      </c>
      <c r="H1164" s="7">
        <v>42196</v>
      </c>
      <c r="I1164">
        <v>23604.06</v>
      </c>
      <c r="K1164" s="7"/>
    </row>
    <row r="1165" spans="1:11">
      <c r="A1165">
        <v>200001164</v>
      </c>
      <c r="B1165" t="s">
        <v>118</v>
      </c>
      <c r="C1165" t="s">
        <v>114</v>
      </c>
      <c r="D1165" t="s">
        <v>11</v>
      </c>
      <c r="E1165" s="9">
        <v>43</v>
      </c>
      <c r="F1165" t="s">
        <v>32</v>
      </c>
      <c r="G1165" t="s">
        <v>18</v>
      </c>
      <c r="H1165" s="8">
        <v>42196</v>
      </c>
      <c r="I1165">
        <v>19221.27</v>
      </c>
      <c r="K1165" s="8"/>
    </row>
    <row r="1166" spans="1:11">
      <c r="A1166">
        <v>300001165</v>
      </c>
      <c r="B1166" t="s">
        <v>111</v>
      </c>
      <c r="C1166" t="s">
        <v>277</v>
      </c>
      <c r="D1166" t="s">
        <v>11</v>
      </c>
      <c r="E1166" s="9">
        <v>35</v>
      </c>
      <c r="F1166" t="s">
        <v>23</v>
      </c>
      <c r="G1166" t="s">
        <v>13</v>
      </c>
      <c r="H1166" s="7">
        <v>42196</v>
      </c>
      <c r="I1166">
        <v>36572.74</v>
      </c>
      <c r="K1166" s="7"/>
    </row>
    <row r="1167" spans="1:11">
      <c r="A1167">
        <v>100001166</v>
      </c>
      <c r="B1167" t="s">
        <v>55</v>
      </c>
      <c r="C1167" t="s">
        <v>124</v>
      </c>
      <c r="D1167" t="s">
        <v>11</v>
      </c>
      <c r="E1167" s="9">
        <v>36</v>
      </c>
      <c r="F1167" t="s">
        <v>12</v>
      </c>
      <c r="G1167" t="s">
        <v>13</v>
      </c>
      <c r="H1167" s="8">
        <v>42197</v>
      </c>
      <c r="I1167">
        <v>38836.01</v>
      </c>
      <c r="K1167" s="8"/>
    </row>
    <row r="1168" spans="1:11">
      <c r="A1168">
        <v>100001167</v>
      </c>
      <c r="B1168" t="s">
        <v>86</v>
      </c>
      <c r="C1168" t="s">
        <v>93</v>
      </c>
      <c r="D1168" t="s">
        <v>11</v>
      </c>
      <c r="E1168" s="9">
        <v>35</v>
      </c>
      <c r="F1168" t="s">
        <v>12</v>
      </c>
      <c r="G1168" t="s">
        <v>33</v>
      </c>
      <c r="H1168" s="7">
        <v>42197</v>
      </c>
      <c r="I1168">
        <v>39428.53</v>
      </c>
      <c r="K1168" s="7"/>
    </row>
    <row r="1169" spans="1:11">
      <c r="A1169">
        <v>100001168</v>
      </c>
      <c r="B1169" t="s">
        <v>284</v>
      </c>
      <c r="C1169" t="s">
        <v>93</v>
      </c>
      <c r="D1169" t="s">
        <v>16</v>
      </c>
      <c r="E1169" s="9">
        <v>55</v>
      </c>
      <c r="F1169" t="s">
        <v>12</v>
      </c>
      <c r="G1169" t="s">
        <v>13</v>
      </c>
      <c r="H1169" s="8">
        <v>42197</v>
      </c>
      <c r="I1169">
        <v>22099.59</v>
      </c>
      <c r="K1169" s="8"/>
    </row>
    <row r="1170" spans="1:11">
      <c r="A1170">
        <v>100001169</v>
      </c>
      <c r="B1170" t="s">
        <v>197</v>
      </c>
      <c r="C1170" t="s">
        <v>124</v>
      </c>
      <c r="D1170" t="s">
        <v>11</v>
      </c>
      <c r="E1170" s="9">
        <v>34</v>
      </c>
      <c r="F1170" t="s">
        <v>12</v>
      </c>
      <c r="G1170" t="s">
        <v>18</v>
      </c>
      <c r="H1170" s="7">
        <v>42197</v>
      </c>
      <c r="I1170">
        <v>57497.29</v>
      </c>
      <c r="K1170" s="7"/>
    </row>
    <row r="1171" spans="1:11">
      <c r="A1171">
        <v>100001170</v>
      </c>
      <c r="B1171" t="s">
        <v>119</v>
      </c>
      <c r="C1171" t="s">
        <v>151</v>
      </c>
      <c r="D1171" t="s">
        <v>16</v>
      </c>
      <c r="E1171" s="9">
        <v>36</v>
      </c>
      <c r="F1171" t="s">
        <v>12</v>
      </c>
      <c r="G1171" t="s">
        <v>13</v>
      </c>
      <c r="H1171" s="8">
        <v>42197</v>
      </c>
      <c r="I1171">
        <v>47422.55</v>
      </c>
      <c r="K1171" s="8"/>
    </row>
    <row r="1172" spans="1:11">
      <c r="A1172">
        <v>100001171</v>
      </c>
      <c r="B1172" t="s">
        <v>206</v>
      </c>
      <c r="C1172" t="s">
        <v>289</v>
      </c>
      <c r="D1172" t="s">
        <v>11</v>
      </c>
      <c r="E1172" s="9">
        <v>41</v>
      </c>
      <c r="F1172" t="s">
        <v>12</v>
      </c>
      <c r="G1172" t="s">
        <v>13</v>
      </c>
      <c r="H1172" s="7">
        <v>42197</v>
      </c>
      <c r="I1172">
        <v>41511.86</v>
      </c>
      <c r="K1172" s="7"/>
    </row>
    <row r="1173" spans="1:11">
      <c r="A1173">
        <v>100001172</v>
      </c>
      <c r="B1173" t="s">
        <v>112</v>
      </c>
      <c r="C1173" t="s">
        <v>247</v>
      </c>
      <c r="D1173" t="s">
        <v>11</v>
      </c>
      <c r="E1173" s="9">
        <v>30</v>
      </c>
      <c r="F1173" t="s">
        <v>12</v>
      </c>
      <c r="G1173" t="s">
        <v>33</v>
      </c>
      <c r="H1173" s="8">
        <v>42197</v>
      </c>
      <c r="I1173">
        <v>3776.11</v>
      </c>
      <c r="K1173" s="8"/>
    </row>
    <row r="1174" spans="1:11">
      <c r="A1174">
        <v>100001173</v>
      </c>
      <c r="B1174" t="s">
        <v>26</v>
      </c>
      <c r="C1174" t="s">
        <v>201</v>
      </c>
      <c r="D1174" t="s">
        <v>16</v>
      </c>
      <c r="E1174" s="9">
        <v>32</v>
      </c>
      <c r="F1174" t="s">
        <v>12</v>
      </c>
      <c r="G1174" t="s">
        <v>13</v>
      </c>
      <c r="H1174" s="7">
        <v>42197</v>
      </c>
      <c r="I1174">
        <v>70324.5</v>
      </c>
      <c r="K1174" s="7"/>
    </row>
    <row r="1175" spans="1:11">
      <c r="A1175">
        <v>100001174</v>
      </c>
      <c r="B1175" t="s">
        <v>323</v>
      </c>
      <c r="C1175" t="s">
        <v>91</v>
      </c>
      <c r="D1175" t="s">
        <v>16</v>
      </c>
      <c r="E1175" s="9">
        <v>33</v>
      </c>
      <c r="F1175" t="s">
        <v>12</v>
      </c>
      <c r="G1175" t="s">
        <v>13</v>
      </c>
      <c r="H1175" s="8">
        <v>42197</v>
      </c>
      <c r="I1175">
        <v>68170.2</v>
      </c>
      <c r="K1175" s="8"/>
    </row>
    <row r="1176" spans="1:11">
      <c r="A1176">
        <v>100001175</v>
      </c>
      <c r="B1176" t="s">
        <v>311</v>
      </c>
      <c r="C1176" t="s">
        <v>37</v>
      </c>
      <c r="D1176" t="s">
        <v>11</v>
      </c>
      <c r="E1176" s="9">
        <v>35</v>
      </c>
      <c r="F1176" t="s">
        <v>12</v>
      </c>
      <c r="G1176" t="s">
        <v>13</v>
      </c>
      <c r="H1176" s="7">
        <v>42197</v>
      </c>
      <c r="I1176">
        <v>18190.48</v>
      </c>
      <c r="K1176" s="7"/>
    </row>
    <row r="1177" spans="1:11">
      <c r="A1177">
        <v>100001176</v>
      </c>
      <c r="B1177" t="s">
        <v>271</v>
      </c>
      <c r="C1177" t="s">
        <v>37</v>
      </c>
      <c r="D1177" t="s">
        <v>16</v>
      </c>
      <c r="E1177" s="9">
        <v>32</v>
      </c>
      <c r="F1177" t="s">
        <v>12</v>
      </c>
      <c r="G1177" t="s">
        <v>13</v>
      </c>
      <c r="H1177" s="8">
        <v>42197</v>
      </c>
      <c r="I1177">
        <v>13100.46</v>
      </c>
      <c r="K1177" s="8"/>
    </row>
    <row r="1178" spans="1:11">
      <c r="A1178">
        <v>100001177</v>
      </c>
      <c r="B1178" t="s">
        <v>199</v>
      </c>
      <c r="C1178" t="s">
        <v>75</v>
      </c>
      <c r="D1178" t="s">
        <v>11</v>
      </c>
      <c r="E1178" s="9">
        <v>28</v>
      </c>
      <c r="F1178" t="s">
        <v>12</v>
      </c>
      <c r="G1178" t="s">
        <v>13</v>
      </c>
      <c r="H1178" s="7">
        <v>42197</v>
      </c>
      <c r="I1178">
        <v>94339.78</v>
      </c>
      <c r="K1178" s="7"/>
    </row>
    <row r="1179" spans="1:11">
      <c r="A1179">
        <v>100001178</v>
      </c>
      <c r="B1179" t="s">
        <v>133</v>
      </c>
      <c r="C1179" t="s">
        <v>211</v>
      </c>
      <c r="D1179" t="s">
        <v>11</v>
      </c>
      <c r="E1179" s="9">
        <v>22</v>
      </c>
      <c r="F1179" t="s">
        <v>12</v>
      </c>
      <c r="G1179" t="s">
        <v>18</v>
      </c>
      <c r="H1179" s="8">
        <v>42197</v>
      </c>
      <c r="I1179">
        <v>24599.85</v>
      </c>
      <c r="K1179" s="8"/>
    </row>
    <row r="1180" spans="1:11">
      <c r="A1180">
        <v>200001179</v>
      </c>
      <c r="B1180" t="s">
        <v>101</v>
      </c>
      <c r="C1180" t="s">
        <v>248</v>
      </c>
      <c r="D1180" t="s">
        <v>11</v>
      </c>
      <c r="E1180" s="9">
        <v>43</v>
      </c>
      <c r="F1180" t="s">
        <v>32</v>
      </c>
      <c r="G1180" t="s">
        <v>33</v>
      </c>
      <c r="H1180" s="7">
        <v>42197</v>
      </c>
      <c r="I1180">
        <v>55959.34</v>
      </c>
      <c r="K1180" s="7"/>
    </row>
    <row r="1181" spans="1:11">
      <c r="A1181">
        <v>200001180</v>
      </c>
      <c r="B1181" t="s">
        <v>287</v>
      </c>
      <c r="C1181" t="s">
        <v>211</v>
      </c>
      <c r="D1181" t="s">
        <v>16</v>
      </c>
      <c r="E1181" s="9">
        <v>51</v>
      </c>
      <c r="F1181" t="s">
        <v>32</v>
      </c>
      <c r="G1181" t="s">
        <v>33</v>
      </c>
      <c r="H1181" s="8">
        <v>42197</v>
      </c>
      <c r="I1181">
        <v>43954.03</v>
      </c>
      <c r="K1181" s="8"/>
    </row>
    <row r="1182" spans="1:11">
      <c r="A1182">
        <v>200001181</v>
      </c>
      <c r="B1182" t="s">
        <v>298</v>
      </c>
      <c r="C1182" t="s">
        <v>164</v>
      </c>
      <c r="D1182" t="s">
        <v>16</v>
      </c>
      <c r="E1182" s="9">
        <v>46</v>
      </c>
      <c r="F1182" t="s">
        <v>32</v>
      </c>
      <c r="G1182" t="s">
        <v>18</v>
      </c>
      <c r="H1182" s="7">
        <v>42197</v>
      </c>
      <c r="I1182">
        <v>16995.990000000002</v>
      </c>
      <c r="K1182" s="7"/>
    </row>
    <row r="1183" spans="1:11">
      <c r="A1183">
        <v>200001182</v>
      </c>
      <c r="B1183" t="s">
        <v>42</v>
      </c>
      <c r="C1183" t="s">
        <v>27</v>
      </c>
      <c r="D1183" t="s">
        <v>11</v>
      </c>
      <c r="E1183" s="9">
        <v>24</v>
      </c>
      <c r="F1183" t="s">
        <v>32</v>
      </c>
      <c r="G1183" t="s">
        <v>33</v>
      </c>
      <c r="H1183" s="8">
        <v>42197</v>
      </c>
      <c r="I1183">
        <v>43980.94</v>
      </c>
      <c r="K1183" s="8"/>
    </row>
    <row r="1184" spans="1:11">
      <c r="A1184">
        <v>200001183</v>
      </c>
      <c r="B1184" t="s">
        <v>193</v>
      </c>
      <c r="C1184" t="s">
        <v>71</v>
      </c>
      <c r="D1184" t="s">
        <v>11</v>
      </c>
      <c r="E1184" s="9">
        <v>41</v>
      </c>
      <c r="F1184" t="s">
        <v>32</v>
      </c>
      <c r="G1184" t="s">
        <v>18</v>
      </c>
      <c r="H1184" s="7">
        <v>42197</v>
      </c>
      <c r="I1184">
        <v>25288.1</v>
      </c>
      <c r="K1184" s="7"/>
    </row>
    <row r="1185" spans="1:11">
      <c r="A1185">
        <v>300001184</v>
      </c>
      <c r="B1185" t="s">
        <v>265</v>
      </c>
      <c r="C1185" t="s">
        <v>134</v>
      </c>
      <c r="D1185" t="s">
        <v>16</v>
      </c>
      <c r="E1185" s="9">
        <v>44</v>
      </c>
      <c r="F1185" t="s">
        <v>23</v>
      </c>
      <c r="G1185" t="s">
        <v>13</v>
      </c>
      <c r="H1185" s="8">
        <v>42197</v>
      </c>
      <c r="I1185">
        <v>29607.52</v>
      </c>
      <c r="K1185" s="8"/>
    </row>
    <row r="1186" spans="1:11">
      <c r="A1186">
        <v>300001185</v>
      </c>
      <c r="B1186" t="s">
        <v>34</v>
      </c>
      <c r="C1186" t="s">
        <v>227</v>
      </c>
      <c r="D1186" t="s">
        <v>16</v>
      </c>
      <c r="E1186" s="9">
        <v>29</v>
      </c>
      <c r="F1186" t="s">
        <v>23</v>
      </c>
      <c r="G1186" t="s">
        <v>13</v>
      </c>
      <c r="H1186" s="7">
        <v>42197</v>
      </c>
      <c r="I1186">
        <v>44060.89</v>
      </c>
      <c r="K1186" s="7"/>
    </row>
    <row r="1187" spans="1:11">
      <c r="A1187">
        <v>300001186</v>
      </c>
      <c r="B1187" t="s">
        <v>119</v>
      </c>
      <c r="C1187" t="s">
        <v>80</v>
      </c>
      <c r="D1187" t="s">
        <v>16</v>
      </c>
      <c r="E1187" s="9">
        <v>26</v>
      </c>
      <c r="F1187" t="s">
        <v>23</v>
      </c>
      <c r="G1187" t="s">
        <v>13</v>
      </c>
      <c r="H1187" s="8">
        <v>42197</v>
      </c>
      <c r="I1187">
        <v>37830.67</v>
      </c>
      <c r="K1187" s="8"/>
    </row>
    <row r="1188" spans="1:11">
      <c r="A1188">
        <v>400001187</v>
      </c>
      <c r="B1188" t="s">
        <v>218</v>
      </c>
      <c r="C1188" t="s">
        <v>156</v>
      </c>
      <c r="D1188" t="s">
        <v>11</v>
      </c>
      <c r="E1188" s="9">
        <v>42</v>
      </c>
      <c r="F1188" t="s">
        <v>17</v>
      </c>
      <c r="G1188" t="s">
        <v>13</v>
      </c>
      <c r="H1188" s="7">
        <v>42197</v>
      </c>
      <c r="I1188">
        <v>23979.99</v>
      </c>
      <c r="K1188" s="7"/>
    </row>
    <row r="1189" spans="1:11">
      <c r="A1189">
        <v>100001188</v>
      </c>
      <c r="B1189" t="s">
        <v>265</v>
      </c>
      <c r="C1189" t="s">
        <v>281</v>
      </c>
      <c r="D1189" t="s">
        <v>16</v>
      </c>
      <c r="E1189" s="9">
        <v>34</v>
      </c>
      <c r="F1189" t="s">
        <v>12</v>
      </c>
      <c r="G1189" t="s">
        <v>33</v>
      </c>
      <c r="H1189" s="8">
        <v>42198</v>
      </c>
      <c r="I1189">
        <v>14965.91</v>
      </c>
      <c r="K1189" s="8"/>
    </row>
    <row r="1190" spans="1:11">
      <c r="A1190">
        <v>100001189</v>
      </c>
      <c r="B1190" t="s">
        <v>44</v>
      </c>
      <c r="C1190" t="s">
        <v>170</v>
      </c>
      <c r="D1190" t="s">
        <v>16</v>
      </c>
      <c r="E1190" s="9">
        <v>32</v>
      </c>
      <c r="F1190" t="s">
        <v>12</v>
      </c>
      <c r="G1190" t="s">
        <v>33</v>
      </c>
      <c r="H1190" s="7">
        <v>42198</v>
      </c>
      <c r="I1190">
        <v>76207.19</v>
      </c>
      <c r="K1190" s="7"/>
    </row>
    <row r="1191" spans="1:11">
      <c r="A1191">
        <v>100001190</v>
      </c>
      <c r="B1191" t="s">
        <v>197</v>
      </c>
      <c r="C1191" t="s">
        <v>95</v>
      </c>
      <c r="D1191" t="s">
        <v>11</v>
      </c>
      <c r="E1191" s="9">
        <v>26</v>
      </c>
      <c r="F1191" t="s">
        <v>12</v>
      </c>
      <c r="G1191" t="s">
        <v>13</v>
      </c>
      <c r="H1191" s="8">
        <v>42198</v>
      </c>
      <c r="I1191">
        <v>14520.25</v>
      </c>
      <c r="K1191" s="8"/>
    </row>
    <row r="1192" spans="1:11">
      <c r="A1192">
        <v>100001191</v>
      </c>
      <c r="B1192" t="s">
        <v>129</v>
      </c>
      <c r="C1192" t="s">
        <v>121</v>
      </c>
      <c r="D1192" t="s">
        <v>11</v>
      </c>
      <c r="E1192" s="9">
        <v>23</v>
      </c>
      <c r="F1192" t="s">
        <v>12</v>
      </c>
      <c r="G1192" t="s">
        <v>13</v>
      </c>
      <c r="H1192" s="7">
        <v>42198</v>
      </c>
      <c r="I1192">
        <v>85965.79</v>
      </c>
      <c r="K1192" s="7"/>
    </row>
    <row r="1193" spans="1:11">
      <c r="A1193">
        <v>100001192</v>
      </c>
      <c r="B1193" t="s">
        <v>97</v>
      </c>
      <c r="C1193" t="s">
        <v>54</v>
      </c>
      <c r="D1193" t="s">
        <v>16</v>
      </c>
      <c r="E1193" s="9">
        <v>28</v>
      </c>
      <c r="F1193" t="s">
        <v>12</v>
      </c>
      <c r="G1193" t="s">
        <v>33</v>
      </c>
      <c r="H1193" s="8">
        <v>42198</v>
      </c>
      <c r="I1193">
        <v>35052.06</v>
      </c>
      <c r="K1193" s="8"/>
    </row>
    <row r="1194" spans="1:11">
      <c r="A1194">
        <v>100001193</v>
      </c>
      <c r="B1194" t="s">
        <v>265</v>
      </c>
      <c r="C1194" t="s">
        <v>238</v>
      </c>
      <c r="D1194" t="s">
        <v>16</v>
      </c>
      <c r="E1194" s="9">
        <v>22</v>
      </c>
      <c r="F1194" t="s">
        <v>12</v>
      </c>
      <c r="G1194" t="s">
        <v>13</v>
      </c>
      <c r="H1194" s="7">
        <v>42198</v>
      </c>
      <c r="I1194">
        <v>28189.39</v>
      </c>
      <c r="K1194" s="7"/>
    </row>
    <row r="1195" spans="1:11">
      <c r="A1195">
        <v>100001194</v>
      </c>
      <c r="B1195" t="s">
        <v>245</v>
      </c>
      <c r="C1195" t="s">
        <v>295</v>
      </c>
      <c r="D1195" t="s">
        <v>11</v>
      </c>
      <c r="E1195" s="9">
        <v>18</v>
      </c>
      <c r="F1195" t="s">
        <v>12</v>
      </c>
      <c r="G1195" t="s">
        <v>13</v>
      </c>
      <c r="H1195" s="8">
        <v>42198</v>
      </c>
      <c r="I1195">
        <v>56473.51</v>
      </c>
      <c r="K1195" s="8"/>
    </row>
    <row r="1196" spans="1:11">
      <c r="A1196">
        <v>100001195</v>
      </c>
      <c r="B1196" t="s">
        <v>199</v>
      </c>
      <c r="C1196" t="s">
        <v>10</v>
      </c>
      <c r="D1196" t="s">
        <v>11</v>
      </c>
      <c r="E1196" s="9">
        <v>32</v>
      </c>
      <c r="F1196" t="s">
        <v>12</v>
      </c>
      <c r="G1196" t="s">
        <v>13</v>
      </c>
      <c r="H1196" s="7">
        <v>42198</v>
      </c>
      <c r="I1196">
        <v>6080.49</v>
      </c>
      <c r="K1196" s="7"/>
    </row>
    <row r="1197" spans="1:11">
      <c r="A1197">
        <v>100001196</v>
      </c>
      <c r="B1197" t="s">
        <v>83</v>
      </c>
      <c r="C1197" t="s">
        <v>272</v>
      </c>
      <c r="D1197" t="s">
        <v>16</v>
      </c>
      <c r="E1197" s="9">
        <v>37</v>
      </c>
      <c r="F1197" t="s">
        <v>12</v>
      </c>
      <c r="G1197" t="s">
        <v>13</v>
      </c>
      <c r="H1197" s="8">
        <v>42198</v>
      </c>
      <c r="I1197">
        <v>2317.41</v>
      </c>
      <c r="K1197" s="8"/>
    </row>
    <row r="1198" spans="1:11">
      <c r="A1198">
        <v>100001197</v>
      </c>
      <c r="B1198" t="s">
        <v>226</v>
      </c>
      <c r="C1198" t="s">
        <v>163</v>
      </c>
      <c r="D1198" t="s">
        <v>16</v>
      </c>
      <c r="E1198" s="9">
        <v>42</v>
      </c>
      <c r="F1198" t="s">
        <v>12</v>
      </c>
      <c r="G1198" t="s">
        <v>18</v>
      </c>
      <c r="H1198" s="7">
        <v>42198</v>
      </c>
      <c r="I1198">
        <v>25710.04</v>
      </c>
      <c r="K1198" s="7"/>
    </row>
    <row r="1199" spans="1:11">
      <c r="A1199">
        <v>200001198</v>
      </c>
      <c r="B1199" t="s">
        <v>40</v>
      </c>
      <c r="C1199" t="s">
        <v>246</v>
      </c>
      <c r="D1199" t="s">
        <v>11</v>
      </c>
      <c r="E1199" s="9">
        <v>55</v>
      </c>
      <c r="F1199" t="s">
        <v>32</v>
      </c>
      <c r="G1199" t="s">
        <v>33</v>
      </c>
      <c r="H1199" s="8">
        <v>42198</v>
      </c>
      <c r="I1199">
        <v>20815.73</v>
      </c>
      <c r="K1199" s="8"/>
    </row>
    <row r="1200" spans="1:11">
      <c r="A1200">
        <v>200001199</v>
      </c>
      <c r="B1200" t="s">
        <v>79</v>
      </c>
      <c r="C1200" t="s">
        <v>100</v>
      </c>
      <c r="D1200" t="s">
        <v>11</v>
      </c>
      <c r="E1200" s="9">
        <v>48</v>
      </c>
      <c r="F1200" t="s">
        <v>32</v>
      </c>
      <c r="G1200" t="s">
        <v>18</v>
      </c>
      <c r="H1200" s="7">
        <v>42198</v>
      </c>
      <c r="I1200">
        <v>39352.22</v>
      </c>
      <c r="K1200" s="7"/>
    </row>
    <row r="1201" spans="1:11">
      <c r="A1201">
        <v>200001200</v>
      </c>
      <c r="B1201" t="s">
        <v>173</v>
      </c>
      <c r="C1201" t="s">
        <v>91</v>
      </c>
      <c r="D1201" t="s">
        <v>11</v>
      </c>
      <c r="E1201" s="9">
        <v>55</v>
      </c>
      <c r="F1201" t="s">
        <v>32</v>
      </c>
      <c r="G1201" t="s">
        <v>13</v>
      </c>
      <c r="H1201" s="8">
        <v>42198</v>
      </c>
      <c r="I1201">
        <v>27732.99</v>
      </c>
      <c r="K1201" s="8"/>
    </row>
    <row r="1202" spans="1:11">
      <c r="A1202">
        <v>200001201</v>
      </c>
      <c r="B1202" t="s">
        <v>311</v>
      </c>
      <c r="C1202" t="s">
        <v>130</v>
      </c>
      <c r="D1202" t="s">
        <v>11</v>
      </c>
      <c r="E1202" s="9">
        <v>48</v>
      </c>
      <c r="F1202" t="s">
        <v>32</v>
      </c>
      <c r="G1202" t="s">
        <v>33</v>
      </c>
      <c r="H1202" s="7">
        <v>42198</v>
      </c>
      <c r="I1202">
        <v>73399.17</v>
      </c>
      <c r="K1202" s="7"/>
    </row>
    <row r="1203" spans="1:11">
      <c r="A1203">
        <v>200001202</v>
      </c>
      <c r="B1203" t="s">
        <v>191</v>
      </c>
      <c r="C1203" t="s">
        <v>132</v>
      </c>
      <c r="D1203" t="s">
        <v>11</v>
      </c>
      <c r="E1203" s="9">
        <v>52</v>
      </c>
      <c r="F1203" t="s">
        <v>32</v>
      </c>
      <c r="G1203" t="s">
        <v>18</v>
      </c>
      <c r="H1203" s="8">
        <v>42198</v>
      </c>
      <c r="I1203">
        <v>93586.64</v>
      </c>
      <c r="K1203" s="8"/>
    </row>
    <row r="1204" spans="1:11">
      <c r="A1204">
        <v>300001203</v>
      </c>
      <c r="B1204" t="s">
        <v>152</v>
      </c>
      <c r="C1204" t="s">
        <v>31</v>
      </c>
      <c r="D1204" t="s">
        <v>11</v>
      </c>
      <c r="E1204" s="9">
        <v>43</v>
      </c>
      <c r="F1204" t="s">
        <v>23</v>
      </c>
      <c r="G1204" t="s">
        <v>13</v>
      </c>
      <c r="H1204" s="7">
        <v>42198</v>
      </c>
      <c r="I1204">
        <v>57193.29</v>
      </c>
      <c r="K1204" s="7"/>
    </row>
    <row r="1205" spans="1:11">
      <c r="A1205">
        <v>300001204</v>
      </c>
      <c r="B1205" t="s">
        <v>131</v>
      </c>
      <c r="C1205" t="s">
        <v>252</v>
      </c>
      <c r="D1205" t="s">
        <v>16</v>
      </c>
      <c r="E1205" s="9">
        <v>42</v>
      </c>
      <c r="F1205" t="s">
        <v>23</v>
      </c>
      <c r="G1205" t="s">
        <v>13</v>
      </c>
      <c r="H1205" s="8">
        <v>42198</v>
      </c>
      <c r="I1205">
        <v>4250.38</v>
      </c>
      <c r="K1205" s="8"/>
    </row>
    <row r="1206" spans="1:11">
      <c r="A1206">
        <v>300001205</v>
      </c>
      <c r="B1206" t="s">
        <v>74</v>
      </c>
      <c r="C1206" t="s">
        <v>258</v>
      </c>
      <c r="D1206" t="s">
        <v>16</v>
      </c>
      <c r="E1206" s="9">
        <v>42</v>
      </c>
      <c r="F1206" t="s">
        <v>23</v>
      </c>
      <c r="G1206" t="s">
        <v>13</v>
      </c>
      <c r="H1206" s="7">
        <v>42198</v>
      </c>
      <c r="I1206">
        <v>65123.06</v>
      </c>
      <c r="K1206" s="7"/>
    </row>
    <row r="1207" spans="1:11">
      <c r="A1207">
        <v>100001206</v>
      </c>
      <c r="B1207" t="s">
        <v>89</v>
      </c>
      <c r="C1207" t="s">
        <v>290</v>
      </c>
      <c r="D1207" t="s">
        <v>11</v>
      </c>
      <c r="E1207" s="9">
        <v>30</v>
      </c>
      <c r="F1207" t="s">
        <v>12</v>
      </c>
      <c r="G1207" t="s">
        <v>18</v>
      </c>
      <c r="H1207" s="8">
        <v>42199</v>
      </c>
      <c r="I1207">
        <v>9446.43</v>
      </c>
      <c r="K1207" s="8"/>
    </row>
    <row r="1208" spans="1:11">
      <c r="A1208">
        <v>100001207</v>
      </c>
      <c r="B1208" t="s">
        <v>296</v>
      </c>
      <c r="C1208" t="s">
        <v>123</v>
      </c>
      <c r="D1208" t="s">
        <v>11</v>
      </c>
      <c r="E1208" s="9">
        <v>35</v>
      </c>
      <c r="F1208" t="s">
        <v>12</v>
      </c>
      <c r="G1208" t="s">
        <v>18</v>
      </c>
      <c r="H1208" s="7">
        <v>42199</v>
      </c>
      <c r="I1208">
        <v>39044.93</v>
      </c>
      <c r="K1208" s="7"/>
    </row>
    <row r="1209" spans="1:11">
      <c r="A1209">
        <v>100001208</v>
      </c>
      <c r="B1209" t="s">
        <v>92</v>
      </c>
      <c r="C1209" t="s">
        <v>124</v>
      </c>
      <c r="D1209" t="s">
        <v>16</v>
      </c>
      <c r="E1209" s="9">
        <v>34</v>
      </c>
      <c r="F1209" t="s">
        <v>12</v>
      </c>
      <c r="G1209" t="s">
        <v>33</v>
      </c>
      <c r="H1209" s="8">
        <v>42199</v>
      </c>
      <c r="I1209">
        <v>63083.87</v>
      </c>
      <c r="K1209" s="8"/>
    </row>
    <row r="1210" spans="1:11">
      <c r="A1210">
        <v>100001209</v>
      </c>
      <c r="B1210" t="s">
        <v>202</v>
      </c>
      <c r="C1210" t="s">
        <v>230</v>
      </c>
      <c r="D1210" t="s">
        <v>11</v>
      </c>
      <c r="E1210" s="9">
        <v>18</v>
      </c>
      <c r="F1210" t="s">
        <v>12</v>
      </c>
      <c r="G1210" t="s">
        <v>18</v>
      </c>
      <c r="H1210" s="7">
        <v>42199</v>
      </c>
      <c r="I1210">
        <v>40572.06</v>
      </c>
      <c r="K1210" s="7"/>
    </row>
    <row r="1211" spans="1:11">
      <c r="A1211">
        <v>100001210</v>
      </c>
      <c r="B1211" t="s">
        <v>148</v>
      </c>
      <c r="C1211" t="s">
        <v>123</v>
      </c>
      <c r="D1211" t="s">
        <v>11</v>
      </c>
      <c r="E1211" s="9">
        <v>30</v>
      </c>
      <c r="F1211" t="s">
        <v>12</v>
      </c>
      <c r="G1211" t="s">
        <v>13</v>
      </c>
      <c r="H1211" s="8">
        <v>42199</v>
      </c>
      <c r="I1211">
        <v>19604.57</v>
      </c>
      <c r="K1211" s="8"/>
    </row>
    <row r="1212" spans="1:11">
      <c r="A1212">
        <v>100001211</v>
      </c>
      <c r="B1212" t="s">
        <v>44</v>
      </c>
      <c r="C1212" t="s">
        <v>289</v>
      </c>
      <c r="D1212" t="s">
        <v>16</v>
      </c>
      <c r="E1212" s="9">
        <v>40</v>
      </c>
      <c r="F1212" t="s">
        <v>12</v>
      </c>
      <c r="G1212" t="s">
        <v>13</v>
      </c>
      <c r="H1212" s="7">
        <v>42199</v>
      </c>
      <c r="I1212">
        <v>704.83</v>
      </c>
      <c r="K1212" s="7"/>
    </row>
    <row r="1213" spans="1:11">
      <c r="A1213">
        <v>100001212</v>
      </c>
      <c r="B1213" t="s">
        <v>70</v>
      </c>
      <c r="C1213" t="s">
        <v>25</v>
      </c>
      <c r="D1213" t="s">
        <v>11</v>
      </c>
      <c r="E1213" s="9">
        <v>39</v>
      </c>
      <c r="F1213" t="s">
        <v>12</v>
      </c>
      <c r="G1213" t="s">
        <v>13</v>
      </c>
      <c r="H1213" s="8">
        <v>42199</v>
      </c>
      <c r="I1213">
        <v>105718.04</v>
      </c>
      <c r="K1213" s="8"/>
    </row>
    <row r="1214" spans="1:11">
      <c r="A1214">
        <v>100001213</v>
      </c>
      <c r="B1214" t="s">
        <v>133</v>
      </c>
      <c r="C1214" t="s">
        <v>205</v>
      </c>
      <c r="D1214" t="s">
        <v>11</v>
      </c>
      <c r="E1214" s="9">
        <v>33</v>
      </c>
      <c r="F1214" t="s">
        <v>12</v>
      </c>
      <c r="G1214" t="s">
        <v>33</v>
      </c>
      <c r="H1214" s="7">
        <v>42199</v>
      </c>
      <c r="I1214">
        <v>15660.89</v>
      </c>
      <c r="K1214" s="7"/>
    </row>
    <row r="1215" spans="1:11">
      <c r="A1215">
        <v>200001214</v>
      </c>
      <c r="B1215" t="s">
        <v>99</v>
      </c>
      <c r="C1215" t="s">
        <v>59</v>
      </c>
      <c r="D1215" t="s">
        <v>16</v>
      </c>
      <c r="E1215" s="9">
        <v>58</v>
      </c>
      <c r="F1215" t="s">
        <v>32</v>
      </c>
      <c r="G1215" t="s">
        <v>33</v>
      </c>
      <c r="H1215" s="8">
        <v>42199</v>
      </c>
      <c r="I1215">
        <v>69027.62</v>
      </c>
      <c r="K1215" s="8"/>
    </row>
    <row r="1216" spans="1:11">
      <c r="A1216">
        <v>200001215</v>
      </c>
      <c r="B1216" t="s">
        <v>217</v>
      </c>
      <c r="C1216" t="s">
        <v>210</v>
      </c>
      <c r="D1216" t="s">
        <v>11</v>
      </c>
      <c r="E1216" s="9">
        <v>56</v>
      </c>
      <c r="F1216" t="s">
        <v>32</v>
      </c>
      <c r="G1216" t="s">
        <v>18</v>
      </c>
      <c r="H1216" s="7">
        <v>42199</v>
      </c>
      <c r="I1216">
        <v>3578.96</v>
      </c>
      <c r="K1216" s="7"/>
    </row>
    <row r="1217" spans="1:11">
      <c r="A1217">
        <v>300001216</v>
      </c>
      <c r="B1217" t="s">
        <v>320</v>
      </c>
      <c r="C1217" t="s">
        <v>31</v>
      </c>
      <c r="D1217" t="s">
        <v>16</v>
      </c>
      <c r="E1217" s="9">
        <v>29</v>
      </c>
      <c r="F1217" t="s">
        <v>23</v>
      </c>
      <c r="G1217" t="s">
        <v>13</v>
      </c>
      <c r="H1217" s="8">
        <v>42199</v>
      </c>
      <c r="I1217">
        <v>99271.98</v>
      </c>
      <c r="K1217" s="8"/>
    </row>
    <row r="1218" spans="1:11">
      <c r="A1218">
        <v>300001217</v>
      </c>
      <c r="B1218" t="s">
        <v>181</v>
      </c>
      <c r="C1218" t="s">
        <v>198</v>
      </c>
      <c r="D1218" t="s">
        <v>11</v>
      </c>
      <c r="E1218" s="9">
        <v>48</v>
      </c>
      <c r="F1218" t="s">
        <v>23</v>
      </c>
      <c r="G1218" t="s">
        <v>33</v>
      </c>
      <c r="H1218" s="7">
        <v>42199</v>
      </c>
      <c r="I1218">
        <v>47418.57</v>
      </c>
      <c r="K1218" s="7"/>
    </row>
    <row r="1219" spans="1:11">
      <c r="A1219">
        <v>300001218</v>
      </c>
      <c r="B1219" t="s">
        <v>255</v>
      </c>
      <c r="C1219" t="s">
        <v>187</v>
      </c>
      <c r="D1219" t="s">
        <v>11</v>
      </c>
      <c r="E1219" s="9">
        <v>42</v>
      </c>
      <c r="F1219" t="s">
        <v>23</v>
      </c>
      <c r="G1219" t="s">
        <v>33</v>
      </c>
      <c r="H1219" s="8">
        <v>42199</v>
      </c>
      <c r="I1219">
        <v>8102.48</v>
      </c>
      <c r="K1219" s="8"/>
    </row>
    <row r="1220" spans="1:11">
      <c r="A1220">
        <v>400001219</v>
      </c>
      <c r="B1220" t="s">
        <v>256</v>
      </c>
      <c r="C1220" t="s">
        <v>266</v>
      </c>
      <c r="D1220" t="s">
        <v>16</v>
      </c>
      <c r="E1220" s="9">
        <v>34</v>
      </c>
      <c r="F1220" t="s">
        <v>17</v>
      </c>
      <c r="G1220" t="s">
        <v>33</v>
      </c>
      <c r="H1220" s="7">
        <v>42199</v>
      </c>
      <c r="I1220">
        <v>20742.96</v>
      </c>
      <c r="K1220" s="7"/>
    </row>
    <row r="1221" spans="1:11">
      <c r="A1221">
        <v>100001220</v>
      </c>
      <c r="B1221" t="s">
        <v>264</v>
      </c>
      <c r="C1221" t="s">
        <v>209</v>
      </c>
      <c r="D1221" t="s">
        <v>11</v>
      </c>
      <c r="E1221" s="9">
        <v>45</v>
      </c>
      <c r="F1221" t="s">
        <v>12</v>
      </c>
      <c r="G1221" t="s">
        <v>13</v>
      </c>
      <c r="H1221" s="8">
        <v>42200</v>
      </c>
      <c r="I1221">
        <v>27591.72</v>
      </c>
      <c r="K1221" s="8"/>
    </row>
    <row r="1222" spans="1:11">
      <c r="A1222">
        <v>100001221</v>
      </c>
      <c r="B1222" t="s">
        <v>81</v>
      </c>
      <c r="C1222" t="s">
        <v>31</v>
      </c>
      <c r="D1222" t="s">
        <v>16</v>
      </c>
      <c r="E1222" s="9">
        <v>18</v>
      </c>
      <c r="F1222" t="s">
        <v>12</v>
      </c>
      <c r="G1222" t="s">
        <v>18</v>
      </c>
      <c r="H1222" s="7">
        <v>42200</v>
      </c>
      <c r="I1222">
        <v>20389.34</v>
      </c>
      <c r="K1222" s="7"/>
    </row>
    <row r="1223" spans="1:11">
      <c r="A1223">
        <v>100001222</v>
      </c>
      <c r="B1223" t="s">
        <v>158</v>
      </c>
      <c r="C1223" t="s">
        <v>295</v>
      </c>
      <c r="D1223" t="s">
        <v>16</v>
      </c>
      <c r="E1223" s="9">
        <v>38</v>
      </c>
      <c r="F1223" t="s">
        <v>12</v>
      </c>
      <c r="G1223" t="s">
        <v>13</v>
      </c>
      <c r="H1223" s="8">
        <v>42200</v>
      </c>
      <c r="I1223">
        <v>25016.799999999999</v>
      </c>
      <c r="K1223" s="8"/>
    </row>
    <row r="1224" spans="1:11">
      <c r="A1224">
        <v>100001223</v>
      </c>
      <c r="B1224" t="s">
        <v>24</v>
      </c>
      <c r="C1224" t="s">
        <v>198</v>
      </c>
      <c r="D1224" t="s">
        <v>16</v>
      </c>
      <c r="E1224" s="9">
        <v>31</v>
      </c>
      <c r="F1224" t="s">
        <v>12</v>
      </c>
      <c r="G1224" t="s">
        <v>13</v>
      </c>
      <c r="H1224" s="7">
        <v>42200</v>
      </c>
      <c r="I1224">
        <v>4930.82</v>
      </c>
      <c r="K1224" s="7"/>
    </row>
    <row r="1225" spans="1:11">
      <c r="A1225">
        <v>100001224</v>
      </c>
      <c r="B1225" t="s">
        <v>84</v>
      </c>
      <c r="C1225" t="s">
        <v>237</v>
      </c>
      <c r="D1225" t="s">
        <v>16</v>
      </c>
      <c r="E1225" s="9">
        <v>28</v>
      </c>
      <c r="F1225" t="s">
        <v>12</v>
      </c>
      <c r="G1225" t="s">
        <v>33</v>
      </c>
      <c r="H1225" s="8">
        <v>42200</v>
      </c>
      <c r="I1225">
        <v>106947.88</v>
      </c>
      <c r="K1225" s="8"/>
    </row>
    <row r="1226" spans="1:11">
      <c r="A1226">
        <v>100001225</v>
      </c>
      <c r="B1226" t="s">
        <v>213</v>
      </c>
      <c r="C1226" t="s">
        <v>307</v>
      </c>
      <c r="D1226" t="s">
        <v>11</v>
      </c>
      <c r="E1226" s="9">
        <v>34</v>
      </c>
      <c r="F1226" t="s">
        <v>12</v>
      </c>
      <c r="G1226" t="s">
        <v>13</v>
      </c>
      <c r="H1226" s="7">
        <v>42200</v>
      </c>
      <c r="I1226">
        <v>919.1</v>
      </c>
      <c r="K1226" s="7"/>
    </row>
    <row r="1227" spans="1:11">
      <c r="A1227">
        <v>100001226</v>
      </c>
      <c r="B1227" t="s">
        <v>149</v>
      </c>
      <c r="C1227" t="s">
        <v>198</v>
      </c>
      <c r="D1227" t="s">
        <v>16</v>
      </c>
      <c r="E1227" s="9">
        <v>32</v>
      </c>
      <c r="F1227" t="s">
        <v>12</v>
      </c>
      <c r="G1227" t="s">
        <v>18</v>
      </c>
      <c r="H1227" s="8">
        <v>42200</v>
      </c>
      <c r="I1227">
        <v>42968.77</v>
      </c>
      <c r="K1227" s="8"/>
    </row>
    <row r="1228" spans="1:11">
      <c r="A1228">
        <v>100001227</v>
      </c>
      <c r="B1228" t="s">
        <v>250</v>
      </c>
      <c r="C1228" t="s">
        <v>172</v>
      </c>
      <c r="D1228" t="s">
        <v>16</v>
      </c>
      <c r="E1228" s="9">
        <v>42</v>
      </c>
      <c r="F1228" t="s">
        <v>12</v>
      </c>
      <c r="G1228" t="s">
        <v>18</v>
      </c>
      <c r="H1228" s="7">
        <v>42200</v>
      </c>
      <c r="I1228">
        <v>10810.61</v>
      </c>
      <c r="K1228" s="7"/>
    </row>
    <row r="1229" spans="1:11">
      <c r="A1229">
        <v>100001228</v>
      </c>
      <c r="B1229" t="s">
        <v>70</v>
      </c>
      <c r="C1229" t="s">
        <v>103</v>
      </c>
      <c r="D1229" t="s">
        <v>11</v>
      </c>
      <c r="E1229" s="9">
        <v>29</v>
      </c>
      <c r="F1229" t="s">
        <v>12</v>
      </c>
      <c r="G1229" t="s">
        <v>13</v>
      </c>
      <c r="H1229" s="8">
        <v>42200</v>
      </c>
      <c r="I1229">
        <v>15560.77</v>
      </c>
      <c r="K1229" s="8"/>
    </row>
    <row r="1230" spans="1:11">
      <c r="A1230">
        <v>200001229</v>
      </c>
      <c r="B1230" t="s">
        <v>255</v>
      </c>
      <c r="C1230" t="s">
        <v>209</v>
      </c>
      <c r="D1230" t="s">
        <v>11</v>
      </c>
      <c r="E1230" s="9">
        <v>47</v>
      </c>
      <c r="F1230" t="s">
        <v>32</v>
      </c>
      <c r="G1230" t="s">
        <v>33</v>
      </c>
      <c r="H1230" s="7">
        <v>42200</v>
      </c>
      <c r="I1230">
        <v>64034.82</v>
      </c>
      <c r="K1230" s="7"/>
    </row>
    <row r="1231" spans="1:11">
      <c r="A1231">
        <v>200001230</v>
      </c>
      <c r="B1231" t="s">
        <v>245</v>
      </c>
      <c r="C1231" t="s">
        <v>132</v>
      </c>
      <c r="D1231" t="s">
        <v>11</v>
      </c>
      <c r="E1231" s="9">
        <v>49</v>
      </c>
      <c r="F1231" t="s">
        <v>32</v>
      </c>
      <c r="G1231" t="s">
        <v>18</v>
      </c>
      <c r="H1231" s="8">
        <v>42200</v>
      </c>
      <c r="I1231">
        <v>36624.839999999997</v>
      </c>
      <c r="K1231" s="8"/>
    </row>
    <row r="1232" spans="1:11">
      <c r="A1232">
        <v>200001231</v>
      </c>
      <c r="B1232" t="s">
        <v>149</v>
      </c>
      <c r="C1232" t="s">
        <v>167</v>
      </c>
      <c r="D1232" t="s">
        <v>16</v>
      </c>
      <c r="E1232" s="9">
        <v>43</v>
      </c>
      <c r="F1232" t="s">
        <v>32</v>
      </c>
      <c r="G1232" t="s">
        <v>33</v>
      </c>
      <c r="H1232" s="7">
        <v>42200</v>
      </c>
      <c r="I1232">
        <v>7670.6</v>
      </c>
      <c r="K1232" s="7"/>
    </row>
    <row r="1233" spans="1:11">
      <c r="A1233">
        <v>200001232</v>
      </c>
      <c r="B1233" t="s">
        <v>50</v>
      </c>
      <c r="C1233" t="s">
        <v>39</v>
      </c>
      <c r="D1233" t="s">
        <v>16</v>
      </c>
      <c r="E1233" s="9">
        <v>63</v>
      </c>
      <c r="F1233" t="s">
        <v>32</v>
      </c>
      <c r="G1233" t="s">
        <v>18</v>
      </c>
      <c r="H1233" s="8">
        <v>42200</v>
      </c>
      <c r="I1233">
        <v>28395.48</v>
      </c>
      <c r="K1233" s="8"/>
    </row>
    <row r="1234" spans="1:11">
      <c r="A1234">
        <v>300001233</v>
      </c>
      <c r="B1234" t="s">
        <v>273</v>
      </c>
      <c r="C1234" t="s">
        <v>49</v>
      </c>
      <c r="D1234" t="s">
        <v>11</v>
      </c>
      <c r="E1234" s="9">
        <v>33</v>
      </c>
      <c r="F1234" t="s">
        <v>23</v>
      </c>
      <c r="G1234" t="s">
        <v>33</v>
      </c>
      <c r="H1234" s="7">
        <v>42200</v>
      </c>
      <c r="I1234">
        <v>61390.52</v>
      </c>
      <c r="K1234" s="7"/>
    </row>
    <row r="1235" spans="1:11">
      <c r="A1235">
        <v>400001234</v>
      </c>
      <c r="B1235" t="s">
        <v>131</v>
      </c>
      <c r="C1235" t="s">
        <v>82</v>
      </c>
      <c r="D1235" t="s">
        <v>16</v>
      </c>
      <c r="E1235" s="9">
        <v>17</v>
      </c>
      <c r="F1235" t="s">
        <v>17</v>
      </c>
      <c r="G1235" t="s">
        <v>33</v>
      </c>
      <c r="H1235" s="8">
        <v>42200</v>
      </c>
      <c r="I1235">
        <v>13301.43</v>
      </c>
      <c r="K1235" s="8"/>
    </row>
    <row r="1236" spans="1:11">
      <c r="A1236">
        <v>100001235</v>
      </c>
      <c r="B1236" t="s">
        <v>223</v>
      </c>
      <c r="C1236" t="s">
        <v>80</v>
      </c>
      <c r="D1236" t="s">
        <v>16</v>
      </c>
      <c r="E1236" s="9">
        <v>33</v>
      </c>
      <c r="F1236" t="s">
        <v>12</v>
      </c>
      <c r="G1236" t="s">
        <v>13</v>
      </c>
      <c r="H1236" s="7">
        <v>42201</v>
      </c>
      <c r="I1236">
        <v>41722.550000000003</v>
      </c>
      <c r="K1236" s="7"/>
    </row>
    <row r="1237" spans="1:11">
      <c r="A1237">
        <v>100001236</v>
      </c>
      <c r="B1237" t="s">
        <v>171</v>
      </c>
      <c r="C1237" t="s">
        <v>155</v>
      </c>
      <c r="D1237" t="s">
        <v>16</v>
      </c>
      <c r="E1237" s="9">
        <v>42</v>
      </c>
      <c r="F1237" t="s">
        <v>12</v>
      </c>
      <c r="G1237" t="s">
        <v>18</v>
      </c>
      <c r="H1237" s="8">
        <v>42201</v>
      </c>
      <c r="I1237">
        <v>51786.07</v>
      </c>
      <c r="K1237" s="8"/>
    </row>
    <row r="1238" spans="1:11">
      <c r="A1238">
        <v>100001237</v>
      </c>
      <c r="B1238" t="s">
        <v>147</v>
      </c>
      <c r="C1238" t="s">
        <v>282</v>
      </c>
      <c r="D1238" t="s">
        <v>11</v>
      </c>
      <c r="E1238" s="9">
        <v>39</v>
      </c>
      <c r="F1238" t="s">
        <v>12</v>
      </c>
      <c r="G1238" t="s">
        <v>18</v>
      </c>
      <c r="H1238" s="7">
        <v>42201</v>
      </c>
      <c r="I1238">
        <v>91246.45</v>
      </c>
      <c r="K1238" s="7"/>
    </row>
    <row r="1239" spans="1:11">
      <c r="A1239">
        <v>100001238</v>
      </c>
      <c r="B1239" t="s">
        <v>181</v>
      </c>
      <c r="C1239" t="s">
        <v>80</v>
      </c>
      <c r="D1239" t="s">
        <v>11</v>
      </c>
      <c r="E1239" s="9">
        <v>34</v>
      </c>
      <c r="F1239" t="s">
        <v>12</v>
      </c>
      <c r="G1239" t="s">
        <v>33</v>
      </c>
      <c r="H1239" s="8">
        <v>42201</v>
      </c>
      <c r="I1239">
        <v>44155.19</v>
      </c>
      <c r="K1239" s="8"/>
    </row>
    <row r="1240" spans="1:11">
      <c r="A1240">
        <v>100001239</v>
      </c>
      <c r="B1240" t="s">
        <v>99</v>
      </c>
      <c r="C1240" t="s">
        <v>25</v>
      </c>
      <c r="D1240" t="s">
        <v>16</v>
      </c>
      <c r="E1240" s="9">
        <v>24</v>
      </c>
      <c r="F1240" t="s">
        <v>12</v>
      </c>
      <c r="G1240" t="s">
        <v>13</v>
      </c>
      <c r="H1240" s="7">
        <v>42201</v>
      </c>
      <c r="I1240">
        <v>27028.23</v>
      </c>
      <c r="K1240" s="7"/>
    </row>
    <row r="1241" spans="1:11">
      <c r="A1241">
        <v>100001240</v>
      </c>
      <c r="B1241" t="s">
        <v>181</v>
      </c>
      <c r="C1241" t="s">
        <v>162</v>
      </c>
      <c r="D1241" t="s">
        <v>11</v>
      </c>
      <c r="E1241" s="9">
        <v>34</v>
      </c>
      <c r="F1241" t="s">
        <v>12</v>
      </c>
      <c r="G1241" t="s">
        <v>13</v>
      </c>
      <c r="H1241" s="8">
        <v>42201</v>
      </c>
      <c r="I1241">
        <v>59162.23</v>
      </c>
      <c r="K1241" s="8"/>
    </row>
    <row r="1242" spans="1:11">
      <c r="A1242">
        <v>100001241</v>
      </c>
      <c r="B1242" t="s">
        <v>301</v>
      </c>
      <c r="C1242" t="s">
        <v>185</v>
      </c>
      <c r="D1242" t="s">
        <v>16</v>
      </c>
      <c r="E1242" s="9">
        <v>49</v>
      </c>
      <c r="F1242" t="s">
        <v>12</v>
      </c>
      <c r="G1242" t="s">
        <v>18</v>
      </c>
      <c r="H1242" s="7">
        <v>42201</v>
      </c>
      <c r="I1242">
        <v>36294.120000000003</v>
      </c>
      <c r="K1242" s="7"/>
    </row>
    <row r="1243" spans="1:11">
      <c r="A1243">
        <v>100001242</v>
      </c>
      <c r="B1243" t="s">
        <v>50</v>
      </c>
      <c r="C1243" t="s">
        <v>274</v>
      </c>
      <c r="D1243" t="s">
        <v>16</v>
      </c>
      <c r="E1243" s="9">
        <v>38</v>
      </c>
      <c r="F1243" t="s">
        <v>12</v>
      </c>
      <c r="G1243" t="s">
        <v>13</v>
      </c>
      <c r="H1243" s="8">
        <v>42201</v>
      </c>
      <c r="I1243">
        <v>34385.32</v>
      </c>
      <c r="K1243" s="8"/>
    </row>
    <row r="1244" spans="1:11">
      <c r="A1244">
        <v>100001243</v>
      </c>
      <c r="B1244" t="s">
        <v>176</v>
      </c>
      <c r="C1244" t="s">
        <v>22</v>
      </c>
      <c r="D1244" t="s">
        <v>16</v>
      </c>
      <c r="E1244" s="9">
        <v>41</v>
      </c>
      <c r="F1244" t="s">
        <v>12</v>
      </c>
      <c r="G1244" t="s">
        <v>13</v>
      </c>
      <c r="H1244" s="7">
        <v>42201</v>
      </c>
      <c r="I1244">
        <v>58683.040000000001</v>
      </c>
      <c r="K1244" s="7"/>
    </row>
    <row r="1245" spans="1:11">
      <c r="A1245">
        <v>100001244</v>
      </c>
      <c r="B1245" t="s">
        <v>264</v>
      </c>
      <c r="C1245" t="s">
        <v>282</v>
      </c>
      <c r="D1245" t="s">
        <v>11</v>
      </c>
      <c r="E1245" s="9">
        <v>31</v>
      </c>
      <c r="F1245" t="s">
        <v>12</v>
      </c>
      <c r="G1245" t="s">
        <v>13</v>
      </c>
      <c r="H1245" s="8">
        <v>42201</v>
      </c>
      <c r="I1245">
        <v>27812.51</v>
      </c>
      <c r="K1245" s="8"/>
    </row>
    <row r="1246" spans="1:11">
      <c r="A1246">
        <v>200001245</v>
      </c>
      <c r="B1246" t="s">
        <v>131</v>
      </c>
      <c r="C1246" t="s">
        <v>210</v>
      </c>
      <c r="D1246" t="s">
        <v>16</v>
      </c>
      <c r="E1246" s="9">
        <v>59</v>
      </c>
      <c r="F1246" t="s">
        <v>32</v>
      </c>
      <c r="G1246" t="s">
        <v>33</v>
      </c>
      <c r="H1246" s="7">
        <v>42201</v>
      </c>
      <c r="I1246">
        <v>39943.69</v>
      </c>
      <c r="K1246" s="7"/>
    </row>
    <row r="1247" spans="1:11">
      <c r="A1247">
        <v>200001246</v>
      </c>
      <c r="B1247" t="s">
        <v>268</v>
      </c>
      <c r="C1247" t="s">
        <v>240</v>
      </c>
      <c r="D1247" t="s">
        <v>16</v>
      </c>
      <c r="E1247" s="9">
        <v>62</v>
      </c>
      <c r="F1247" t="s">
        <v>32</v>
      </c>
      <c r="G1247" t="s">
        <v>33</v>
      </c>
      <c r="H1247" s="8">
        <v>42201</v>
      </c>
      <c r="I1247">
        <v>23578.959999999999</v>
      </c>
      <c r="K1247" s="8"/>
    </row>
    <row r="1248" spans="1:11">
      <c r="A1248">
        <v>200001247</v>
      </c>
      <c r="B1248" t="s">
        <v>110</v>
      </c>
      <c r="C1248" t="s">
        <v>162</v>
      </c>
      <c r="D1248" t="s">
        <v>16</v>
      </c>
      <c r="E1248" s="9">
        <v>44</v>
      </c>
      <c r="F1248" t="s">
        <v>32</v>
      </c>
      <c r="G1248" t="s">
        <v>33</v>
      </c>
      <c r="H1248" s="7">
        <v>42201</v>
      </c>
      <c r="I1248">
        <v>25692</v>
      </c>
      <c r="K1248" s="7"/>
    </row>
    <row r="1249" spans="1:11">
      <c r="A1249">
        <v>100001248</v>
      </c>
      <c r="B1249" t="s">
        <v>232</v>
      </c>
      <c r="C1249" t="s">
        <v>239</v>
      </c>
      <c r="D1249" t="s">
        <v>16</v>
      </c>
      <c r="E1249" s="9">
        <v>40</v>
      </c>
      <c r="F1249" t="s">
        <v>12</v>
      </c>
      <c r="G1249" t="s">
        <v>33</v>
      </c>
      <c r="H1249" s="8">
        <v>42202</v>
      </c>
      <c r="I1249">
        <v>24204.28</v>
      </c>
      <c r="K1249" s="8"/>
    </row>
    <row r="1250" spans="1:11">
      <c r="A1250">
        <v>100001249</v>
      </c>
      <c r="B1250" t="s">
        <v>30</v>
      </c>
      <c r="C1250" t="s">
        <v>10</v>
      </c>
      <c r="D1250" t="s">
        <v>16</v>
      </c>
      <c r="E1250" s="9">
        <v>31</v>
      </c>
      <c r="F1250" t="s">
        <v>12</v>
      </c>
      <c r="G1250" t="s">
        <v>33</v>
      </c>
      <c r="H1250" s="7">
        <v>42202</v>
      </c>
      <c r="I1250">
        <v>25016.03</v>
      </c>
      <c r="K1250" s="7"/>
    </row>
    <row r="1251" spans="1:11">
      <c r="A1251">
        <v>100001250</v>
      </c>
      <c r="B1251" t="s">
        <v>9</v>
      </c>
      <c r="C1251" t="s">
        <v>87</v>
      </c>
      <c r="D1251" t="s">
        <v>11</v>
      </c>
      <c r="E1251" s="9">
        <v>19</v>
      </c>
      <c r="F1251" t="s">
        <v>12</v>
      </c>
      <c r="G1251" t="s">
        <v>13</v>
      </c>
      <c r="H1251" s="8">
        <v>42202</v>
      </c>
      <c r="I1251">
        <v>12964.93</v>
      </c>
      <c r="K1251" s="8"/>
    </row>
    <row r="1252" spans="1:11">
      <c r="A1252">
        <v>200001251</v>
      </c>
      <c r="B1252" t="s">
        <v>191</v>
      </c>
      <c r="C1252" t="s">
        <v>100</v>
      </c>
      <c r="D1252" t="s">
        <v>11</v>
      </c>
      <c r="E1252" s="9">
        <v>45</v>
      </c>
      <c r="F1252" t="s">
        <v>32</v>
      </c>
      <c r="G1252" t="s">
        <v>18</v>
      </c>
      <c r="H1252" s="7">
        <v>42202</v>
      </c>
      <c r="I1252">
        <v>43733.51</v>
      </c>
      <c r="K1252" s="7"/>
    </row>
    <row r="1253" spans="1:11">
      <c r="A1253">
        <v>200001252</v>
      </c>
      <c r="B1253" t="s">
        <v>245</v>
      </c>
      <c r="C1253" t="s">
        <v>35</v>
      </c>
      <c r="D1253" t="s">
        <v>11</v>
      </c>
      <c r="E1253" s="9">
        <v>34</v>
      </c>
      <c r="F1253" t="s">
        <v>32</v>
      </c>
      <c r="G1253" t="s">
        <v>18</v>
      </c>
      <c r="H1253" s="8">
        <v>42202</v>
      </c>
      <c r="I1253">
        <v>10309.36</v>
      </c>
      <c r="K1253" s="8"/>
    </row>
    <row r="1254" spans="1:11">
      <c r="A1254">
        <v>200001253</v>
      </c>
      <c r="B1254" t="s">
        <v>232</v>
      </c>
      <c r="C1254" t="s">
        <v>95</v>
      </c>
      <c r="D1254" t="s">
        <v>16</v>
      </c>
      <c r="E1254" s="9">
        <v>55</v>
      </c>
      <c r="F1254" t="s">
        <v>32</v>
      </c>
      <c r="G1254" t="s">
        <v>33</v>
      </c>
      <c r="H1254" s="7">
        <v>42202</v>
      </c>
      <c r="I1254">
        <v>10738.26</v>
      </c>
      <c r="K1254" s="7"/>
    </row>
    <row r="1255" spans="1:11">
      <c r="A1255">
        <v>300001254</v>
      </c>
      <c r="B1255" t="s">
        <v>263</v>
      </c>
      <c r="C1255" t="s">
        <v>183</v>
      </c>
      <c r="D1255" t="s">
        <v>16</v>
      </c>
      <c r="E1255" s="9">
        <v>36</v>
      </c>
      <c r="F1255" t="s">
        <v>23</v>
      </c>
      <c r="G1255" t="s">
        <v>13</v>
      </c>
      <c r="H1255" s="8">
        <v>42202</v>
      </c>
      <c r="I1255">
        <v>9366.57</v>
      </c>
      <c r="K1255" s="8"/>
    </row>
    <row r="1256" spans="1:11">
      <c r="A1256">
        <v>300001255</v>
      </c>
      <c r="B1256" t="s">
        <v>154</v>
      </c>
      <c r="C1256" t="s">
        <v>259</v>
      </c>
      <c r="D1256" t="s">
        <v>16</v>
      </c>
      <c r="E1256" s="9">
        <v>39</v>
      </c>
      <c r="F1256" t="s">
        <v>23</v>
      </c>
      <c r="G1256" t="s">
        <v>13</v>
      </c>
      <c r="H1256" s="7">
        <v>42202</v>
      </c>
      <c r="I1256">
        <v>31777.55</v>
      </c>
      <c r="K1256" s="7"/>
    </row>
    <row r="1257" spans="1:11">
      <c r="A1257">
        <v>300001256</v>
      </c>
      <c r="B1257" t="s">
        <v>188</v>
      </c>
      <c r="C1257" t="s">
        <v>224</v>
      </c>
      <c r="D1257" t="s">
        <v>11</v>
      </c>
      <c r="E1257" s="9">
        <v>50</v>
      </c>
      <c r="F1257" t="s">
        <v>23</v>
      </c>
      <c r="G1257" t="s">
        <v>13</v>
      </c>
      <c r="H1257" s="8">
        <v>42202</v>
      </c>
      <c r="I1257">
        <v>7697.3</v>
      </c>
      <c r="K1257" s="8"/>
    </row>
    <row r="1258" spans="1:11">
      <c r="A1258">
        <v>100001257</v>
      </c>
      <c r="B1258" t="s">
        <v>164</v>
      </c>
      <c r="C1258" t="s">
        <v>10</v>
      </c>
      <c r="D1258" t="s">
        <v>11</v>
      </c>
      <c r="E1258" s="9">
        <v>33</v>
      </c>
      <c r="F1258" t="s">
        <v>12</v>
      </c>
      <c r="G1258" t="s">
        <v>13</v>
      </c>
      <c r="H1258" s="7">
        <v>42203</v>
      </c>
      <c r="I1258">
        <v>122002.75</v>
      </c>
      <c r="K1258" s="7"/>
    </row>
    <row r="1259" spans="1:11">
      <c r="A1259">
        <v>100001258</v>
      </c>
      <c r="B1259" t="s">
        <v>166</v>
      </c>
      <c r="C1259" t="s">
        <v>212</v>
      </c>
      <c r="D1259" t="s">
        <v>16</v>
      </c>
      <c r="E1259" s="9">
        <v>29</v>
      </c>
      <c r="F1259" t="s">
        <v>12</v>
      </c>
      <c r="G1259" t="s">
        <v>13</v>
      </c>
      <c r="H1259" s="8">
        <v>42203</v>
      </c>
      <c r="I1259">
        <v>16056.76</v>
      </c>
      <c r="K1259" s="8"/>
    </row>
    <row r="1260" spans="1:11">
      <c r="A1260">
        <v>200001259</v>
      </c>
      <c r="B1260" t="s">
        <v>76</v>
      </c>
      <c r="C1260" t="s">
        <v>240</v>
      </c>
      <c r="D1260" t="s">
        <v>11</v>
      </c>
      <c r="E1260" s="9">
        <v>49</v>
      </c>
      <c r="F1260" t="s">
        <v>32</v>
      </c>
      <c r="G1260" t="s">
        <v>18</v>
      </c>
      <c r="H1260" s="7">
        <v>42203</v>
      </c>
      <c r="I1260">
        <v>28451.26</v>
      </c>
      <c r="K1260" s="7"/>
    </row>
    <row r="1261" spans="1:11">
      <c r="A1261">
        <v>200001260</v>
      </c>
      <c r="B1261" t="s">
        <v>147</v>
      </c>
      <c r="C1261" t="s">
        <v>114</v>
      </c>
      <c r="D1261" t="s">
        <v>11</v>
      </c>
      <c r="E1261" s="9">
        <v>52</v>
      </c>
      <c r="F1261" t="s">
        <v>32</v>
      </c>
      <c r="G1261" t="s">
        <v>18</v>
      </c>
      <c r="H1261" s="8">
        <v>42203</v>
      </c>
      <c r="I1261">
        <v>4096.45</v>
      </c>
      <c r="K1261" s="8"/>
    </row>
    <row r="1262" spans="1:11">
      <c r="A1262">
        <v>200001261</v>
      </c>
      <c r="B1262" t="s">
        <v>152</v>
      </c>
      <c r="C1262" t="s">
        <v>47</v>
      </c>
      <c r="D1262" t="s">
        <v>11</v>
      </c>
      <c r="E1262" s="9">
        <v>40</v>
      </c>
      <c r="F1262" t="s">
        <v>32</v>
      </c>
      <c r="G1262" t="s">
        <v>18</v>
      </c>
      <c r="H1262" s="7">
        <v>42203</v>
      </c>
      <c r="I1262">
        <v>24646.37</v>
      </c>
      <c r="K1262" s="7"/>
    </row>
    <row r="1263" spans="1:11">
      <c r="A1263">
        <v>300001262</v>
      </c>
      <c r="B1263" t="s">
        <v>267</v>
      </c>
      <c r="C1263" t="s">
        <v>195</v>
      </c>
      <c r="D1263" t="s">
        <v>16</v>
      </c>
      <c r="E1263" s="9">
        <v>29</v>
      </c>
      <c r="F1263" t="s">
        <v>23</v>
      </c>
      <c r="G1263" t="s">
        <v>13</v>
      </c>
      <c r="H1263" s="8">
        <v>42203</v>
      </c>
      <c r="I1263">
        <v>72266.38</v>
      </c>
      <c r="K1263" s="8"/>
    </row>
    <row r="1264" spans="1:11">
      <c r="A1264">
        <v>300001263</v>
      </c>
      <c r="B1264" t="s">
        <v>135</v>
      </c>
      <c r="C1264" t="s">
        <v>88</v>
      </c>
      <c r="D1264" t="s">
        <v>11</v>
      </c>
      <c r="E1264" s="9">
        <v>37</v>
      </c>
      <c r="F1264" t="s">
        <v>23</v>
      </c>
      <c r="G1264" t="s">
        <v>13</v>
      </c>
      <c r="H1264" s="7">
        <v>42203</v>
      </c>
      <c r="I1264">
        <v>66105.06</v>
      </c>
      <c r="K1264" s="7"/>
    </row>
    <row r="1265" spans="1:11">
      <c r="A1265">
        <v>300001264</v>
      </c>
      <c r="B1265" t="s">
        <v>133</v>
      </c>
      <c r="C1265" t="s">
        <v>305</v>
      </c>
      <c r="D1265" t="s">
        <v>11</v>
      </c>
      <c r="E1265" s="9">
        <v>30</v>
      </c>
      <c r="F1265" t="s">
        <v>23</v>
      </c>
      <c r="G1265" t="s">
        <v>18</v>
      </c>
      <c r="H1265" s="8">
        <v>42203</v>
      </c>
      <c r="I1265">
        <v>68927.97</v>
      </c>
      <c r="K1265" s="8"/>
    </row>
    <row r="1266" spans="1:11">
      <c r="A1266">
        <v>100001265</v>
      </c>
      <c r="B1266" t="s">
        <v>321</v>
      </c>
      <c r="C1266" t="s">
        <v>124</v>
      </c>
      <c r="D1266" t="s">
        <v>16</v>
      </c>
      <c r="E1266" s="9">
        <v>40</v>
      </c>
      <c r="F1266" t="s">
        <v>12</v>
      </c>
      <c r="G1266" t="s">
        <v>18</v>
      </c>
      <c r="H1266" s="7">
        <v>42204</v>
      </c>
      <c r="I1266">
        <v>31439.06</v>
      </c>
      <c r="K1266" s="7"/>
    </row>
    <row r="1267" spans="1:11">
      <c r="A1267">
        <v>100001266</v>
      </c>
      <c r="B1267" t="s">
        <v>111</v>
      </c>
      <c r="C1267" t="s">
        <v>153</v>
      </c>
      <c r="D1267" t="s">
        <v>11</v>
      </c>
      <c r="E1267" s="9">
        <v>39</v>
      </c>
      <c r="F1267" t="s">
        <v>12</v>
      </c>
      <c r="G1267" t="s">
        <v>13</v>
      </c>
      <c r="H1267" s="8">
        <v>42204</v>
      </c>
      <c r="I1267">
        <v>15208.44</v>
      </c>
      <c r="K1267" s="8"/>
    </row>
    <row r="1268" spans="1:11">
      <c r="A1268">
        <v>100001267</v>
      </c>
      <c r="B1268" t="s">
        <v>118</v>
      </c>
      <c r="C1268" t="s">
        <v>140</v>
      </c>
      <c r="D1268" t="s">
        <v>11</v>
      </c>
      <c r="E1268" s="9">
        <v>37</v>
      </c>
      <c r="F1268" t="s">
        <v>12</v>
      </c>
      <c r="G1268" t="s">
        <v>13</v>
      </c>
      <c r="H1268" s="7">
        <v>42204</v>
      </c>
      <c r="I1268">
        <v>32570.65</v>
      </c>
      <c r="K1268" s="7"/>
    </row>
    <row r="1269" spans="1:11">
      <c r="A1269">
        <v>100001268</v>
      </c>
      <c r="B1269" t="s">
        <v>150</v>
      </c>
      <c r="C1269" t="s">
        <v>281</v>
      </c>
      <c r="D1269" t="s">
        <v>16</v>
      </c>
      <c r="E1269" s="9">
        <v>37</v>
      </c>
      <c r="F1269" t="s">
        <v>12</v>
      </c>
      <c r="G1269" t="s">
        <v>18</v>
      </c>
      <c r="H1269" s="8">
        <v>42204</v>
      </c>
      <c r="I1269">
        <v>42453.120000000003</v>
      </c>
      <c r="K1269" s="8"/>
    </row>
    <row r="1270" spans="1:11">
      <c r="A1270">
        <v>100001269</v>
      </c>
      <c r="B1270" t="s">
        <v>323</v>
      </c>
      <c r="C1270" t="s">
        <v>183</v>
      </c>
      <c r="D1270" t="s">
        <v>16</v>
      </c>
      <c r="E1270" s="9">
        <v>26</v>
      </c>
      <c r="F1270" t="s">
        <v>12</v>
      </c>
      <c r="G1270" t="s">
        <v>13</v>
      </c>
      <c r="H1270" s="7">
        <v>42204</v>
      </c>
      <c r="I1270">
        <v>25355.23</v>
      </c>
      <c r="K1270" s="7"/>
    </row>
    <row r="1271" spans="1:11">
      <c r="A1271">
        <v>100001270</v>
      </c>
      <c r="B1271" t="s">
        <v>208</v>
      </c>
      <c r="C1271" t="s">
        <v>35</v>
      </c>
      <c r="D1271" t="s">
        <v>11</v>
      </c>
      <c r="E1271" s="9">
        <v>34</v>
      </c>
      <c r="F1271" t="s">
        <v>12</v>
      </c>
      <c r="G1271" t="s">
        <v>33</v>
      </c>
      <c r="H1271" s="8">
        <v>42204</v>
      </c>
      <c r="I1271">
        <v>111798.34</v>
      </c>
      <c r="K1271" s="8"/>
    </row>
    <row r="1272" spans="1:11">
      <c r="A1272">
        <v>200001271</v>
      </c>
      <c r="B1272" t="s">
        <v>166</v>
      </c>
      <c r="C1272" t="s">
        <v>107</v>
      </c>
      <c r="D1272" t="s">
        <v>16</v>
      </c>
      <c r="E1272" s="9">
        <v>28</v>
      </c>
      <c r="F1272" t="s">
        <v>32</v>
      </c>
      <c r="G1272" t="s">
        <v>33</v>
      </c>
      <c r="H1272" s="7">
        <v>42204</v>
      </c>
      <c r="I1272">
        <v>52614.67</v>
      </c>
      <c r="K1272" s="7"/>
    </row>
    <row r="1273" spans="1:11">
      <c r="A1273">
        <v>200001272</v>
      </c>
      <c r="B1273" t="s">
        <v>97</v>
      </c>
      <c r="C1273" t="s">
        <v>259</v>
      </c>
      <c r="D1273" t="s">
        <v>16</v>
      </c>
      <c r="E1273" s="9">
        <v>45</v>
      </c>
      <c r="F1273" t="s">
        <v>32</v>
      </c>
      <c r="G1273" t="s">
        <v>33</v>
      </c>
      <c r="H1273" s="8">
        <v>42204</v>
      </c>
      <c r="I1273">
        <v>28231.9</v>
      </c>
      <c r="K1273" s="8"/>
    </row>
    <row r="1274" spans="1:11">
      <c r="A1274">
        <v>200001273</v>
      </c>
      <c r="B1274" t="s">
        <v>72</v>
      </c>
      <c r="C1274" t="s">
        <v>279</v>
      </c>
      <c r="D1274" t="s">
        <v>11</v>
      </c>
      <c r="E1274" s="9">
        <v>61</v>
      </c>
      <c r="F1274" t="s">
        <v>32</v>
      </c>
      <c r="G1274" t="s">
        <v>33</v>
      </c>
      <c r="H1274" s="7">
        <v>42204</v>
      </c>
      <c r="I1274">
        <v>105354.02</v>
      </c>
      <c r="K1274" s="7"/>
    </row>
    <row r="1275" spans="1:11">
      <c r="A1275">
        <v>100001274</v>
      </c>
      <c r="B1275" t="s">
        <v>164</v>
      </c>
      <c r="C1275" t="s">
        <v>39</v>
      </c>
      <c r="D1275" t="s">
        <v>11</v>
      </c>
      <c r="E1275" s="9">
        <v>37</v>
      </c>
      <c r="F1275" t="s">
        <v>12</v>
      </c>
      <c r="G1275" t="s">
        <v>13</v>
      </c>
      <c r="H1275" s="8">
        <v>42205</v>
      </c>
      <c r="I1275">
        <v>34786.14</v>
      </c>
      <c r="K1275" s="8"/>
    </row>
    <row r="1276" spans="1:11">
      <c r="A1276">
        <v>100001275</v>
      </c>
      <c r="B1276" t="s">
        <v>70</v>
      </c>
      <c r="C1276" t="s">
        <v>82</v>
      </c>
      <c r="D1276" t="s">
        <v>11</v>
      </c>
      <c r="E1276" s="9">
        <v>34</v>
      </c>
      <c r="F1276" t="s">
        <v>12</v>
      </c>
      <c r="G1276" t="s">
        <v>13</v>
      </c>
      <c r="H1276" s="7">
        <v>42205</v>
      </c>
      <c r="I1276">
        <v>20628.63</v>
      </c>
      <c r="K1276" s="7"/>
    </row>
    <row r="1277" spans="1:11">
      <c r="A1277">
        <v>100001276</v>
      </c>
      <c r="B1277" t="s">
        <v>64</v>
      </c>
      <c r="C1277" t="s">
        <v>59</v>
      </c>
      <c r="D1277" t="s">
        <v>11</v>
      </c>
      <c r="E1277" s="9">
        <v>38</v>
      </c>
      <c r="F1277" t="s">
        <v>12</v>
      </c>
      <c r="G1277" t="s">
        <v>13</v>
      </c>
      <c r="H1277" s="8">
        <v>42205</v>
      </c>
      <c r="I1277">
        <v>29679.51</v>
      </c>
      <c r="K1277" s="8"/>
    </row>
    <row r="1278" spans="1:11">
      <c r="A1278">
        <v>100001277</v>
      </c>
      <c r="B1278" t="s">
        <v>97</v>
      </c>
      <c r="C1278" t="s">
        <v>130</v>
      </c>
      <c r="D1278" t="s">
        <v>16</v>
      </c>
      <c r="E1278" s="9">
        <v>35</v>
      </c>
      <c r="F1278" t="s">
        <v>12</v>
      </c>
      <c r="G1278" t="s">
        <v>13</v>
      </c>
      <c r="H1278" s="7">
        <v>42205</v>
      </c>
      <c r="I1278">
        <v>28974.080000000002</v>
      </c>
      <c r="K1278" s="7"/>
    </row>
    <row r="1279" spans="1:11">
      <c r="A1279">
        <v>100001278</v>
      </c>
      <c r="B1279" t="s">
        <v>190</v>
      </c>
      <c r="C1279" t="s">
        <v>45</v>
      </c>
      <c r="D1279" t="s">
        <v>11</v>
      </c>
      <c r="E1279" s="9">
        <v>40</v>
      </c>
      <c r="F1279" t="s">
        <v>12</v>
      </c>
      <c r="G1279" t="s">
        <v>18</v>
      </c>
      <c r="H1279" s="8">
        <v>42205</v>
      </c>
      <c r="I1279">
        <v>2531.0100000000002</v>
      </c>
      <c r="K1279" s="8"/>
    </row>
    <row r="1280" spans="1:11">
      <c r="A1280">
        <v>100001279</v>
      </c>
      <c r="B1280" t="s">
        <v>150</v>
      </c>
      <c r="C1280" t="s">
        <v>224</v>
      </c>
      <c r="D1280" t="s">
        <v>16</v>
      </c>
      <c r="E1280" s="9">
        <v>35</v>
      </c>
      <c r="F1280" t="s">
        <v>12</v>
      </c>
      <c r="G1280" t="s">
        <v>18</v>
      </c>
      <c r="H1280" s="7">
        <v>42205</v>
      </c>
      <c r="I1280">
        <v>88873.04</v>
      </c>
      <c r="K1280" s="7"/>
    </row>
    <row r="1281" spans="1:11">
      <c r="A1281">
        <v>100001280</v>
      </c>
      <c r="B1281" t="s">
        <v>254</v>
      </c>
      <c r="C1281" t="s">
        <v>164</v>
      </c>
      <c r="D1281" t="s">
        <v>11</v>
      </c>
      <c r="E1281" s="9">
        <v>53</v>
      </c>
      <c r="F1281" t="s">
        <v>12</v>
      </c>
      <c r="G1281" t="s">
        <v>33</v>
      </c>
      <c r="H1281" s="8">
        <v>42205</v>
      </c>
      <c r="I1281">
        <v>12714.42</v>
      </c>
      <c r="K1281" s="8"/>
    </row>
    <row r="1282" spans="1:11">
      <c r="A1282">
        <v>100001281</v>
      </c>
      <c r="B1282" t="s">
        <v>107</v>
      </c>
      <c r="C1282" t="s">
        <v>196</v>
      </c>
      <c r="D1282" t="s">
        <v>11</v>
      </c>
      <c r="E1282" s="9">
        <v>36</v>
      </c>
      <c r="F1282" t="s">
        <v>12</v>
      </c>
      <c r="G1282" t="s">
        <v>13</v>
      </c>
      <c r="H1282" s="7">
        <v>42205</v>
      </c>
      <c r="I1282">
        <v>16312.01</v>
      </c>
      <c r="K1282" s="7"/>
    </row>
    <row r="1283" spans="1:11">
      <c r="A1283">
        <v>200001282</v>
      </c>
      <c r="B1283" t="s">
        <v>147</v>
      </c>
      <c r="C1283" t="s">
        <v>233</v>
      </c>
      <c r="D1283" t="s">
        <v>11</v>
      </c>
      <c r="E1283" s="9">
        <v>44</v>
      </c>
      <c r="F1283" t="s">
        <v>32</v>
      </c>
      <c r="G1283" t="s">
        <v>13</v>
      </c>
      <c r="H1283" s="8">
        <v>42205</v>
      </c>
      <c r="I1283">
        <v>242.49</v>
      </c>
      <c r="K1283" s="8"/>
    </row>
    <row r="1284" spans="1:11">
      <c r="A1284">
        <v>200001283</v>
      </c>
      <c r="B1284" t="s">
        <v>312</v>
      </c>
      <c r="C1284" t="s">
        <v>121</v>
      </c>
      <c r="D1284" t="s">
        <v>11</v>
      </c>
      <c r="E1284" s="9">
        <v>48</v>
      </c>
      <c r="F1284" t="s">
        <v>32</v>
      </c>
      <c r="G1284" t="s">
        <v>18</v>
      </c>
      <c r="H1284" s="7">
        <v>42205</v>
      </c>
      <c r="I1284">
        <v>5725.96</v>
      </c>
      <c r="K1284" s="7"/>
    </row>
    <row r="1285" spans="1:11">
      <c r="A1285">
        <v>300001284</v>
      </c>
      <c r="B1285" t="s">
        <v>148</v>
      </c>
      <c r="C1285" t="s">
        <v>56</v>
      </c>
      <c r="D1285" t="s">
        <v>11</v>
      </c>
      <c r="E1285" s="9">
        <v>41</v>
      </c>
      <c r="F1285" t="s">
        <v>23</v>
      </c>
      <c r="G1285" t="s">
        <v>13</v>
      </c>
      <c r="H1285" s="8">
        <v>42205</v>
      </c>
      <c r="I1285">
        <v>87285.66</v>
      </c>
      <c r="K1285" s="8"/>
    </row>
    <row r="1286" spans="1:11">
      <c r="A1286">
        <v>300001285</v>
      </c>
      <c r="B1286" t="s">
        <v>48</v>
      </c>
      <c r="C1286" t="s">
        <v>183</v>
      </c>
      <c r="D1286" t="s">
        <v>16</v>
      </c>
      <c r="E1286" s="9">
        <v>32</v>
      </c>
      <c r="F1286" t="s">
        <v>23</v>
      </c>
      <c r="G1286" t="s">
        <v>13</v>
      </c>
      <c r="H1286" s="7">
        <v>42205</v>
      </c>
      <c r="I1286">
        <v>72238.95</v>
      </c>
      <c r="K1286" s="7"/>
    </row>
    <row r="1287" spans="1:11">
      <c r="A1287">
        <v>300001286</v>
      </c>
      <c r="B1287" t="s">
        <v>21</v>
      </c>
      <c r="C1287" t="s">
        <v>75</v>
      </c>
      <c r="D1287" t="s">
        <v>11</v>
      </c>
      <c r="E1287" s="9">
        <v>37</v>
      </c>
      <c r="F1287" t="s">
        <v>23</v>
      </c>
      <c r="G1287" t="s">
        <v>13</v>
      </c>
      <c r="H1287" s="8">
        <v>42205</v>
      </c>
      <c r="I1287">
        <v>28858.98</v>
      </c>
      <c r="K1287" s="8"/>
    </row>
    <row r="1288" spans="1:11">
      <c r="A1288">
        <v>100001287</v>
      </c>
      <c r="B1288" t="s">
        <v>115</v>
      </c>
      <c r="C1288" t="s">
        <v>224</v>
      </c>
      <c r="D1288" t="s">
        <v>16</v>
      </c>
      <c r="E1288" s="9">
        <v>33</v>
      </c>
      <c r="F1288" t="s">
        <v>12</v>
      </c>
      <c r="G1288" t="s">
        <v>13</v>
      </c>
      <c r="H1288" s="7">
        <v>42206</v>
      </c>
      <c r="I1288">
        <v>23875.68</v>
      </c>
      <c r="K1288" s="7"/>
    </row>
    <row r="1289" spans="1:11">
      <c r="A1289">
        <v>100001288</v>
      </c>
      <c r="B1289" t="s">
        <v>192</v>
      </c>
      <c r="C1289" t="s">
        <v>306</v>
      </c>
      <c r="D1289" t="s">
        <v>16</v>
      </c>
      <c r="E1289" s="9">
        <v>33</v>
      </c>
      <c r="F1289" t="s">
        <v>12</v>
      </c>
      <c r="G1289" t="s">
        <v>13</v>
      </c>
      <c r="H1289" s="8">
        <v>42206</v>
      </c>
      <c r="I1289">
        <v>16867.36</v>
      </c>
      <c r="K1289" s="8"/>
    </row>
    <row r="1290" spans="1:11">
      <c r="A1290">
        <v>100001289</v>
      </c>
      <c r="B1290" t="s">
        <v>193</v>
      </c>
      <c r="C1290" t="s">
        <v>297</v>
      </c>
      <c r="D1290" t="s">
        <v>11</v>
      </c>
      <c r="E1290" s="9">
        <v>43</v>
      </c>
      <c r="F1290" t="s">
        <v>12</v>
      </c>
      <c r="G1290" t="s">
        <v>13</v>
      </c>
      <c r="H1290" s="7">
        <v>42206</v>
      </c>
      <c r="I1290">
        <v>68113.06</v>
      </c>
      <c r="K1290" s="7"/>
    </row>
    <row r="1291" spans="1:11">
      <c r="A1291">
        <v>100001290</v>
      </c>
      <c r="B1291" t="s">
        <v>280</v>
      </c>
      <c r="C1291" t="s">
        <v>157</v>
      </c>
      <c r="D1291" t="s">
        <v>11</v>
      </c>
      <c r="E1291" s="9">
        <v>41</v>
      </c>
      <c r="F1291" t="s">
        <v>12</v>
      </c>
      <c r="G1291" t="s">
        <v>13</v>
      </c>
      <c r="H1291" s="8">
        <v>42206</v>
      </c>
      <c r="I1291">
        <v>12737.83</v>
      </c>
      <c r="K1291" s="8"/>
    </row>
    <row r="1292" spans="1:11">
      <c r="A1292">
        <v>100001291</v>
      </c>
      <c r="B1292" t="s">
        <v>273</v>
      </c>
      <c r="C1292" t="s">
        <v>96</v>
      </c>
      <c r="D1292" t="s">
        <v>11</v>
      </c>
      <c r="E1292" s="9">
        <v>27</v>
      </c>
      <c r="F1292" t="s">
        <v>12</v>
      </c>
      <c r="G1292" t="s">
        <v>13</v>
      </c>
      <c r="H1292" s="7">
        <v>42206</v>
      </c>
      <c r="I1292">
        <v>6825.79</v>
      </c>
      <c r="K1292" s="7"/>
    </row>
    <row r="1293" spans="1:11">
      <c r="A1293">
        <v>100001292</v>
      </c>
      <c r="B1293" t="s">
        <v>218</v>
      </c>
      <c r="C1293" t="s">
        <v>257</v>
      </c>
      <c r="D1293" t="s">
        <v>11</v>
      </c>
      <c r="E1293" s="9">
        <v>43</v>
      </c>
      <c r="F1293" t="s">
        <v>12</v>
      </c>
      <c r="G1293" t="s">
        <v>13</v>
      </c>
      <c r="H1293" s="8">
        <v>42206</v>
      </c>
      <c r="I1293">
        <v>29339.77</v>
      </c>
      <c r="K1293" s="8"/>
    </row>
    <row r="1294" spans="1:11">
      <c r="A1294">
        <v>100001293</v>
      </c>
      <c r="B1294" t="s">
        <v>180</v>
      </c>
      <c r="C1294" t="s">
        <v>237</v>
      </c>
      <c r="D1294" t="s">
        <v>16</v>
      </c>
      <c r="E1294" s="9">
        <v>31</v>
      </c>
      <c r="F1294" t="s">
        <v>12</v>
      </c>
      <c r="G1294" t="s">
        <v>13</v>
      </c>
      <c r="H1294" s="7">
        <v>42206</v>
      </c>
      <c r="I1294">
        <v>1330.3</v>
      </c>
      <c r="K1294" s="7"/>
    </row>
    <row r="1295" spans="1:11">
      <c r="A1295">
        <v>100001294</v>
      </c>
      <c r="B1295" t="s">
        <v>139</v>
      </c>
      <c r="C1295" t="s">
        <v>240</v>
      </c>
      <c r="D1295" t="s">
        <v>16</v>
      </c>
      <c r="E1295" s="9">
        <v>36</v>
      </c>
      <c r="F1295" t="s">
        <v>12</v>
      </c>
      <c r="G1295" t="s">
        <v>33</v>
      </c>
      <c r="H1295" s="8">
        <v>42206</v>
      </c>
      <c r="I1295">
        <v>6272.99</v>
      </c>
      <c r="K1295" s="8"/>
    </row>
    <row r="1296" spans="1:11">
      <c r="A1296">
        <v>200001295</v>
      </c>
      <c r="B1296" t="s">
        <v>215</v>
      </c>
      <c r="C1296" t="s">
        <v>266</v>
      </c>
      <c r="D1296" t="s">
        <v>16</v>
      </c>
      <c r="E1296" s="9">
        <v>45</v>
      </c>
      <c r="F1296" t="s">
        <v>32</v>
      </c>
      <c r="G1296" t="s">
        <v>33</v>
      </c>
      <c r="H1296" s="7">
        <v>42206</v>
      </c>
      <c r="I1296">
        <v>10628.71</v>
      </c>
      <c r="K1296" s="7"/>
    </row>
    <row r="1297" spans="1:11">
      <c r="A1297">
        <v>200001296</v>
      </c>
      <c r="B1297" t="s">
        <v>245</v>
      </c>
      <c r="C1297" t="s">
        <v>65</v>
      </c>
      <c r="D1297" t="s">
        <v>11</v>
      </c>
      <c r="E1297" s="9">
        <v>50</v>
      </c>
      <c r="F1297" t="s">
        <v>32</v>
      </c>
      <c r="G1297" t="s">
        <v>13</v>
      </c>
      <c r="H1297" s="8">
        <v>42206</v>
      </c>
      <c r="I1297">
        <v>9604.4</v>
      </c>
      <c r="K1297" s="8"/>
    </row>
    <row r="1298" spans="1:11">
      <c r="A1298">
        <v>400001297</v>
      </c>
      <c r="B1298" t="s">
        <v>235</v>
      </c>
      <c r="C1298" t="s">
        <v>257</v>
      </c>
      <c r="D1298" t="s">
        <v>11</v>
      </c>
      <c r="E1298" s="9">
        <v>32</v>
      </c>
      <c r="F1298" t="s">
        <v>17</v>
      </c>
      <c r="G1298" t="s">
        <v>33</v>
      </c>
      <c r="H1298" s="7">
        <v>42206</v>
      </c>
      <c r="I1298">
        <v>11297.19</v>
      </c>
      <c r="K1298" s="7"/>
    </row>
    <row r="1299" spans="1:11">
      <c r="A1299">
        <v>100001298</v>
      </c>
      <c r="B1299" t="s">
        <v>72</v>
      </c>
      <c r="C1299" t="s">
        <v>10</v>
      </c>
      <c r="D1299" t="s">
        <v>11</v>
      </c>
      <c r="E1299" s="9">
        <v>37</v>
      </c>
      <c r="F1299" t="s">
        <v>12</v>
      </c>
      <c r="G1299" t="s">
        <v>13</v>
      </c>
      <c r="H1299" s="8">
        <v>42207</v>
      </c>
      <c r="I1299">
        <v>17275.34</v>
      </c>
      <c r="K1299" s="8"/>
    </row>
    <row r="1300" spans="1:11">
      <c r="A1300">
        <v>100001299</v>
      </c>
      <c r="B1300" t="s">
        <v>181</v>
      </c>
      <c r="C1300" t="s">
        <v>292</v>
      </c>
      <c r="D1300" t="s">
        <v>11</v>
      </c>
      <c r="E1300" s="9">
        <v>43</v>
      </c>
      <c r="F1300" t="s">
        <v>12</v>
      </c>
      <c r="G1300" t="s">
        <v>13</v>
      </c>
      <c r="H1300" s="7">
        <v>42207</v>
      </c>
      <c r="I1300">
        <v>11873.22</v>
      </c>
      <c r="K1300" s="7"/>
    </row>
    <row r="1301" spans="1:11">
      <c r="A1301">
        <v>100001300</v>
      </c>
      <c r="B1301" t="s">
        <v>42</v>
      </c>
      <c r="C1301" t="s">
        <v>224</v>
      </c>
      <c r="D1301" t="s">
        <v>11</v>
      </c>
      <c r="E1301" s="9">
        <v>35</v>
      </c>
      <c r="F1301" t="s">
        <v>12</v>
      </c>
      <c r="G1301" t="s">
        <v>33</v>
      </c>
      <c r="H1301" s="8">
        <v>42207</v>
      </c>
      <c r="I1301">
        <v>71961.78</v>
      </c>
      <c r="K1301" s="8"/>
    </row>
    <row r="1302" spans="1:11">
      <c r="A1302">
        <v>100001301</v>
      </c>
      <c r="B1302" t="s">
        <v>99</v>
      </c>
      <c r="C1302" t="s">
        <v>104</v>
      </c>
      <c r="D1302" t="s">
        <v>16</v>
      </c>
      <c r="E1302" s="9">
        <v>35</v>
      </c>
      <c r="F1302" t="s">
        <v>12</v>
      </c>
      <c r="G1302" t="s">
        <v>13</v>
      </c>
      <c r="H1302" s="7">
        <v>42207</v>
      </c>
      <c r="I1302">
        <v>14125.9</v>
      </c>
      <c r="K1302" s="7"/>
    </row>
    <row r="1303" spans="1:11">
      <c r="A1303">
        <v>100001302</v>
      </c>
      <c r="B1303" t="s">
        <v>298</v>
      </c>
      <c r="C1303" t="s">
        <v>295</v>
      </c>
      <c r="D1303" t="s">
        <v>16</v>
      </c>
      <c r="E1303" s="9">
        <v>32</v>
      </c>
      <c r="F1303" t="s">
        <v>12</v>
      </c>
      <c r="G1303" t="s">
        <v>13</v>
      </c>
      <c r="H1303" s="8">
        <v>42207</v>
      </c>
      <c r="I1303">
        <v>17715.689999999999</v>
      </c>
      <c r="K1303" s="8"/>
    </row>
    <row r="1304" spans="1:11">
      <c r="A1304">
        <v>100001303</v>
      </c>
      <c r="B1304" t="s">
        <v>174</v>
      </c>
      <c r="C1304" t="s">
        <v>100</v>
      </c>
      <c r="D1304" t="s">
        <v>11</v>
      </c>
      <c r="E1304" s="9">
        <v>40</v>
      </c>
      <c r="F1304" t="s">
        <v>12</v>
      </c>
      <c r="G1304" t="s">
        <v>13</v>
      </c>
      <c r="H1304" s="7">
        <v>42207</v>
      </c>
      <c r="I1304">
        <v>17616.259999999998</v>
      </c>
      <c r="K1304" s="7"/>
    </row>
    <row r="1305" spans="1:11">
      <c r="A1305">
        <v>100001304</v>
      </c>
      <c r="B1305" t="s">
        <v>180</v>
      </c>
      <c r="C1305" t="s">
        <v>211</v>
      </c>
      <c r="D1305" t="s">
        <v>16</v>
      </c>
      <c r="E1305" s="9">
        <v>41</v>
      </c>
      <c r="F1305" t="s">
        <v>12</v>
      </c>
      <c r="G1305" t="s">
        <v>18</v>
      </c>
      <c r="H1305" s="8">
        <v>42207</v>
      </c>
      <c r="I1305">
        <v>33934.22</v>
      </c>
      <c r="K1305" s="8"/>
    </row>
    <row r="1306" spans="1:11">
      <c r="A1306">
        <v>100001305</v>
      </c>
      <c r="B1306" t="s">
        <v>55</v>
      </c>
      <c r="C1306" t="s">
        <v>94</v>
      </c>
      <c r="D1306" t="s">
        <v>11</v>
      </c>
      <c r="E1306" s="9">
        <v>34</v>
      </c>
      <c r="F1306" t="s">
        <v>12</v>
      </c>
      <c r="G1306" t="s">
        <v>18</v>
      </c>
      <c r="H1306" s="7">
        <v>42207</v>
      </c>
      <c r="I1306">
        <v>109300.73</v>
      </c>
      <c r="K1306" s="7"/>
    </row>
    <row r="1307" spans="1:11">
      <c r="A1307">
        <v>100001306</v>
      </c>
      <c r="B1307" t="s">
        <v>244</v>
      </c>
      <c r="C1307" t="s">
        <v>295</v>
      </c>
      <c r="D1307" t="s">
        <v>16</v>
      </c>
      <c r="E1307" s="9">
        <v>33</v>
      </c>
      <c r="F1307" t="s">
        <v>12</v>
      </c>
      <c r="G1307" t="s">
        <v>18</v>
      </c>
      <c r="H1307" s="8">
        <v>42207</v>
      </c>
      <c r="I1307">
        <v>32418.13</v>
      </c>
      <c r="K1307" s="8"/>
    </row>
    <row r="1308" spans="1:11">
      <c r="A1308">
        <v>100001307</v>
      </c>
      <c r="B1308" t="s">
        <v>28</v>
      </c>
      <c r="C1308" t="s">
        <v>281</v>
      </c>
      <c r="D1308" t="s">
        <v>16</v>
      </c>
      <c r="E1308" s="9">
        <v>31</v>
      </c>
      <c r="F1308" t="s">
        <v>12</v>
      </c>
      <c r="G1308" t="s">
        <v>13</v>
      </c>
      <c r="H1308" s="7">
        <v>42207</v>
      </c>
      <c r="I1308">
        <v>183467.7</v>
      </c>
      <c r="K1308" s="7"/>
    </row>
    <row r="1309" spans="1:11">
      <c r="A1309">
        <v>100001308</v>
      </c>
      <c r="B1309" t="s">
        <v>302</v>
      </c>
      <c r="C1309" t="s">
        <v>281</v>
      </c>
      <c r="D1309" t="s">
        <v>16</v>
      </c>
      <c r="E1309" s="9">
        <v>51</v>
      </c>
      <c r="F1309" t="s">
        <v>12</v>
      </c>
      <c r="G1309" t="s">
        <v>13</v>
      </c>
      <c r="H1309" s="8">
        <v>42207</v>
      </c>
      <c r="I1309">
        <v>58655.75</v>
      </c>
      <c r="K1309" s="8"/>
    </row>
    <row r="1310" spans="1:11">
      <c r="A1310">
        <v>100001309</v>
      </c>
      <c r="B1310" t="s">
        <v>311</v>
      </c>
      <c r="C1310" t="s">
        <v>297</v>
      </c>
      <c r="D1310" t="s">
        <v>11</v>
      </c>
      <c r="E1310" s="9">
        <v>35</v>
      </c>
      <c r="F1310" t="s">
        <v>12</v>
      </c>
      <c r="G1310" t="s">
        <v>13</v>
      </c>
      <c r="H1310" s="7">
        <v>42207</v>
      </c>
      <c r="I1310">
        <v>125015.82</v>
      </c>
      <c r="K1310" s="7"/>
    </row>
    <row r="1311" spans="1:11">
      <c r="A1311">
        <v>100001310</v>
      </c>
      <c r="B1311" t="s">
        <v>231</v>
      </c>
      <c r="C1311" t="s">
        <v>124</v>
      </c>
      <c r="D1311" t="s">
        <v>11</v>
      </c>
      <c r="E1311" s="9">
        <v>30</v>
      </c>
      <c r="F1311" t="s">
        <v>12</v>
      </c>
      <c r="G1311" t="s">
        <v>13</v>
      </c>
      <c r="H1311" s="8">
        <v>42207</v>
      </c>
      <c r="I1311">
        <v>21014.53</v>
      </c>
      <c r="K1311" s="8"/>
    </row>
    <row r="1312" spans="1:11">
      <c r="A1312">
        <v>100001311</v>
      </c>
      <c r="B1312" t="s">
        <v>149</v>
      </c>
      <c r="C1312" t="s">
        <v>103</v>
      </c>
      <c r="D1312" t="s">
        <v>16</v>
      </c>
      <c r="E1312" s="9">
        <v>39</v>
      </c>
      <c r="F1312" t="s">
        <v>12</v>
      </c>
      <c r="G1312" t="s">
        <v>18</v>
      </c>
      <c r="H1312" s="7">
        <v>42207</v>
      </c>
      <c r="I1312">
        <v>63992.1</v>
      </c>
      <c r="K1312" s="7"/>
    </row>
    <row r="1313" spans="1:11">
      <c r="A1313">
        <v>100001312</v>
      </c>
      <c r="B1313" t="s">
        <v>68</v>
      </c>
      <c r="C1313" t="s">
        <v>123</v>
      </c>
      <c r="D1313" t="s">
        <v>16</v>
      </c>
      <c r="E1313" s="9">
        <v>38</v>
      </c>
      <c r="F1313" t="s">
        <v>12</v>
      </c>
      <c r="G1313" t="s">
        <v>13</v>
      </c>
      <c r="H1313" s="8">
        <v>42207</v>
      </c>
      <c r="I1313">
        <v>18578.98</v>
      </c>
      <c r="K1313" s="8"/>
    </row>
    <row r="1314" spans="1:11">
      <c r="A1314">
        <v>100001313</v>
      </c>
      <c r="B1314" t="s">
        <v>101</v>
      </c>
      <c r="C1314" t="s">
        <v>63</v>
      </c>
      <c r="D1314" t="s">
        <v>11</v>
      </c>
      <c r="E1314" s="9">
        <v>27</v>
      </c>
      <c r="F1314" t="s">
        <v>12</v>
      </c>
      <c r="G1314" t="s">
        <v>18</v>
      </c>
      <c r="H1314" s="7">
        <v>42207</v>
      </c>
      <c r="I1314">
        <v>25524.720000000001</v>
      </c>
      <c r="K1314" s="7"/>
    </row>
    <row r="1315" spans="1:11">
      <c r="A1315">
        <v>100001314</v>
      </c>
      <c r="B1315" t="s">
        <v>122</v>
      </c>
      <c r="C1315" t="s">
        <v>189</v>
      </c>
      <c r="D1315" t="s">
        <v>11</v>
      </c>
      <c r="E1315" s="9">
        <v>32</v>
      </c>
      <c r="F1315" t="s">
        <v>12</v>
      </c>
      <c r="G1315" t="s">
        <v>13</v>
      </c>
      <c r="H1315" s="8">
        <v>42207</v>
      </c>
      <c r="I1315">
        <v>4287.63</v>
      </c>
      <c r="K1315" s="8"/>
    </row>
    <row r="1316" spans="1:11">
      <c r="A1316">
        <v>100001315</v>
      </c>
      <c r="B1316" t="s">
        <v>226</v>
      </c>
      <c r="C1316" t="s">
        <v>95</v>
      </c>
      <c r="D1316" t="s">
        <v>16</v>
      </c>
      <c r="E1316" s="9">
        <v>28</v>
      </c>
      <c r="F1316" t="s">
        <v>12</v>
      </c>
      <c r="G1316" t="s">
        <v>13</v>
      </c>
      <c r="H1316" s="7">
        <v>42207</v>
      </c>
      <c r="I1316">
        <v>31066.94</v>
      </c>
      <c r="K1316" s="7"/>
    </row>
    <row r="1317" spans="1:11">
      <c r="A1317">
        <v>100001316</v>
      </c>
      <c r="B1317" t="s">
        <v>9</v>
      </c>
      <c r="C1317" t="s">
        <v>242</v>
      </c>
      <c r="D1317" t="s">
        <v>11</v>
      </c>
      <c r="E1317" s="9">
        <v>25</v>
      </c>
      <c r="F1317" t="s">
        <v>12</v>
      </c>
      <c r="G1317" t="s">
        <v>13</v>
      </c>
      <c r="H1317" s="8">
        <v>42207</v>
      </c>
      <c r="I1317">
        <v>123865.36</v>
      </c>
      <c r="K1317" s="8"/>
    </row>
    <row r="1318" spans="1:11">
      <c r="A1318">
        <v>100001317</v>
      </c>
      <c r="B1318" t="s">
        <v>308</v>
      </c>
      <c r="C1318" t="s">
        <v>205</v>
      </c>
      <c r="D1318" t="s">
        <v>16</v>
      </c>
      <c r="E1318" s="9">
        <v>29</v>
      </c>
      <c r="F1318" t="s">
        <v>12</v>
      </c>
      <c r="G1318" t="s">
        <v>18</v>
      </c>
      <c r="H1318" s="7">
        <v>42207</v>
      </c>
      <c r="I1318">
        <v>1434.13</v>
      </c>
      <c r="K1318" s="7"/>
    </row>
    <row r="1319" spans="1:11">
      <c r="A1319">
        <v>100001318</v>
      </c>
      <c r="B1319" t="s">
        <v>133</v>
      </c>
      <c r="C1319" t="s">
        <v>39</v>
      </c>
      <c r="D1319" t="s">
        <v>11</v>
      </c>
      <c r="E1319" s="9">
        <v>37</v>
      </c>
      <c r="F1319" t="s">
        <v>12</v>
      </c>
      <c r="G1319" t="s">
        <v>18</v>
      </c>
      <c r="H1319" s="8">
        <v>42207</v>
      </c>
      <c r="I1319">
        <v>5234.01</v>
      </c>
      <c r="K1319" s="8"/>
    </row>
    <row r="1320" spans="1:11">
      <c r="A1320">
        <v>100001319</v>
      </c>
      <c r="B1320" t="s">
        <v>161</v>
      </c>
      <c r="C1320" t="s">
        <v>152</v>
      </c>
      <c r="D1320" t="s">
        <v>16</v>
      </c>
      <c r="E1320" s="9">
        <v>21</v>
      </c>
      <c r="F1320" t="s">
        <v>12</v>
      </c>
      <c r="G1320" t="s">
        <v>18</v>
      </c>
      <c r="H1320" s="7">
        <v>42207</v>
      </c>
      <c r="I1320">
        <v>59639.46</v>
      </c>
      <c r="K1320" s="7"/>
    </row>
    <row r="1321" spans="1:11">
      <c r="A1321">
        <v>100001320</v>
      </c>
      <c r="B1321" t="s">
        <v>154</v>
      </c>
      <c r="C1321" t="s">
        <v>198</v>
      </c>
      <c r="D1321" t="s">
        <v>16</v>
      </c>
      <c r="E1321" s="9">
        <v>38</v>
      </c>
      <c r="F1321" t="s">
        <v>12</v>
      </c>
      <c r="G1321" t="s">
        <v>13</v>
      </c>
      <c r="H1321" s="8">
        <v>42207</v>
      </c>
      <c r="I1321">
        <v>11.52</v>
      </c>
      <c r="K1321" s="8"/>
    </row>
    <row r="1322" spans="1:11">
      <c r="A1322">
        <v>100001321</v>
      </c>
      <c r="B1322" t="s">
        <v>207</v>
      </c>
      <c r="C1322" t="s">
        <v>20</v>
      </c>
      <c r="D1322" t="s">
        <v>11</v>
      </c>
      <c r="E1322" s="9">
        <v>37</v>
      </c>
      <c r="F1322" t="s">
        <v>12</v>
      </c>
      <c r="G1322" t="s">
        <v>13</v>
      </c>
      <c r="H1322" s="7">
        <v>42207</v>
      </c>
      <c r="I1322">
        <v>28244.63</v>
      </c>
      <c r="K1322" s="7"/>
    </row>
    <row r="1323" spans="1:11">
      <c r="A1323">
        <v>100001322</v>
      </c>
      <c r="B1323" t="s">
        <v>256</v>
      </c>
      <c r="C1323" t="s">
        <v>130</v>
      </c>
      <c r="D1323" t="s">
        <v>16</v>
      </c>
      <c r="E1323" s="9">
        <v>40</v>
      </c>
      <c r="F1323" t="s">
        <v>12</v>
      </c>
      <c r="G1323" t="s">
        <v>13</v>
      </c>
      <c r="H1323" s="8">
        <v>42207</v>
      </c>
      <c r="I1323">
        <v>5585.36</v>
      </c>
      <c r="K1323" s="8"/>
    </row>
    <row r="1324" spans="1:11">
      <c r="A1324">
        <v>100001323</v>
      </c>
      <c r="B1324" t="s">
        <v>197</v>
      </c>
      <c r="C1324" t="s">
        <v>142</v>
      </c>
      <c r="D1324" t="s">
        <v>11</v>
      </c>
      <c r="E1324" s="9">
        <v>30</v>
      </c>
      <c r="F1324" t="s">
        <v>12</v>
      </c>
      <c r="G1324" t="s">
        <v>13</v>
      </c>
      <c r="H1324" s="7">
        <v>42207</v>
      </c>
      <c r="I1324">
        <v>27891.74</v>
      </c>
      <c r="K1324" s="7"/>
    </row>
    <row r="1325" spans="1:11">
      <c r="A1325">
        <v>100001324</v>
      </c>
      <c r="B1325" t="s">
        <v>55</v>
      </c>
      <c r="C1325" t="s">
        <v>63</v>
      </c>
      <c r="D1325" t="s">
        <v>11</v>
      </c>
      <c r="E1325" s="9">
        <v>35</v>
      </c>
      <c r="F1325" t="s">
        <v>12</v>
      </c>
      <c r="G1325" t="s">
        <v>13</v>
      </c>
      <c r="H1325" s="8">
        <v>42207</v>
      </c>
      <c r="I1325">
        <v>8167.59</v>
      </c>
      <c r="K1325" s="8"/>
    </row>
    <row r="1326" spans="1:11">
      <c r="A1326">
        <v>100001325</v>
      </c>
      <c r="B1326" t="s">
        <v>83</v>
      </c>
      <c r="C1326" t="s">
        <v>222</v>
      </c>
      <c r="D1326" t="s">
        <v>16</v>
      </c>
      <c r="E1326" s="9">
        <v>35</v>
      </c>
      <c r="F1326" t="s">
        <v>12</v>
      </c>
      <c r="G1326" t="s">
        <v>13</v>
      </c>
      <c r="H1326" s="7">
        <v>42207</v>
      </c>
      <c r="I1326">
        <v>43139.15</v>
      </c>
      <c r="K1326" s="7"/>
    </row>
    <row r="1327" spans="1:11">
      <c r="A1327">
        <v>200001326</v>
      </c>
      <c r="B1327" t="s">
        <v>223</v>
      </c>
      <c r="C1327" t="s">
        <v>27</v>
      </c>
      <c r="D1327" t="s">
        <v>16</v>
      </c>
      <c r="E1327" s="9">
        <v>53</v>
      </c>
      <c r="F1327" t="s">
        <v>32</v>
      </c>
      <c r="G1327" t="s">
        <v>33</v>
      </c>
      <c r="H1327" s="8">
        <v>42207</v>
      </c>
      <c r="I1327">
        <v>40931.279999999999</v>
      </c>
      <c r="K1327" s="8"/>
    </row>
    <row r="1328" spans="1:11">
      <c r="A1328">
        <v>200001327</v>
      </c>
      <c r="B1328" t="s">
        <v>118</v>
      </c>
      <c r="C1328" t="s">
        <v>39</v>
      </c>
      <c r="D1328" t="s">
        <v>11</v>
      </c>
      <c r="E1328" s="9">
        <v>44</v>
      </c>
      <c r="F1328" t="s">
        <v>32</v>
      </c>
      <c r="G1328" t="s">
        <v>33</v>
      </c>
      <c r="H1328" s="7">
        <v>42207</v>
      </c>
      <c r="I1328">
        <v>30778.33</v>
      </c>
      <c r="K1328" s="7"/>
    </row>
    <row r="1329" spans="1:11">
      <c r="A1329">
        <v>200001328</v>
      </c>
      <c r="B1329" t="s">
        <v>152</v>
      </c>
      <c r="C1329" t="s">
        <v>216</v>
      </c>
      <c r="D1329" t="s">
        <v>11</v>
      </c>
      <c r="E1329" s="9">
        <v>44</v>
      </c>
      <c r="F1329" t="s">
        <v>32</v>
      </c>
      <c r="G1329" t="s">
        <v>18</v>
      </c>
      <c r="H1329" s="8">
        <v>42207</v>
      </c>
      <c r="I1329">
        <v>37315.31</v>
      </c>
      <c r="K1329" s="8"/>
    </row>
    <row r="1330" spans="1:11">
      <c r="A1330">
        <v>200001329</v>
      </c>
      <c r="B1330" t="s">
        <v>149</v>
      </c>
      <c r="C1330" t="s">
        <v>77</v>
      </c>
      <c r="D1330" t="s">
        <v>16</v>
      </c>
      <c r="E1330" s="9">
        <v>43</v>
      </c>
      <c r="F1330" t="s">
        <v>32</v>
      </c>
      <c r="G1330" t="s">
        <v>33</v>
      </c>
      <c r="H1330" s="7">
        <v>42207</v>
      </c>
      <c r="I1330">
        <v>3893.42</v>
      </c>
      <c r="K1330" s="7"/>
    </row>
    <row r="1331" spans="1:11">
      <c r="A1331">
        <v>200001330</v>
      </c>
      <c r="B1331" t="s">
        <v>159</v>
      </c>
      <c r="C1331" t="s">
        <v>93</v>
      </c>
      <c r="D1331" t="s">
        <v>11</v>
      </c>
      <c r="E1331" s="9">
        <v>19</v>
      </c>
      <c r="F1331" t="s">
        <v>32</v>
      </c>
      <c r="G1331" t="s">
        <v>13</v>
      </c>
      <c r="H1331" s="8">
        <v>42207</v>
      </c>
      <c r="I1331">
        <v>9758.09</v>
      </c>
      <c r="K1331" s="8"/>
    </row>
    <row r="1332" spans="1:11">
      <c r="A1332">
        <v>200001331</v>
      </c>
      <c r="B1332" t="s">
        <v>120</v>
      </c>
      <c r="C1332" t="s">
        <v>142</v>
      </c>
      <c r="D1332" t="s">
        <v>16</v>
      </c>
      <c r="E1332" s="9">
        <v>56</v>
      </c>
      <c r="F1332" t="s">
        <v>32</v>
      </c>
      <c r="G1332" t="s">
        <v>33</v>
      </c>
      <c r="H1332" s="7">
        <v>42207</v>
      </c>
      <c r="I1332">
        <v>6197.21</v>
      </c>
      <c r="K1332" s="7"/>
    </row>
    <row r="1333" spans="1:11">
      <c r="A1333">
        <v>200001332</v>
      </c>
      <c r="B1333" t="s">
        <v>79</v>
      </c>
      <c r="C1333" t="s">
        <v>270</v>
      </c>
      <c r="D1333" t="s">
        <v>11</v>
      </c>
      <c r="E1333" s="9">
        <v>49</v>
      </c>
      <c r="F1333" t="s">
        <v>32</v>
      </c>
      <c r="G1333" t="s">
        <v>18</v>
      </c>
      <c r="H1333" s="8">
        <v>42207</v>
      </c>
      <c r="I1333">
        <v>79844.5</v>
      </c>
      <c r="K1333" s="8"/>
    </row>
    <row r="1334" spans="1:11">
      <c r="A1334">
        <v>200001333</v>
      </c>
      <c r="B1334" t="s">
        <v>214</v>
      </c>
      <c r="C1334" t="s">
        <v>69</v>
      </c>
      <c r="D1334" t="s">
        <v>11</v>
      </c>
      <c r="E1334" s="9">
        <v>55</v>
      </c>
      <c r="F1334" t="s">
        <v>32</v>
      </c>
      <c r="G1334" t="s">
        <v>18</v>
      </c>
      <c r="H1334" s="7">
        <v>42207</v>
      </c>
      <c r="I1334">
        <v>31708.22</v>
      </c>
      <c r="K1334" s="7"/>
    </row>
    <row r="1335" spans="1:11">
      <c r="A1335">
        <v>200001334</v>
      </c>
      <c r="B1335" t="s">
        <v>60</v>
      </c>
      <c r="C1335" t="s">
        <v>164</v>
      </c>
      <c r="D1335" t="s">
        <v>11</v>
      </c>
      <c r="E1335" s="9">
        <v>40</v>
      </c>
      <c r="F1335" t="s">
        <v>32</v>
      </c>
      <c r="G1335" t="s">
        <v>33</v>
      </c>
      <c r="H1335" s="8">
        <v>42207</v>
      </c>
      <c r="I1335">
        <v>4076.19</v>
      </c>
      <c r="K1335" s="8"/>
    </row>
    <row r="1336" spans="1:11">
      <c r="A1336">
        <v>200001335</v>
      </c>
      <c r="B1336" t="s">
        <v>213</v>
      </c>
      <c r="C1336" t="s">
        <v>240</v>
      </c>
      <c r="D1336" t="s">
        <v>11</v>
      </c>
      <c r="E1336" s="9">
        <v>55</v>
      </c>
      <c r="F1336" t="s">
        <v>32</v>
      </c>
      <c r="G1336" t="s">
        <v>18</v>
      </c>
      <c r="H1336" s="7">
        <v>42207</v>
      </c>
      <c r="I1336">
        <v>54622.95</v>
      </c>
      <c r="K1336" s="7"/>
    </row>
    <row r="1337" spans="1:11">
      <c r="A1337">
        <v>300001336</v>
      </c>
      <c r="B1337" t="s">
        <v>122</v>
      </c>
      <c r="C1337" t="s">
        <v>310</v>
      </c>
      <c r="D1337" t="s">
        <v>11</v>
      </c>
      <c r="E1337" s="9">
        <v>47</v>
      </c>
      <c r="F1337" t="s">
        <v>23</v>
      </c>
      <c r="G1337" t="s">
        <v>13</v>
      </c>
      <c r="H1337" s="8">
        <v>42207</v>
      </c>
      <c r="I1337">
        <v>65701.279999999999</v>
      </c>
      <c r="K1337" s="8"/>
    </row>
    <row r="1338" spans="1:11">
      <c r="A1338">
        <v>300001337</v>
      </c>
      <c r="B1338" t="s">
        <v>92</v>
      </c>
      <c r="C1338" t="s">
        <v>164</v>
      </c>
      <c r="D1338" t="s">
        <v>16</v>
      </c>
      <c r="E1338" s="9">
        <v>38</v>
      </c>
      <c r="F1338" t="s">
        <v>23</v>
      </c>
      <c r="G1338" t="s">
        <v>13</v>
      </c>
      <c r="H1338" s="7">
        <v>42207</v>
      </c>
      <c r="I1338">
        <v>60149.63</v>
      </c>
      <c r="K1338" s="7"/>
    </row>
    <row r="1339" spans="1:11">
      <c r="A1339">
        <v>300001338</v>
      </c>
      <c r="B1339" t="s">
        <v>101</v>
      </c>
      <c r="C1339" t="s">
        <v>130</v>
      </c>
      <c r="D1339" t="s">
        <v>11</v>
      </c>
      <c r="E1339" s="9">
        <v>44</v>
      </c>
      <c r="F1339" t="s">
        <v>23</v>
      </c>
      <c r="G1339" t="s">
        <v>13</v>
      </c>
      <c r="H1339" s="8">
        <v>42207</v>
      </c>
      <c r="I1339">
        <v>110880.94</v>
      </c>
      <c r="K1339" s="8"/>
    </row>
    <row r="1340" spans="1:11">
      <c r="A1340">
        <v>300001339</v>
      </c>
      <c r="B1340" t="s">
        <v>324</v>
      </c>
      <c r="C1340" t="s">
        <v>272</v>
      </c>
      <c r="D1340" t="s">
        <v>16</v>
      </c>
      <c r="E1340" s="9">
        <v>40</v>
      </c>
      <c r="F1340" t="s">
        <v>23</v>
      </c>
      <c r="G1340" t="s">
        <v>33</v>
      </c>
      <c r="H1340" s="7">
        <v>42207</v>
      </c>
      <c r="I1340">
        <v>37204.58</v>
      </c>
      <c r="K1340" s="7"/>
    </row>
    <row r="1341" spans="1:11">
      <c r="A1341">
        <v>300001340</v>
      </c>
      <c r="B1341" t="s">
        <v>30</v>
      </c>
      <c r="C1341" t="s">
        <v>153</v>
      </c>
      <c r="D1341" t="s">
        <v>16</v>
      </c>
      <c r="E1341" s="9">
        <v>42</v>
      </c>
      <c r="F1341" t="s">
        <v>23</v>
      </c>
      <c r="G1341" t="s">
        <v>33</v>
      </c>
      <c r="H1341" s="8">
        <v>42207</v>
      </c>
      <c r="I1341">
        <v>55359.26</v>
      </c>
      <c r="K1341" s="8"/>
    </row>
    <row r="1342" spans="1:11">
      <c r="A1342">
        <v>300001341</v>
      </c>
      <c r="B1342" t="s">
        <v>293</v>
      </c>
      <c r="C1342" t="s">
        <v>121</v>
      </c>
      <c r="D1342" t="s">
        <v>11</v>
      </c>
      <c r="E1342" s="9">
        <v>28</v>
      </c>
      <c r="F1342" t="s">
        <v>23</v>
      </c>
      <c r="G1342" t="s">
        <v>13</v>
      </c>
      <c r="H1342" s="7">
        <v>42207</v>
      </c>
      <c r="I1342">
        <v>121021.5</v>
      </c>
      <c r="K1342" s="7"/>
    </row>
    <row r="1343" spans="1:11">
      <c r="A1343">
        <v>400001342</v>
      </c>
      <c r="B1343" t="s">
        <v>317</v>
      </c>
      <c r="C1343" t="s">
        <v>224</v>
      </c>
      <c r="D1343" t="s">
        <v>16</v>
      </c>
      <c r="E1343" s="9">
        <v>36</v>
      </c>
      <c r="F1343" t="s">
        <v>17</v>
      </c>
      <c r="G1343" t="s">
        <v>33</v>
      </c>
      <c r="H1343" s="8">
        <v>42207</v>
      </c>
      <c r="I1343">
        <v>49294.33</v>
      </c>
      <c r="K1343" s="8"/>
    </row>
    <row r="1344" spans="1:11">
      <c r="A1344">
        <v>400001343</v>
      </c>
      <c r="B1344" t="s">
        <v>83</v>
      </c>
      <c r="C1344" t="s">
        <v>140</v>
      </c>
      <c r="D1344" t="s">
        <v>16</v>
      </c>
      <c r="E1344" s="9">
        <v>31</v>
      </c>
      <c r="F1344" t="s">
        <v>17</v>
      </c>
      <c r="G1344" t="s">
        <v>33</v>
      </c>
      <c r="H1344" s="7">
        <v>42207</v>
      </c>
      <c r="I1344">
        <v>6631.42</v>
      </c>
      <c r="K1344" s="7"/>
    </row>
    <row r="1345" spans="1:11">
      <c r="A1345">
        <v>400001344</v>
      </c>
      <c r="B1345" t="s">
        <v>296</v>
      </c>
      <c r="C1345" t="s">
        <v>305</v>
      </c>
      <c r="D1345" t="s">
        <v>11</v>
      </c>
      <c r="E1345" s="9">
        <v>26</v>
      </c>
      <c r="F1345" t="s">
        <v>17</v>
      </c>
      <c r="G1345" t="s">
        <v>33</v>
      </c>
      <c r="H1345" s="8">
        <v>42207</v>
      </c>
      <c r="I1345">
        <v>39569.449999999997</v>
      </c>
      <c r="K1345" s="8"/>
    </row>
    <row r="1346" spans="1:11">
      <c r="A1346">
        <v>100001345</v>
      </c>
      <c r="B1346" t="s">
        <v>60</v>
      </c>
      <c r="C1346" t="s">
        <v>305</v>
      </c>
      <c r="D1346" t="s">
        <v>11</v>
      </c>
      <c r="E1346" s="9">
        <v>46</v>
      </c>
      <c r="F1346" t="s">
        <v>12</v>
      </c>
      <c r="G1346" t="s">
        <v>13</v>
      </c>
      <c r="H1346" s="7">
        <v>42208</v>
      </c>
      <c r="I1346">
        <v>49511.64</v>
      </c>
      <c r="K1346" s="7"/>
    </row>
    <row r="1347" spans="1:11">
      <c r="A1347">
        <v>100001346</v>
      </c>
      <c r="B1347" t="s">
        <v>24</v>
      </c>
      <c r="C1347" t="s">
        <v>266</v>
      </c>
      <c r="D1347" t="s">
        <v>16</v>
      </c>
      <c r="E1347" s="9">
        <v>33</v>
      </c>
      <c r="F1347" t="s">
        <v>12</v>
      </c>
      <c r="G1347" t="s">
        <v>13</v>
      </c>
      <c r="H1347" s="8">
        <v>42208</v>
      </c>
      <c r="I1347">
        <v>14121.7</v>
      </c>
      <c r="K1347" s="8"/>
    </row>
    <row r="1348" spans="1:11">
      <c r="A1348">
        <v>100001347</v>
      </c>
      <c r="B1348" t="s">
        <v>44</v>
      </c>
      <c r="C1348" t="s">
        <v>15</v>
      </c>
      <c r="D1348" t="s">
        <v>16</v>
      </c>
      <c r="E1348" s="9">
        <v>42</v>
      </c>
      <c r="F1348" t="s">
        <v>12</v>
      </c>
      <c r="G1348" t="s">
        <v>13</v>
      </c>
      <c r="H1348" s="7">
        <v>42208</v>
      </c>
      <c r="I1348">
        <v>96844.75</v>
      </c>
      <c r="K1348" s="7"/>
    </row>
    <row r="1349" spans="1:11">
      <c r="A1349">
        <v>100001348</v>
      </c>
      <c r="B1349" t="s">
        <v>244</v>
      </c>
      <c r="C1349" t="s">
        <v>54</v>
      </c>
      <c r="D1349" t="s">
        <v>16</v>
      </c>
      <c r="E1349" s="9">
        <v>35</v>
      </c>
      <c r="F1349" t="s">
        <v>12</v>
      </c>
      <c r="G1349" t="s">
        <v>13</v>
      </c>
      <c r="H1349" s="8">
        <v>42208</v>
      </c>
      <c r="I1349">
        <v>31392.78</v>
      </c>
      <c r="K1349" s="8"/>
    </row>
    <row r="1350" spans="1:11">
      <c r="A1350">
        <v>100001349</v>
      </c>
      <c r="B1350" t="s">
        <v>79</v>
      </c>
      <c r="C1350" t="s">
        <v>209</v>
      </c>
      <c r="D1350" t="s">
        <v>11</v>
      </c>
      <c r="E1350" s="9">
        <v>44</v>
      </c>
      <c r="F1350" t="s">
        <v>12</v>
      </c>
      <c r="G1350" t="s">
        <v>13</v>
      </c>
      <c r="H1350" s="7">
        <v>42208</v>
      </c>
      <c r="I1350">
        <v>60906.04</v>
      </c>
      <c r="K1350" s="7"/>
    </row>
    <row r="1351" spans="1:11">
      <c r="A1351">
        <v>200001350</v>
      </c>
      <c r="B1351" t="s">
        <v>218</v>
      </c>
      <c r="C1351" t="s">
        <v>75</v>
      </c>
      <c r="D1351" t="s">
        <v>11</v>
      </c>
      <c r="E1351" s="9">
        <v>46</v>
      </c>
      <c r="F1351" t="s">
        <v>32</v>
      </c>
      <c r="G1351" t="s">
        <v>18</v>
      </c>
      <c r="H1351" s="8">
        <v>42208</v>
      </c>
      <c r="I1351">
        <v>9163.19</v>
      </c>
      <c r="K1351" s="8"/>
    </row>
    <row r="1352" spans="1:11">
      <c r="A1352">
        <v>200001351</v>
      </c>
      <c r="B1352" t="s">
        <v>283</v>
      </c>
      <c r="C1352" t="s">
        <v>31</v>
      </c>
      <c r="D1352" t="s">
        <v>11</v>
      </c>
      <c r="E1352" s="9">
        <v>45</v>
      </c>
      <c r="F1352" t="s">
        <v>32</v>
      </c>
      <c r="G1352" t="s">
        <v>18</v>
      </c>
      <c r="H1352" s="7">
        <v>42208</v>
      </c>
      <c r="I1352">
        <v>39198.79</v>
      </c>
      <c r="K1352" s="7"/>
    </row>
    <row r="1353" spans="1:11">
      <c r="A1353">
        <v>200001352</v>
      </c>
      <c r="B1353" t="s">
        <v>14</v>
      </c>
      <c r="C1353" t="s">
        <v>121</v>
      </c>
      <c r="D1353" t="s">
        <v>16</v>
      </c>
      <c r="E1353" s="9">
        <v>49</v>
      </c>
      <c r="F1353" t="s">
        <v>32</v>
      </c>
      <c r="G1353" t="s">
        <v>33</v>
      </c>
      <c r="H1353" s="8">
        <v>42208</v>
      </c>
      <c r="I1353">
        <v>21093.17</v>
      </c>
      <c r="K1353" s="8"/>
    </row>
    <row r="1354" spans="1:11">
      <c r="A1354">
        <v>300001353</v>
      </c>
      <c r="B1354" t="s">
        <v>120</v>
      </c>
      <c r="C1354" t="s">
        <v>189</v>
      </c>
      <c r="D1354" t="s">
        <v>16</v>
      </c>
      <c r="E1354" s="9">
        <v>34</v>
      </c>
      <c r="F1354" t="s">
        <v>23</v>
      </c>
      <c r="G1354" t="s">
        <v>13</v>
      </c>
      <c r="H1354" s="7">
        <v>42208</v>
      </c>
      <c r="I1354">
        <v>15478.24</v>
      </c>
      <c r="K1354" s="7"/>
    </row>
    <row r="1355" spans="1:11">
      <c r="A1355">
        <v>300001354</v>
      </c>
      <c r="B1355" t="s">
        <v>213</v>
      </c>
      <c r="C1355" t="s">
        <v>59</v>
      </c>
      <c r="D1355" t="s">
        <v>11</v>
      </c>
      <c r="E1355" s="9">
        <v>41</v>
      </c>
      <c r="F1355" t="s">
        <v>23</v>
      </c>
      <c r="G1355" t="s">
        <v>13</v>
      </c>
      <c r="H1355" s="8">
        <v>42208</v>
      </c>
      <c r="I1355">
        <v>25581.54</v>
      </c>
      <c r="K1355" s="8"/>
    </row>
    <row r="1356" spans="1:11">
      <c r="A1356">
        <v>400001355</v>
      </c>
      <c r="B1356" t="s">
        <v>141</v>
      </c>
      <c r="C1356" t="s">
        <v>253</v>
      </c>
      <c r="D1356" t="s">
        <v>11</v>
      </c>
      <c r="E1356" s="9">
        <v>25</v>
      </c>
      <c r="F1356" t="s">
        <v>17</v>
      </c>
      <c r="G1356" t="s">
        <v>33</v>
      </c>
      <c r="H1356" s="7">
        <v>42208</v>
      </c>
      <c r="I1356">
        <v>44575.02</v>
      </c>
      <c r="K1356" s="7"/>
    </row>
    <row r="1357" spans="1:11">
      <c r="A1357">
        <v>100001356</v>
      </c>
      <c r="B1357" t="s">
        <v>276</v>
      </c>
      <c r="C1357" t="s">
        <v>313</v>
      </c>
      <c r="D1357" t="s">
        <v>16</v>
      </c>
      <c r="E1357" s="9">
        <v>34</v>
      </c>
      <c r="F1357" t="s">
        <v>12</v>
      </c>
      <c r="G1357" t="s">
        <v>13</v>
      </c>
      <c r="H1357" s="8">
        <v>42209</v>
      </c>
      <c r="I1357">
        <v>4056.75</v>
      </c>
      <c r="K1357" s="8"/>
    </row>
    <row r="1358" spans="1:11">
      <c r="A1358">
        <v>100001357</v>
      </c>
      <c r="B1358" t="s">
        <v>148</v>
      </c>
      <c r="C1358" t="s">
        <v>104</v>
      </c>
      <c r="D1358" t="s">
        <v>11</v>
      </c>
      <c r="E1358" s="9">
        <v>40</v>
      </c>
      <c r="F1358" t="s">
        <v>12</v>
      </c>
      <c r="G1358" t="s">
        <v>13</v>
      </c>
      <c r="H1358" s="7">
        <v>42209</v>
      </c>
      <c r="I1358">
        <v>67327.11</v>
      </c>
      <c r="K1358" s="7"/>
    </row>
    <row r="1359" spans="1:11">
      <c r="A1359">
        <v>100001358</v>
      </c>
      <c r="B1359" t="s">
        <v>90</v>
      </c>
      <c r="C1359" t="s">
        <v>277</v>
      </c>
      <c r="D1359" t="s">
        <v>11</v>
      </c>
      <c r="E1359" s="9">
        <v>49</v>
      </c>
      <c r="F1359" t="s">
        <v>12</v>
      </c>
      <c r="G1359" t="s">
        <v>33</v>
      </c>
      <c r="H1359" s="8">
        <v>42209</v>
      </c>
      <c r="I1359">
        <v>1426.26</v>
      </c>
      <c r="K1359" s="8"/>
    </row>
    <row r="1360" spans="1:11">
      <c r="A1360">
        <v>100001359</v>
      </c>
      <c r="B1360" t="s">
        <v>213</v>
      </c>
      <c r="C1360" t="s">
        <v>297</v>
      </c>
      <c r="D1360" t="s">
        <v>11</v>
      </c>
      <c r="E1360" s="9">
        <v>31</v>
      </c>
      <c r="F1360" t="s">
        <v>12</v>
      </c>
      <c r="G1360" t="s">
        <v>13</v>
      </c>
      <c r="H1360" s="7">
        <v>42209</v>
      </c>
      <c r="I1360">
        <v>24458</v>
      </c>
      <c r="K1360" s="7"/>
    </row>
    <row r="1361" spans="1:11">
      <c r="A1361">
        <v>100001360</v>
      </c>
      <c r="B1361" t="s">
        <v>261</v>
      </c>
      <c r="C1361" t="s">
        <v>219</v>
      </c>
      <c r="D1361" t="s">
        <v>11</v>
      </c>
      <c r="E1361" s="9">
        <v>37</v>
      </c>
      <c r="F1361" t="s">
        <v>12</v>
      </c>
      <c r="G1361" t="s">
        <v>13</v>
      </c>
      <c r="H1361" s="8">
        <v>42209</v>
      </c>
      <c r="I1361">
        <v>59430.45</v>
      </c>
      <c r="K1361" s="8"/>
    </row>
    <row r="1362" spans="1:11">
      <c r="A1362">
        <v>200001361</v>
      </c>
      <c r="B1362" t="s">
        <v>235</v>
      </c>
      <c r="C1362" t="s">
        <v>134</v>
      </c>
      <c r="D1362" t="s">
        <v>11</v>
      </c>
      <c r="E1362" s="9">
        <v>51</v>
      </c>
      <c r="F1362" t="s">
        <v>32</v>
      </c>
      <c r="G1362" t="s">
        <v>33</v>
      </c>
      <c r="H1362" s="7">
        <v>42209</v>
      </c>
      <c r="I1362">
        <v>25973.39</v>
      </c>
      <c r="K1362" s="7"/>
    </row>
    <row r="1363" spans="1:11">
      <c r="A1363">
        <v>100001362</v>
      </c>
      <c r="B1363" t="s">
        <v>324</v>
      </c>
      <c r="C1363" t="s">
        <v>198</v>
      </c>
      <c r="D1363" t="s">
        <v>16</v>
      </c>
      <c r="E1363" s="9">
        <v>29</v>
      </c>
      <c r="F1363" t="s">
        <v>12</v>
      </c>
      <c r="G1363" t="s">
        <v>18</v>
      </c>
      <c r="H1363" s="8">
        <v>42210</v>
      </c>
      <c r="I1363">
        <v>18984.55</v>
      </c>
      <c r="K1363" s="8"/>
    </row>
    <row r="1364" spans="1:11">
      <c r="A1364">
        <v>100001363</v>
      </c>
      <c r="B1364" t="s">
        <v>254</v>
      </c>
      <c r="C1364" t="s">
        <v>238</v>
      </c>
      <c r="D1364" t="s">
        <v>11</v>
      </c>
      <c r="E1364" s="9">
        <v>38</v>
      </c>
      <c r="F1364" t="s">
        <v>12</v>
      </c>
      <c r="G1364" t="s">
        <v>13</v>
      </c>
      <c r="H1364" s="7">
        <v>42210</v>
      </c>
      <c r="I1364">
        <v>77710.39</v>
      </c>
      <c r="K1364" s="7"/>
    </row>
    <row r="1365" spans="1:11">
      <c r="A1365">
        <v>100001364</v>
      </c>
      <c r="B1365" t="s">
        <v>81</v>
      </c>
      <c r="C1365" t="s">
        <v>275</v>
      </c>
      <c r="D1365" t="s">
        <v>16</v>
      </c>
      <c r="E1365" s="9">
        <v>35</v>
      </c>
      <c r="F1365" t="s">
        <v>12</v>
      </c>
      <c r="G1365" t="s">
        <v>18</v>
      </c>
      <c r="H1365" s="8">
        <v>42210</v>
      </c>
      <c r="I1365">
        <v>38448.21</v>
      </c>
      <c r="K1365" s="8"/>
    </row>
    <row r="1366" spans="1:11">
      <c r="A1366">
        <v>100001365</v>
      </c>
      <c r="B1366" t="s">
        <v>118</v>
      </c>
      <c r="C1366" t="s">
        <v>305</v>
      </c>
      <c r="D1366" t="s">
        <v>11</v>
      </c>
      <c r="E1366" s="9">
        <v>32</v>
      </c>
      <c r="F1366" t="s">
        <v>12</v>
      </c>
      <c r="G1366" t="s">
        <v>13</v>
      </c>
      <c r="H1366" s="7">
        <v>42210</v>
      </c>
      <c r="I1366">
        <v>79604.570000000007</v>
      </c>
      <c r="K1366" s="7"/>
    </row>
    <row r="1367" spans="1:11">
      <c r="A1367">
        <v>100001366</v>
      </c>
      <c r="B1367" t="s">
        <v>283</v>
      </c>
      <c r="C1367" t="s">
        <v>56</v>
      </c>
      <c r="D1367" t="s">
        <v>11</v>
      </c>
      <c r="E1367" s="9">
        <v>41</v>
      </c>
      <c r="F1367" t="s">
        <v>12</v>
      </c>
      <c r="G1367" t="s">
        <v>18</v>
      </c>
      <c r="H1367" s="8">
        <v>42210</v>
      </c>
      <c r="I1367">
        <v>84302.39</v>
      </c>
      <c r="K1367" s="8"/>
    </row>
    <row r="1368" spans="1:11">
      <c r="A1368">
        <v>100001367</v>
      </c>
      <c r="B1368" t="s">
        <v>36</v>
      </c>
      <c r="C1368" t="s">
        <v>225</v>
      </c>
      <c r="D1368" t="s">
        <v>11</v>
      </c>
      <c r="E1368" s="9">
        <v>33</v>
      </c>
      <c r="F1368" t="s">
        <v>12</v>
      </c>
      <c r="G1368" t="s">
        <v>18</v>
      </c>
      <c r="H1368" s="7">
        <v>42210</v>
      </c>
      <c r="I1368">
        <v>70028.94</v>
      </c>
      <c r="K1368" s="7"/>
    </row>
    <row r="1369" spans="1:11">
      <c r="A1369">
        <v>100001368</v>
      </c>
      <c r="B1369" t="s">
        <v>38</v>
      </c>
      <c r="C1369" t="s">
        <v>225</v>
      </c>
      <c r="D1369" t="s">
        <v>11</v>
      </c>
      <c r="E1369" s="9">
        <v>19</v>
      </c>
      <c r="F1369" t="s">
        <v>12</v>
      </c>
      <c r="G1369" t="s">
        <v>13</v>
      </c>
      <c r="H1369" s="8">
        <v>42210</v>
      </c>
      <c r="I1369">
        <v>68980.3</v>
      </c>
      <c r="K1369" s="8"/>
    </row>
    <row r="1370" spans="1:11">
      <c r="A1370">
        <v>100001369</v>
      </c>
      <c r="B1370" t="s">
        <v>265</v>
      </c>
      <c r="C1370" t="s">
        <v>246</v>
      </c>
      <c r="D1370" t="s">
        <v>16</v>
      </c>
      <c r="E1370" s="9">
        <v>49</v>
      </c>
      <c r="F1370" t="s">
        <v>12</v>
      </c>
      <c r="G1370" t="s">
        <v>13</v>
      </c>
      <c r="H1370" s="7">
        <v>42210</v>
      </c>
      <c r="I1370">
        <v>92941.82</v>
      </c>
      <c r="K1370" s="7"/>
    </row>
    <row r="1371" spans="1:11">
      <c r="A1371">
        <v>100001370</v>
      </c>
      <c r="B1371" t="s">
        <v>115</v>
      </c>
      <c r="C1371" t="s">
        <v>140</v>
      </c>
      <c r="D1371" t="s">
        <v>16</v>
      </c>
      <c r="E1371" s="9">
        <v>30</v>
      </c>
      <c r="F1371" t="s">
        <v>12</v>
      </c>
      <c r="G1371" t="s">
        <v>33</v>
      </c>
      <c r="H1371" s="8">
        <v>42210</v>
      </c>
      <c r="I1371">
        <v>105695.88</v>
      </c>
      <c r="K1371" s="8"/>
    </row>
    <row r="1372" spans="1:11">
      <c r="A1372">
        <v>100001371</v>
      </c>
      <c r="B1372" t="s">
        <v>9</v>
      </c>
      <c r="C1372" t="s">
        <v>178</v>
      </c>
      <c r="D1372" t="s">
        <v>11</v>
      </c>
      <c r="E1372" s="9">
        <v>49</v>
      </c>
      <c r="F1372" t="s">
        <v>12</v>
      </c>
      <c r="G1372" t="s">
        <v>13</v>
      </c>
      <c r="H1372" s="7">
        <v>42210</v>
      </c>
      <c r="I1372">
        <v>18893.22</v>
      </c>
      <c r="K1372" s="7"/>
    </row>
    <row r="1373" spans="1:11">
      <c r="A1373">
        <v>100001372</v>
      </c>
      <c r="B1373" t="s">
        <v>26</v>
      </c>
      <c r="C1373" t="s">
        <v>248</v>
      </c>
      <c r="D1373" t="s">
        <v>16</v>
      </c>
      <c r="E1373" s="9">
        <v>32</v>
      </c>
      <c r="F1373" t="s">
        <v>12</v>
      </c>
      <c r="G1373" t="s">
        <v>13</v>
      </c>
      <c r="H1373" s="8">
        <v>42210</v>
      </c>
      <c r="I1373">
        <v>5709.07</v>
      </c>
      <c r="K1373" s="8"/>
    </row>
    <row r="1374" spans="1:11">
      <c r="A1374">
        <v>100001373</v>
      </c>
      <c r="B1374" t="s">
        <v>159</v>
      </c>
      <c r="C1374" t="s">
        <v>270</v>
      </c>
      <c r="D1374" t="s">
        <v>11</v>
      </c>
      <c r="E1374" s="9">
        <v>24</v>
      </c>
      <c r="F1374" t="s">
        <v>12</v>
      </c>
      <c r="G1374" t="s">
        <v>13</v>
      </c>
      <c r="H1374" s="7">
        <v>42210</v>
      </c>
      <c r="I1374">
        <v>17127.23</v>
      </c>
      <c r="K1374" s="7"/>
    </row>
    <row r="1375" spans="1:11">
      <c r="A1375">
        <v>200001374</v>
      </c>
      <c r="B1375" t="s">
        <v>137</v>
      </c>
      <c r="C1375" t="s">
        <v>123</v>
      </c>
      <c r="D1375" t="s">
        <v>11</v>
      </c>
      <c r="E1375" s="9">
        <v>52</v>
      </c>
      <c r="F1375" t="s">
        <v>32</v>
      </c>
      <c r="G1375" t="s">
        <v>18</v>
      </c>
      <c r="H1375" s="8">
        <v>42210</v>
      </c>
      <c r="I1375">
        <v>31428.98</v>
      </c>
      <c r="K1375" s="8"/>
    </row>
    <row r="1376" spans="1:11">
      <c r="A1376">
        <v>200001375</v>
      </c>
      <c r="B1376" t="s">
        <v>97</v>
      </c>
      <c r="C1376" t="s">
        <v>61</v>
      </c>
      <c r="D1376" t="s">
        <v>16</v>
      </c>
      <c r="E1376" s="9">
        <v>59</v>
      </c>
      <c r="F1376" t="s">
        <v>32</v>
      </c>
      <c r="G1376" t="s">
        <v>33</v>
      </c>
      <c r="H1376" s="7">
        <v>42210</v>
      </c>
      <c r="I1376">
        <v>87136.45</v>
      </c>
      <c r="K1376" s="7"/>
    </row>
    <row r="1377" spans="1:11">
      <c r="A1377">
        <v>200001376</v>
      </c>
      <c r="B1377" t="s">
        <v>147</v>
      </c>
      <c r="C1377" t="s">
        <v>88</v>
      </c>
      <c r="D1377" t="s">
        <v>11</v>
      </c>
      <c r="E1377" s="9">
        <v>48</v>
      </c>
      <c r="F1377" t="s">
        <v>32</v>
      </c>
      <c r="G1377" t="s">
        <v>33</v>
      </c>
      <c r="H1377" s="8">
        <v>42210</v>
      </c>
      <c r="I1377">
        <v>40174.57</v>
      </c>
      <c r="K1377" s="8"/>
    </row>
    <row r="1378" spans="1:11">
      <c r="A1378">
        <v>200001377</v>
      </c>
      <c r="B1378" t="s">
        <v>55</v>
      </c>
      <c r="C1378" t="s">
        <v>127</v>
      </c>
      <c r="D1378" t="s">
        <v>11</v>
      </c>
      <c r="E1378" s="9">
        <v>53</v>
      </c>
      <c r="F1378" t="s">
        <v>32</v>
      </c>
      <c r="G1378" t="s">
        <v>18</v>
      </c>
      <c r="H1378" s="7">
        <v>42210</v>
      </c>
      <c r="I1378">
        <v>15775.81</v>
      </c>
      <c r="K1378" s="7"/>
    </row>
    <row r="1379" spans="1:11">
      <c r="A1379">
        <v>200001378</v>
      </c>
      <c r="B1379" t="s">
        <v>38</v>
      </c>
      <c r="C1379" t="s">
        <v>127</v>
      </c>
      <c r="D1379" t="s">
        <v>11</v>
      </c>
      <c r="E1379" s="9">
        <v>27</v>
      </c>
      <c r="F1379" t="s">
        <v>32</v>
      </c>
      <c r="G1379" t="s">
        <v>18</v>
      </c>
      <c r="H1379" s="8">
        <v>42210</v>
      </c>
      <c r="I1379">
        <v>20963.64</v>
      </c>
      <c r="K1379" s="8"/>
    </row>
    <row r="1380" spans="1:11">
      <c r="A1380">
        <v>200001379</v>
      </c>
      <c r="B1380" t="s">
        <v>245</v>
      </c>
      <c r="C1380" t="s">
        <v>144</v>
      </c>
      <c r="D1380" t="s">
        <v>11</v>
      </c>
      <c r="E1380" s="9">
        <v>56</v>
      </c>
      <c r="F1380" t="s">
        <v>32</v>
      </c>
      <c r="G1380" t="s">
        <v>18</v>
      </c>
      <c r="H1380" s="7">
        <v>42210</v>
      </c>
      <c r="I1380">
        <v>43145.1</v>
      </c>
      <c r="K1380" s="7"/>
    </row>
    <row r="1381" spans="1:11">
      <c r="A1381">
        <v>400001380</v>
      </c>
      <c r="B1381" t="s">
        <v>40</v>
      </c>
      <c r="C1381" t="s">
        <v>282</v>
      </c>
      <c r="D1381" t="s">
        <v>11</v>
      </c>
      <c r="E1381" s="9">
        <v>27</v>
      </c>
      <c r="F1381" t="s">
        <v>17</v>
      </c>
      <c r="G1381" t="s">
        <v>13</v>
      </c>
      <c r="H1381" s="8">
        <v>42210</v>
      </c>
      <c r="I1381">
        <v>22674.03</v>
      </c>
      <c r="K1381" s="8"/>
    </row>
    <row r="1382" spans="1:11">
      <c r="A1382">
        <v>100001381</v>
      </c>
      <c r="B1382" t="s">
        <v>296</v>
      </c>
      <c r="C1382" t="s">
        <v>315</v>
      </c>
      <c r="D1382" t="s">
        <v>11</v>
      </c>
      <c r="E1382" s="9">
        <v>30</v>
      </c>
      <c r="F1382" t="s">
        <v>12</v>
      </c>
      <c r="G1382" t="s">
        <v>18</v>
      </c>
      <c r="H1382" s="7">
        <v>42211</v>
      </c>
      <c r="I1382">
        <v>32676.42</v>
      </c>
      <c r="K1382" s="7"/>
    </row>
    <row r="1383" spans="1:11">
      <c r="A1383">
        <v>100001382</v>
      </c>
      <c r="B1383" t="s">
        <v>261</v>
      </c>
      <c r="C1383" t="s">
        <v>31</v>
      </c>
      <c r="D1383" t="s">
        <v>11</v>
      </c>
      <c r="E1383" s="9">
        <v>34</v>
      </c>
      <c r="F1383" t="s">
        <v>12</v>
      </c>
      <c r="G1383" t="s">
        <v>13</v>
      </c>
      <c r="H1383" s="8">
        <v>42211</v>
      </c>
      <c r="I1383">
        <v>26897.8</v>
      </c>
      <c r="K1383" s="8"/>
    </row>
    <row r="1384" spans="1:11">
      <c r="A1384">
        <v>100001383</v>
      </c>
      <c r="B1384" t="s">
        <v>128</v>
      </c>
      <c r="C1384" t="s">
        <v>281</v>
      </c>
      <c r="D1384" t="s">
        <v>16</v>
      </c>
      <c r="E1384" s="9">
        <v>30</v>
      </c>
      <c r="F1384" t="s">
        <v>12</v>
      </c>
      <c r="G1384" t="s">
        <v>13</v>
      </c>
      <c r="H1384" s="7">
        <v>42211</v>
      </c>
      <c r="I1384">
        <v>39515</v>
      </c>
      <c r="K1384" s="7"/>
    </row>
    <row r="1385" spans="1:11">
      <c r="A1385">
        <v>100001384</v>
      </c>
      <c r="B1385" t="s">
        <v>204</v>
      </c>
      <c r="C1385" t="s">
        <v>104</v>
      </c>
      <c r="D1385" t="s">
        <v>11</v>
      </c>
      <c r="E1385" s="9">
        <v>52</v>
      </c>
      <c r="F1385" t="s">
        <v>12</v>
      </c>
      <c r="G1385" t="s">
        <v>13</v>
      </c>
      <c r="H1385" s="8">
        <v>42211</v>
      </c>
      <c r="I1385">
        <v>23112.67</v>
      </c>
      <c r="K1385" s="8"/>
    </row>
    <row r="1386" spans="1:11">
      <c r="A1386">
        <v>100001385</v>
      </c>
      <c r="B1386" t="s">
        <v>193</v>
      </c>
      <c r="C1386" t="s">
        <v>155</v>
      </c>
      <c r="D1386" t="s">
        <v>11</v>
      </c>
      <c r="E1386" s="9">
        <v>26</v>
      </c>
      <c r="F1386" t="s">
        <v>12</v>
      </c>
      <c r="G1386" t="s">
        <v>13</v>
      </c>
      <c r="H1386" s="7">
        <v>42211</v>
      </c>
      <c r="I1386">
        <v>52604.44</v>
      </c>
      <c r="K1386" s="7"/>
    </row>
    <row r="1387" spans="1:11">
      <c r="A1387">
        <v>100001386</v>
      </c>
      <c r="B1387" t="s">
        <v>234</v>
      </c>
      <c r="C1387" t="s">
        <v>247</v>
      </c>
      <c r="D1387" t="s">
        <v>11</v>
      </c>
      <c r="E1387" s="9">
        <v>45</v>
      </c>
      <c r="F1387" t="s">
        <v>12</v>
      </c>
      <c r="G1387" t="s">
        <v>13</v>
      </c>
      <c r="H1387" s="8">
        <v>42211</v>
      </c>
      <c r="I1387">
        <v>28673.759999999998</v>
      </c>
      <c r="K1387" s="8"/>
    </row>
    <row r="1388" spans="1:11">
      <c r="A1388">
        <v>100001387</v>
      </c>
      <c r="B1388" t="s">
        <v>148</v>
      </c>
      <c r="C1388" t="s">
        <v>95</v>
      </c>
      <c r="D1388" t="s">
        <v>11</v>
      </c>
      <c r="E1388" s="9">
        <v>31</v>
      </c>
      <c r="F1388" t="s">
        <v>12</v>
      </c>
      <c r="G1388" t="s">
        <v>13</v>
      </c>
      <c r="H1388" s="7">
        <v>42211</v>
      </c>
      <c r="I1388">
        <v>31181.91</v>
      </c>
      <c r="K1388" s="7"/>
    </row>
    <row r="1389" spans="1:11">
      <c r="A1389">
        <v>100001388</v>
      </c>
      <c r="B1389" t="s">
        <v>21</v>
      </c>
      <c r="C1389" t="s">
        <v>322</v>
      </c>
      <c r="D1389" t="s">
        <v>11</v>
      </c>
      <c r="E1389" s="9">
        <v>38</v>
      </c>
      <c r="F1389" t="s">
        <v>12</v>
      </c>
      <c r="G1389" t="s">
        <v>13</v>
      </c>
      <c r="H1389" s="8">
        <v>42211</v>
      </c>
      <c r="I1389">
        <v>7098.63</v>
      </c>
      <c r="K1389" s="8"/>
    </row>
    <row r="1390" spans="1:11">
      <c r="A1390">
        <v>200001389</v>
      </c>
      <c r="B1390" t="s">
        <v>293</v>
      </c>
      <c r="C1390" t="s">
        <v>212</v>
      </c>
      <c r="D1390" t="s">
        <v>11</v>
      </c>
      <c r="E1390" s="9">
        <v>55</v>
      </c>
      <c r="F1390" t="s">
        <v>32</v>
      </c>
      <c r="G1390" t="s">
        <v>18</v>
      </c>
      <c r="H1390" s="7">
        <v>42211</v>
      </c>
      <c r="I1390">
        <v>69349.56</v>
      </c>
      <c r="K1390" s="7"/>
    </row>
    <row r="1391" spans="1:11">
      <c r="A1391">
        <v>200001390</v>
      </c>
      <c r="B1391" t="s">
        <v>199</v>
      </c>
      <c r="C1391" t="s">
        <v>315</v>
      </c>
      <c r="D1391" t="s">
        <v>11</v>
      </c>
      <c r="E1391" s="9">
        <v>54</v>
      </c>
      <c r="F1391" t="s">
        <v>32</v>
      </c>
      <c r="G1391" t="s">
        <v>18</v>
      </c>
      <c r="H1391" s="8">
        <v>42211</v>
      </c>
      <c r="I1391">
        <v>90166.9</v>
      </c>
      <c r="K1391" s="8"/>
    </row>
    <row r="1392" spans="1:11">
      <c r="A1392">
        <v>200001391</v>
      </c>
      <c r="B1392" t="s">
        <v>177</v>
      </c>
      <c r="C1392" t="s">
        <v>63</v>
      </c>
      <c r="D1392" t="s">
        <v>11</v>
      </c>
      <c r="E1392" s="9">
        <v>44</v>
      </c>
      <c r="F1392" t="s">
        <v>32</v>
      </c>
      <c r="G1392" t="s">
        <v>18</v>
      </c>
      <c r="H1392" s="7">
        <v>42211</v>
      </c>
      <c r="I1392">
        <v>56071.51</v>
      </c>
      <c r="K1392" s="7"/>
    </row>
    <row r="1393" spans="1:11">
      <c r="A1393">
        <v>300001392</v>
      </c>
      <c r="B1393" t="s">
        <v>287</v>
      </c>
      <c r="C1393" t="s">
        <v>195</v>
      </c>
      <c r="D1393" t="s">
        <v>16</v>
      </c>
      <c r="E1393" s="9">
        <v>35</v>
      </c>
      <c r="F1393" t="s">
        <v>23</v>
      </c>
      <c r="G1393" t="s">
        <v>13</v>
      </c>
      <c r="H1393" s="8">
        <v>42211</v>
      </c>
      <c r="I1393">
        <v>39692.86</v>
      </c>
      <c r="K1393" s="8"/>
    </row>
    <row r="1394" spans="1:11">
      <c r="A1394">
        <v>400001393</v>
      </c>
      <c r="B1394" t="s">
        <v>150</v>
      </c>
      <c r="C1394" t="s">
        <v>156</v>
      </c>
      <c r="D1394" t="s">
        <v>16</v>
      </c>
      <c r="E1394" s="9">
        <v>21</v>
      </c>
      <c r="F1394" t="s">
        <v>17</v>
      </c>
      <c r="G1394" t="s">
        <v>18</v>
      </c>
      <c r="H1394" s="7">
        <v>42211</v>
      </c>
      <c r="I1394">
        <v>11236.25</v>
      </c>
      <c r="K1394" s="7"/>
    </row>
    <row r="1395" spans="1:11">
      <c r="A1395">
        <v>100001394</v>
      </c>
      <c r="B1395" t="s">
        <v>171</v>
      </c>
      <c r="C1395" t="s">
        <v>31</v>
      </c>
      <c r="D1395" t="s">
        <v>16</v>
      </c>
      <c r="E1395" s="9">
        <v>31</v>
      </c>
      <c r="F1395" t="s">
        <v>12</v>
      </c>
      <c r="G1395" t="s">
        <v>33</v>
      </c>
      <c r="H1395" s="8">
        <v>42212</v>
      </c>
      <c r="I1395">
        <v>1173.73</v>
      </c>
      <c r="K1395" s="8"/>
    </row>
    <row r="1396" spans="1:11">
      <c r="A1396">
        <v>100001395</v>
      </c>
      <c r="B1396" t="s">
        <v>226</v>
      </c>
      <c r="C1396" t="s">
        <v>292</v>
      </c>
      <c r="D1396" t="s">
        <v>16</v>
      </c>
      <c r="E1396" s="9">
        <v>39</v>
      </c>
      <c r="F1396" t="s">
        <v>12</v>
      </c>
      <c r="G1396" t="s">
        <v>13</v>
      </c>
      <c r="H1396" s="7">
        <v>42212</v>
      </c>
      <c r="I1396">
        <v>6861.44</v>
      </c>
      <c r="K1396" s="7"/>
    </row>
    <row r="1397" spans="1:11">
      <c r="A1397">
        <v>100001396</v>
      </c>
      <c r="B1397" t="s">
        <v>92</v>
      </c>
      <c r="C1397" t="s">
        <v>167</v>
      </c>
      <c r="D1397" t="s">
        <v>16</v>
      </c>
      <c r="E1397" s="9">
        <v>32</v>
      </c>
      <c r="F1397" t="s">
        <v>12</v>
      </c>
      <c r="G1397" t="s">
        <v>18</v>
      </c>
      <c r="H1397" s="8">
        <v>42212</v>
      </c>
      <c r="I1397">
        <v>41881.910000000003</v>
      </c>
      <c r="K1397" s="8"/>
    </row>
    <row r="1398" spans="1:11">
      <c r="A1398">
        <v>100001397</v>
      </c>
      <c r="B1398" t="s">
        <v>57</v>
      </c>
      <c r="C1398" t="s">
        <v>123</v>
      </c>
      <c r="D1398" t="s">
        <v>11</v>
      </c>
      <c r="E1398" s="9">
        <v>36</v>
      </c>
      <c r="F1398" t="s">
        <v>12</v>
      </c>
      <c r="G1398" t="s">
        <v>13</v>
      </c>
      <c r="H1398" s="7">
        <v>42212</v>
      </c>
      <c r="I1398">
        <v>23674.84</v>
      </c>
      <c r="K1398" s="7"/>
    </row>
    <row r="1399" spans="1:11">
      <c r="A1399">
        <v>100001398</v>
      </c>
      <c r="B1399" t="s">
        <v>276</v>
      </c>
      <c r="C1399" t="s">
        <v>237</v>
      </c>
      <c r="D1399" t="s">
        <v>16</v>
      </c>
      <c r="E1399" s="9">
        <v>34</v>
      </c>
      <c r="F1399" t="s">
        <v>12</v>
      </c>
      <c r="G1399" t="s">
        <v>13</v>
      </c>
      <c r="H1399" s="8">
        <v>42212</v>
      </c>
      <c r="I1399">
        <v>22701.72</v>
      </c>
      <c r="K1399" s="8"/>
    </row>
    <row r="1400" spans="1:11">
      <c r="A1400">
        <v>100001399</v>
      </c>
      <c r="B1400" t="s">
        <v>89</v>
      </c>
      <c r="C1400" t="s">
        <v>121</v>
      </c>
      <c r="D1400" t="s">
        <v>11</v>
      </c>
      <c r="E1400" s="9">
        <v>34</v>
      </c>
      <c r="F1400" t="s">
        <v>12</v>
      </c>
      <c r="G1400" t="s">
        <v>13</v>
      </c>
      <c r="H1400" s="7">
        <v>42212</v>
      </c>
      <c r="I1400">
        <v>58648.57</v>
      </c>
      <c r="K1400" s="7"/>
    </row>
    <row r="1401" spans="1:11">
      <c r="A1401">
        <v>100001400</v>
      </c>
      <c r="B1401" t="s">
        <v>243</v>
      </c>
      <c r="C1401" t="s">
        <v>209</v>
      </c>
      <c r="D1401" t="s">
        <v>16</v>
      </c>
      <c r="E1401" s="9">
        <v>41</v>
      </c>
      <c r="F1401" t="s">
        <v>12</v>
      </c>
      <c r="G1401" t="s">
        <v>13</v>
      </c>
      <c r="H1401" s="8">
        <v>42212</v>
      </c>
      <c r="I1401">
        <v>23182.6</v>
      </c>
      <c r="K1401" s="8"/>
    </row>
    <row r="1402" spans="1:11">
      <c r="A1402">
        <v>100001401</v>
      </c>
      <c r="B1402" t="s">
        <v>48</v>
      </c>
      <c r="C1402" t="s">
        <v>104</v>
      </c>
      <c r="D1402" t="s">
        <v>16</v>
      </c>
      <c r="E1402" s="9">
        <v>29</v>
      </c>
      <c r="F1402" t="s">
        <v>12</v>
      </c>
      <c r="G1402" t="s">
        <v>33</v>
      </c>
      <c r="H1402" s="7">
        <v>42212</v>
      </c>
      <c r="I1402">
        <v>33563.67</v>
      </c>
      <c r="K1402" s="7"/>
    </row>
    <row r="1403" spans="1:11">
      <c r="A1403">
        <v>200001402</v>
      </c>
      <c r="B1403" t="s">
        <v>164</v>
      </c>
      <c r="C1403" t="s">
        <v>127</v>
      </c>
      <c r="D1403" t="s">
        <v>11</v>
      </c>
      <c r="E1403" s="9">
        <v>48</v>
      </c>
      <c r="F1403" t="s">
        <v>32</v>
      </c>
      <c r="G1403" t="s">
        <v>18</v>
      </c>
      <c r="H1403" s="8">
        <v>42212</v>
      </c>
      <c r="I1403">
        <v>1208.06</v>
      </c>
      <c r="K1403" s="8"/>
    </row>
    <row r="1404" spans="1:11">
      <c r="A1404">
        <v>200001403</v>
      </c>
      <c r="B1404" t="s">
        <v>181</v>
      </c>
      <c r="C1404" t="s">
        <v>88</v>
      </c>
      <c r="D1404" t="s">
        <v>11</v>
      </c>
      <c r="E1404" s="9">
        <v>39</v>
      </c>
      <c r="F1404" t="s">
        <v>32</v>
      </c>
      <c r="G1404" t="s">
        <v>18</v>
      </c>
      <c r="H1404" s="7">
        <v>42212</v>
      </c>
      <c r="I1404">
        <v>1255.52</v>
      </c>
      <c r="K1404" s="7"/>
    </row>
    <row r="1405" spans="1:11">
      <c r="A1405">
        <v>200001404</v>
      </c>
      <c r="B1405" t="s">
        <v>76</v>
      </c>
      <c r="C1405" t="s">
        <v>240</v>
      </c>
      <c r="D1405" t="s">
        <v>11</v>
      </c>
      <c r="E1405" s="9">
        <v>32</v>
      </c>
      <c r="F1405" t="s">
        <v>32</v>
      </c>
      <c r="G1405" t="s">
        <v>33</v>
      </c>
      <c r="H1405" s="8">
        <v>42212</v>
      </c>
      <c r="I1405">
        <v>1361.83</v>
      </c>
      <c r="K1405" s="8"/>
    </row>
    <row r="1406" spans="1:11">
      <c r="A1406">
        <v>200001405</v>
      </c>
      <c r="B1406" t="s">
        <v>51</v>
      </c>
      <c r="C1406" t="s">
        <v>297</v>
      </c>
      <c r="D1406" t="s">
        <v>11</v>
      </c>
      <c r="E1406" s="9">
        <v>52</v>
      </c>
      <c r="F1406" t="s">
        <v>32</v>
      </c>
      <c r="G1406" t="s">
        <v>18</v>
      </c>
      <c r="H1406" s="7">
        <v>42212</v>
      </c>
      <c r="I1406">
        <v>59450.29</v>
      </c>
      <c r="K1406" s="7"/>
    </row>
    <row r="1407" spans="1:11">
      <c r="A1407">
        <v>200001406</v>
      </c>
      <c r="B1407" t="s">
        <v>319</v>
      </c>
      <c r="C1407" t="s">
        <v>162</v>
      </c>
      <c r="D1407" t="s">
        <v>16</v>
      </c>
      <c r="E1407" s="9">
        <v>49</v>
      </c>
      <c r="F1407" t="s">
        <v>32</v>
      </c>
      <c r="G1407" t="s">
        <v>33</v>
      </c>
      <c r="H1407" s="8">
        <v>42212</v>
      </c>
      <c r="I1407">
        <v>74079.13</v>
      </c>
      <c r="K1407" s="8"/>
    </row>
    <row r="1408" spans="1:11">
      <c r="A1408">
        <v>200001407</v>
      </c>
      <c r="B1408" t="s">
        <v>46</v>
      </c>
      <c r="C1408" t="s">
        <v>103</v>
      </c>
      <c r="D1408" t="s">
        <v>11</v>
      </c>
      <c r="E1408" s="9">
        <v>55</v>
      </c>
      <c r="F1408" t="s">
        <v>32</v>
      </c>
      <c r="G1408" t="s">
        <v>33</v>
      </c>
      <c r="H1408" s="7">
        <v>42212</v>
      </c>
      <c r="I1408">
        <v>3397.32</v>
      </c>
      <c r="K1408" s="7"/>
    </row>
    <row r="1409" spans="1:11">
      <c r="A1409">
        <v>300001408</v>
      </c>
      <c r="B1409" t="s">
        <v>243</v>
      </c>
      <c r="C1409" t="s">
        <v>63</v>
      </c>
      <c r="D1409" t="s">
        <v>16</v>
      </c>
      <c r="E1409" s="9">
        <v>40</v>
      </c>
      <c r="F1409" t="s">
        <v>23</v>
      </c>
      <c r="G1409" t="s">
        <v>13</v>
      </c>
      <c r="H1409" s="8">
        <v>42212</v>
      </c>
      <c r="I1409">
        <v>33801.26</v>
      </c>
      <c r="K1409" s="8"/>
    </row>
    <row r="1410" spans="1:11">
      <c r="A1410">
        <v>300001409</v>
      </c>
      <c r="B1410" t="s">
        <v>129</v>
      </c>
      <c r="C1410" t="s">
        <v>153</v>
      </c>
      <c r="D1410" t="s">
        <v>11</v>
      </c>
      <c r="E1410" s="9">
        <v>39</v>
      </c>
      <c r="F1410" t="s">
        <v>23</v>
      </c>
      <c r="G1410" t="s">
        <v>13</v>
      </c>
      <c r="H1410" s="7">
        <v>42212</v>
      </c>
      <c r="I1410">
        <v>43262.53</v>
      </c>
      <c r="K1410" s="7"/>
    </row>
    <row r="1411" spans="1:11">
      <c r="A1411">
        <v>300001410</v>
      </c>
      <c r="B1411" t="s">
        <v>55</v>
      </c>
      <c r="C1411" t="s">
        <v>210</v>
      </c>
      <c r="D1411" t="s">
        <v>11</v>
      </c>
      <c r="E1411" s="9">
        <v>43</v>
      </c>
      <c r="F1411" t="s">
        <v>23</v>
      </c>
      <c r="G1411" t="s">
        <v>13</v>
      </c>
      <c r="H1411" s="8">
        <v>42212</v>
      </c>
      <c r="I1411">
        <v>115674.98</v>
      </c>
      <c r="K1411" s="8"/>
    </row>
    <row r="1412" spans="1:11">
      <c r="A1412">
        <v>300001411</v>
      </c>
      <c r="B1412" t="s">
        <v>26</v>
      </c>
      <c r="C1412" t="s">
        <v>114</v>
      </c>
      <c r="D1412" t="s">
        <v>16</v>
      </c>
      <c r="E1412" s="9">
        <v>38</v>
      </c>
      <c r="F1412" t="s">
        <v>23</v>
      </c>
      <c r="G1412" t="s">
        <v>13</v>
      </c>
      <c r="H1412" s="7">
        <v>42212</v>
      </c>
      <c r="I1412">
        <v>14400.39</v>
      </c>
      <c r="K1412" s="7"/>
    </row>
    <row r="1413" spans="1:11">
      <c r="A1413">
        <v>300001412</v>
      </c>
      <c r="B1413" t="s">
        <v>180</v>
      </c>
      <c r="C1413" t="s">
        <v>210</v>
      </c>
      <c r="D1413" t="s">
        <v>16</v>
      </c>
      <c r="E1413" s="9">
        <v>35</v>
      </c>
      <c r="F1413" t="s">
        <v>23</v>
      </c>
      <c r="G1413" t="s">
        <v>13</v>
      </c>
      <c r="H1413" s="8">
        <v>42212</v>
      </c>
      <c r="I1413">
        <v>44201.14</v>
      </c>
      <c r="K1413" s="8"/>
    </row>
    <row r="1414" spans="1:11">
      <c r="A1414">
        <v>400001413</v>
      </c>
      <c r="B1414" t="s">
        <v>66</v>
      </c>
      <c r="C1414" t="s">
        <v>98</v>
      </c>
      <c r="D1414" t="s">
        <v>16</v>
      </c>
      <c r="E1414" s="9">
        <v>52</v>
      </c>
      <c r="F1414" t="s">
        <v>17</v>
      </c>
      <c r="G1414" t="s">
        <v>33</v>
      </c>
      <c r="H1414" s="7">
        <v>42212</v>
      </c>
      <c r="I1414">
        <v>7764.71</v>
      </c>
      <c r="K1414" s="7"/>
    </row>
    <row r="1415" spans="1:11">
      <c r="A1415">
        <v>100001414</v>
      </c>
      <c r="B1415" t="s">
        <v>169</v>
      </c>
      <c r="C1415" t="s">
        <v>211</v>
      </c>
      <c r="D1415" t="s">
        <v>11</v>
      </c>
      <c r="E1415" s="9">
        <v>29</v>
      </c>
      <c r="F1415" t="s">
        <v>12</v>
      </c>
      <c r="G1415" t="s">
        <v>33</v>
      </c>
      <c r="H1415" s="8">
        <v>42213</v>
      </c>
      <c r="I1415">
        <v>106821.73</v>
      </c>
      <c r="K1415" s="8"/>
    </row>
    <row r="1416" spans="1:11">
      <c r="A1416">
        <v>100001415</v>
      </c>
      <c r="B1416" t="s">
        <v>251</v>
      </c>
      <c r="C1416" t="s">
        <v>116</v>
      </c>
      <c r="D1416" t="s">
        <v>16</v>
      </c>
      <c r="E1416" s="9">
        <v>30</v>
      </c>
      <c r="F1416" t="s">
        <v>12</v>
      </c>
      <c r="G1416" t="s">
        <v>13</v>
      </c>
      <c r="H1416" s="7">
        <v>42213</v>
      </c>
      <c r="I1416">
        <v>2467.17</v>
      </c>
      <c r="K1416" s="7"/>
    </row>
    <row r="1417" spans="1:11">
      <c r="A1417">
        <v>100001416</v>
      </c>
      <c r="B1417" t="s">
        <v>57</v>
      </c>
      <c r="C1417" t="s">
        <v>290</v>
      </c>
      <c r="D1417" t="s">
        <v>11</v>
      </c>
      <c r="E1417" s="9">
        <v>44</v>
      </c>
      <c r="F1417" t="s">
        <v>12</v>
      </c>
      <c r="G1417" t="s">
        <v>13</v>
      </c>
      <c r="H1417" s="8">
        <v>42213</v>
      </c>
      <c r="I1417">
        <v>23330.41</v>
      </c>
      <c r="K1417" s="8"/>
    </row>
    <row r="1418" spans="1:11">
      <c r="A1418">
        <v>100001417</v>
      </c>
      <c r="B1418" t="s">
        <v>53</v>
      </c>
      <c r="C1418" t="s">
        <v>142</v>
      </c>
      <c r="D1418" t="s">
        <v>16</v>
      </c>
      <c r="E1418" s="9">
        <v>37</v>
      </c>
      <c r="F1418" t="s">
        <v>12</v>
      </c>
      <c r="G1418" t="s">
        <v>18</v>
      </c>
      <c r="H1418" s="7">
        <v>42213</v>
      </c>
      <c r="I1418">
        <v>43420.7</v>
      </c>
      <c r="K1418" s="7"/>
    </row>
    <row r="1419" spans="1:11">
      <c r="A1419">
        <v>100001418</v>
      </c>
      <c r="B1419" t="s">
        <v>181</v>
      </c>
      <c r="C1419" t="s">
        <v>41</v>
      </c>
      <c r="D1419" t="s">
        <v>11</v>
      </c>
      <c r="E1419" s="9">
        <v>41</v>
      </c>
      <c r="F1419" t="s">
        <v>12</v>
      </c>
      <c r="G1419" t="s">
        <v>13</v>
      </c>
      <c r="H1419" s="8">
        <v>42213</v>
      </c>
      <c r="I1419">
        <v>14899.94</v>
      </c>
      <c r="K1419" s="8"/>
    </row>
    <row r="1420" spans="1:11">
      <c r="A1420">
        <v>100001419</v>
      </c>
      <c r="B1420" t="s">
        <v>321</v>
      </c>
      <c r="C1420" t="s">
        <v>136</v>
      </c>
      <c r="D1420" t="s">
        <v>16</v>
      </c>
      <c r="E1420" s="9">
        <v>43</v>
      </c>
      <c r="F1420" t="s">
        <v>12</v>
      </c>
      <c r="G1420" t="s">
        <v>13</v>
      </c>
      <c r="H1420" s="7">
        <v>42213</v>
      </c>
      <c r="I1420">
        <v>114.69</v>
      </c>
      <c r="K1420" s="7"/>
    </row>
    <row r="1421" spans="1:11">
      <c r="A1421">
        <v>100001420</v>
      </c>
      <c r="B1421" t="s">
        <v>267</v>
      </c>
      <c r="C1421" t="s">
        <v>240</v>
      </c>
      <c r="D1421" t="s">
        <v>16</v>
      </c>
      <c r="E1421" s="9">
        <v>38</v>
      </c>
      <c r="F1421" t="s">
        <v>12</v>
      </c>
      <c r="G1421" t="s">
        <v>13</v>
      </c>
      <c r="H1421" s="8">
        <v>42213</v>
      </c>
      <c r="I1421">
        <v>51616.07</v>
      </c>
      <c r="K1421" s="8"/>
    </row>
    <row r="1422" spans="1:11">
      <c r="A1422">
        <v>100001421</v>
      </c>
      <c r="B1422" t="s">
        <v>146</v>
      </c>
      <c r="C1422" t="s">
        <v>252</v>
      </c>
      <c r="D1422" t="s">
        <v>16</v>
      </c>
      <c r="E1422" s="9">
        <v>38</v>
      </c>
      <c r="F1422" t="s">
        <v>12</v>
      </c>
      <c r="G1422" t="s">
        <v>13</v>
      </c>
      <c r="H1422" s="7">
        <v>42213</v>
      </c>
      <c r="I1422">
        <v>37866.519999999997</v>
      </c>
      <c r="K1422" s="7"/>
    </row>
    <row r="1423" spans="1:11">
      <c r="A1423">
        <v>100001422</v>
      </c>
      <c r="B1423" t="s">
        <v>14</v>
      </c>
      <c r="C1423" t="s">
        <v>285</v>
      </c>
      <c r="D1423" t="s">
        <v>16</v>
      </c>
      <c r="E1423" s="9">
        <v>29</v>
      </c>
      <c r="F1423" t="s">
        <v>12</v>
      </c>
      <c r="G1423" t="s">
        <v>33</v>
      </c>
      <c r="H1423" s="8">
        <v>42213</v>
      </c>
      <c r="I1423">
        <v>46543.51</v>
      </c>
      <c r="K1423" s="8"/>
    </row>
    <row r="1424" spans="1:11">
      <c r="A1424">
        <v>200001423</v>
      </c>
      <c r="B1424" t="s">
        <v>316</v>
      </c>
      <c r="C1424" t="s">
        <v>129</v>
      </c>
      <c r="D1424" t="s">
        <v>16</v>
      </c>
      <c r="E1424" s="9">
        <v>50</v>
      </c>
      <c r="F1424" t="s">
        <v>32</v>
      </c>
      <c r="G1424" t="s">
        <v>33</v>
      </c>
      <c r="H1424" s="7">
        <v>42213</v>
      </c>
      <c r="I1424">
        <v>99770.73</v>
      </c>
      <c r="K1424" s="7"/>
    </row>
    <row r="1425" spans="1:11">
      <c r="A1425">
        <v>200001424</v>
      </c>
      <c r="B1425" t="s">
        <v>112</v>
      </c>
      <c r="C1425" t="s">
        <v>98</v>
      </c>
      <c r="D1425" t="s">
        <v>11</v>
      </c>
      <c r="E1425" s="9">
        <v>42</v>
      </c>
      <c r="F1425" t="s">
        <v>32</v>
      </c>
      <c r="G1425" t="s">
        <v>18</v>
      </c>
      <c r="H1425" s="8">
        <v>42213</v>
      </c>
      <c r="I1425">
        <v>37912.46</v>
      </c>
      <c r="K1425" s="8"/>
    </row>
    <row r="1426" spans="1:11">
      <c r="A1426">
        <v>300001425</v>
      </c>
      <c r="B1426" t="s">
        <v>97</v>
      </c>
      <c r="C1426" t="s">
        <v>93</v>
      </c>
      <c r="D1426" t="s">
        <v>16</v>
      </c>
      <c r="E1426" s="9">
        <v>28</v>
      </c>
      <c r="F1426" t="s">
        <v>23</v>
      </c>
      <c r="G1426" t="s">
        <v>13</v>
      </c>
      <c r="H1426" s="7">
        <v>42213</v>
      </c>
      <c r="I1426">
        <v>91237.59</v>
      </c>
      <c r="K1426" s="7"/>
    </row>
    <row r="1427" spans="1:11">
      <c r="A1427">
        <v>400001426</v>
      </c>
      <c r="B1427" t="s">
        <v>36</v>
      </c>
      <c r="C1427" t="s">
        <v>238</v>
      </c>
      <c r="D1427" t="s">
        <v>11</v>
      </c>
      <c r="E1427" s="9">
        <v>17</v>
      </c>
      <c r="F1427" t="s">
        <v>17</v>
      </c>
      <c r="G1427" t="s">
        <v>33</v>
      </c>
      <c r="H1427" s="8">
        <v>42213</v>
      </c>
      <c r="I1427">
        <v>5158.87</v>
      </c>
      <c r="K1427" s="8"/>
    </row>
    <row r="1428" spans="1:11">
      <c r="A1428">
        <v>100001427</v>
      </c>
      <c r="B1428" t="s">
        <v>97</v>
      </c>
      <c r="C1428" t="s">
        <v>238</v>
      </c>
      <c r="D1428" t="s">
        <v>16</v>
      </c>
      <c r="E1428" s="9">
        <v>35</v>
      </c>
      <c r="F1428" t="s">
        <v>12</v>
      </c>
      <c r="G1428" t="s">
        <v>13</v>
      </c>
      <c r="H1428" s="7">
        <v>42214</v>
      </c>
      <c r="I1428">
        <v>44622.79</v>
      </c>
      <c r="K1428" s="7"/>
    </row>
    <row r="1429" spans="1:11">
      <c r="A1429">
        <v>100001428</v>
      </c>
      <c r="B1429" t="s">
        <v>304</v>
      </c>
      <c r="C1429" t="s">
        <v>27</v>
      </c>
      <c r="D1429" t="s">
        <v>16</v>
      </c>
      <c r="E1429" s="9">
        <v>38</v>
      </c>
      <c r="F1429" t="s">
        <v>12</v>
      </c>
      <c r="G1429" t="s">
        <v>13</v>
      </c>
      <c r="H1429" s="8">
        <v>42214</v>
      </c>
      <c r="I1429">
        <v>81724.649999999994</v>
      </c>
      <c r="K1429" s="8"/>
    </row>
    <row r="1430" spans="1:11">
      <c r="A1430">
        <v>100001429</v>
      </c>
      <c r="B1430" t="s">
        <v>137</v>
      </c>
      <c r="C1430" t="s">
        <v>183</v>
      </c>
      <c r="D1430" t="s">
        <v>11</v>
      </c>
      <c r="E1430" s="9">
        <v>32</v>
      </c>
      <c r="F1430" t="s">
        <v>12</v>
      </c>
      <c r="G1430" t="s">
        <v>13</v>
      </c>
      <c r="H1430" s="7">
        <v>42214</v>
      </c>
      <c r="I1430">
        <v>13668.23</v>
      </c>
      <c r="K1430" s="7"/>
    </row>
    <row r="1431" spans="1:11">
      <c r="A1431">
        <v>100001430</v>
      </c>
      <c r="B1431" t="s">
        <v>107</v>
      </c>
      <c r="C1431" t="s">
        <v>238</v>
      </c>
      <c r="D1431" t="s">
        <v>11</v>
      </c>
      <c r="E1431" s="9">
        <v>40</v>
      </c>
      <c r="F1431" t="s">
        <v>12</v>
      </c>
      <c r="G1431" t="s">
        <v>33</v>
      </c>
      <c r="H1431" s="8">
        <v>42214</v>
      </c>
      <c r="I1431">
        <v>29293.29</v>
      </c>
      <c r="K1431" s="8"/>
    </row>
    <row r="1432" spans="1:11">
      <c r="A1432">
        <v>100001431</v>
      </c>
      <c r="B1432" t="s">
        <v>70</v>
      </c>
      <c r="C1432" t="s">
        <v>39</v>
      </c>
      <c r="D1432" t="s">
        <v>11</v>
      </c>
      <c r="E1432" s="9">
        <v>32</v>
      </c>
      <c r="F1432" t="s">
        <v>12</v>
      </c>
      <c r="G1432" t="s">
        <v>13</v>
      </c>
      <c r="H1432" s="7">
        <v>42214</v>
      </c>
      <c r="I1432">
        <v>55348.18</v>
      </c>
      <c r="K1432" s="7"/>
    </row>
    <row r="1433" spans="1:11">
      <c r="A1433">
        <v>100001432</v>
      </c>
      <c r="B1433" t="s">
        <v>166</v>
      </c>
      <c r="C1433" t="s">
        <v>210</v>
      </c>
      <c r="D1433" t="s">
        <v>16</v>
      </c>
      <c r="E1433" s="9">
        <v>27</v>
      </c>
      <c r="F1433" t="s">
        <v>12</v>
      </c>
      <c r="G1433" t="s">
        <v>13</v>
      </c>
      <c r="H1433" s="8">
        <v>42214</v>
      </c>
      <c r="I1433">
        <v>57283.14</v>
      </c>
      <c r="K1433" s="8"/>
    </row>
    <row r="1434" spans="1:11">
      <c r="A1434">
        <v>100001433</v>
      </c>
      <c r="B1434" t="s">
        <v>296</v>
      </c>
      <c r="C1434" t="s">
        <v>253</v>
      </c>
      <c r="D1434" t="s">
        <v>11</v>
      </c>
      <c r="E1434" s="9">
        <v>38</v>
      </c>
      <c r="F1434" t="s">
        <v>12</v>
      </c>
      <c r="G1434" t="s">
        <v>13</v>
      </c>
      <c r="H1434" s="7">
        <v>42214</v>
      </c>
      <c r="I1434">
        <v>16024.43</v>
      </c>
      <c r="K1434" s="7"/>
    </row>
    <row r="1435" spans="1:11">
      <c r="A1435">
        <v>100001434</v>
      </c>
      <c r="B1435" t="s">
        <v>112</v>
      </c>
      <c r="C1435" t="s">
        <v>78</v>
      </c>
      <c r="D1435" t="s">
        <v>11</v>
      </c>
      <c r="E1435" s="9">
        <v>31</v>
      </c>
      <c r="F1435" t="s">
        <v>12</v>
      </c>
      <c r="G1435" t="s">
        <v>18</v>
      </c>
      <c r="H1435" s="8">
        <v>42214</v>
      </c>
      <c r="I1435">
        <v>20238.12</v>
      </c>
      <c r="K1435" s="8"/>
    </row>
    <row r="1436" spans="1:11">
      <c r="A1436">
        <v>200001435</v>
      </c>
      <c r="B1436" t="s">
        <v>193</v>
      </c>
      <c r="C1436" t="s">
        <v>258</v>
      </c>
      <c r="D1436" t="s">
        <v>11</v>
      </c>
      <c r="E1436" s="9">
        <v>51</v>
      </c>
      <c r="F1436" t="s">
        <v>32</v>
      </c>
      <c r="G1436" t="s">
        <v>18</v>
      </c>
      <c r="H1436" s="7">
        <v>42214</v>
      </c>
      <c r="I1436">
        <v>4188.63</v>
      </c>
      <c r="K1436" s="7"/>
    </row>
    <row r="1437" spans="1:11">
      <c r="A1437">
        <v>200001436</v>
      </c>
      <c r="B1437" t="s">
        <v>303</v>
      </c>
      <c r="C1437" t="s">
        <v>54</v>
      </c>
      <c r="D1437" t="s">
        <v>11</v>
      </c>
      <c r="E1437" s="9">
        <v>56</v>
      </c>
      <c r="F1437" t="s">
        <v>32</v>
      </c>
      <c r="G1437" t="s">
        <v>18</v>
      </c>
      <c r="H1437" s="8">
        <v>42214</v>
      </c>
      <c r="I1437">
        <v>11897.17</v>
      </c>
      <c r="K1437" s="8"/>
    </row>
    <row r="1438" spans="1:11">
      <c r="A1438">
        <v>200001437</v>
      </c>
      <c r="B1438" t="s">
        <v>34</v>
      </c>
      <c r="C1438" t="s">
        <v>294</v>
      </c>
      <c r="D1438" t="s">
        <v>16</v>
      </c>
      <c r="E1438" s="9">
        <v>48</v>
      </c>
      <c r="F1438" t="s">
        <v>32</v>
      </c>
      <c r="G1438" t="s">
        <v>33</v>
      </c>
      <c r="H1438" s="7">
        <v>42214</v>
      </c>
      <c r="I1438">
        <v>7764.14</v>
      </c>
      <c r="K1438" s="7"/>
    </row>
    <row r="1439" spans="1:11">
      <c r="A1439">
        <v>200001438</v>
      </c>
      <c r="B1439" t="s">
        <v>293</v>
      </c>
      <c r="C1439" t="s">
        <v>294</v>
      </c>
      <c r="D1439" t="s">
        <v>11</v>
      </c>
      <c r="E1439" s="9">
        <v>60</v>
      </c>
      <c r="F1439" t="s">
        <v>32</v>
      </c>
      <c r="G1439" t="s">
        <v>13</v>
      </c>
      <c r="H1439" s="8">
        <v>42214</v>
      </c>
      <c r="I1439">
        <v>74666.210000000006</v>
      </c>
      <c r="K1439" s="8"/>
    </row>
    <row r="1440" spans="1:11">
      <c r="A1440">
        <v>200001439</v>
      </c>
      <c r="B1440" t="s">
        <v>55</v>
      </c>
      <c r="C1440" t="s">
        <v>299</v>
      </c>
      <c r="D1440" t="s">
        <v>11</v>
      </c>
      <c r="E1440" s="9">
        <v>59</v>
      </c>
      <c r="F1440" t="s">
        <v>32</v>
      </c>
      <c r="G1440" t="s">
        <v>33</v>
      </c>
      <c r="H1440" s="7">
        <v>42214</v>
      </c>
      <c r="I1440">
        <v>23907.86</v>
      </c>
      <c r="K1440" s="7"/>
    </row>
    <row r="1441" spans="1:11">
      <c r="A1441">
        <v>200001440</v>
      </c>
      <c r="B1441" t="s">
        <v>311</v>
      </c>
      <c r="C1441" t="s">
        <v>49</v>
      </c>
      <c r="D1441" t="s">
        <v>11</v>
      </c>
      <c r="E1441" s="9">
        <v>50</v>
      </c>
      <c r="F1441" t="s">
        <v>32</v>
      </c>
      <c r="G1441" t="s">
        <v>18</v>
      </c>
      <c r="H1441" s="8">
        <v>42214</v>
      </c>
      <c r="I1441">
        <v>4557.9399999999996</v>
      </c>
      <c r="K1441" s="8"/>
    </row>
    <row r="1442" spans="1:11">
      <c r="A1442">
        <v>200001441</v>
      </c>
      <c r="B1442" t="s">
        <v>70</v>
      </c>
      <c r="C1442" t="s">
        <v>239</v>
      </c>
      <c r="D1442" t="s">
        <v>11</v>
      </c>
      <c r="E1442" s="9">
        <v>51</v>
      </c>
      <c r="F1442" t="s">
        <v>32</v>
      </c>
      <c r="G1442" t="s">
        <v>33</v>
      </c>
      <c r="H1442" s="7">
        <v>42214</v>
      </c>
      <c r="I1442">
        <v>53537.01</v>
      </c>
      <c r="K1442" s="7"/>
    </row>
    <row r="1443" spans="1:11">
      <c r="A1443">
        <v>300001442</v>
      </c>
      <c r="B1443" t="s">
        <v>251</v>
      </c>
      <c r="C1443" t="s">
        <v>288</v>
      </c>
      <c r="D1443" t="s">
        <v>16</v>
      </c>
      <c r="E1443" s="9">
        <v>46</v>
      </c>
      <c r="F1443" t="s">
        <v>23</v>
      </c>
      <c r="G1443" t="s">
        <v>13</v>
      </c>
      <c r="H1443" s="8">
        <v>42214</v>
      </c>
      <c r="I1443">
        <v>9867.56</v>
      </c>
      <c r="K1443" s="8"/>
    </row>
    <row r="1444" spans="1:11">
      <c r="A1444">
        <v>300001443</v>
      </c>
      <c r="B1444" t="s">
        <v>154</v>
      </c>
      <c r="C1444" t="s">
        <v>15</v>
      </c>
      <c r="D1444" t="s">
        <v>16</v>
      </c>
      <c r="E1444" s="9">
        <v>43</v>
      </c>
      <c r="F1444" t="s">
        <v>23</v>
      </c>
      <c r="G1444" t="s">
        <v>13</v>
      </c>
      <c r="H1444" s="7">
        <v>42214</v>
      </c>
      <c r="I1444">
        <v>54434.04</v>
      </c>
      <c r="K1444" s="7"/>
    </row>
    <row r="1445" spans="1:11">
      <c r="A1445">
        <v>300001444</v>
      </c>
      <c r="B1445" t="s">
        <v>181</v>
      </c>
      <c r="C1445" t="s">
        <v>73</v>
      </c>
      <c r="D1445" t="s">
        <v>11</v>
      </c>
      <c r="E1445" s="9">
        <v>29</v>
      </c>
      <c r="F1445" t="s">
        <v>23</v>
      </c>
      <c r="G1445" t="s">
        <v>18</v>
      </c>
      <c r="H1445" s="8">
        <v>42214</v>
      </c>
      <c r="I1445">
        <v>32447.58</v>
      </c>
      <c r="K1445" s="8"/>
    </row>
    <row r="1446" spans="1:11">
      <c r="A1446">
        <v>100001445</v>
      </c>
      <c r="B1446" t="s">
        <v>158</v>
      </c>
      <c r="C1446" t="s">
        <v>281</v>
      </c>
      <c r="D1446" t="s">
        <v>16</v>
      </c>
      <c r="E1446" s="9">
        <v>28</v>
      </c>
      <c r="F1446" t="s">
        <v>12</v>
      </c>
      <c r="G1446" t="s">
        <v>33</v>
      </c>
      <c r="H1446" s="7">
        <v>42215</v>
      </c>
      <c r="I1446">
        <v>10688.34</v>
      </c>
      <c r="K1446" s="7"/>
    </row>
    <row r="1447" spans="1:11">
      <c r="A1447">
        <v>100001446</v>
      </c>
      <c r="B1447" t="s">
        <v>70</v>
      </c>
      <c r="C1447" t="s">
        <v>299</v>
      </c>
      <c r="D1447" t="s">
        <v>11</v>
      </c>
      <c r="E1447" s="9">
        <v>36</v>
      </c>
      <c r="F1447" t="s">
        <v>12</v>
      </c>
      <c r="G1447" t="s">
        <v>13</v>
      </c>
      <c r="H1447" s="8">
        <v>42215</v>
      </c>
      <c r="I1447">
        <v>2385.4699999999998</v>
      </c>
      <c r="K1447" s="8"/>
    </row>
    <row r="1448" spans="1:11">
      <c r="A1448">
        <v>100001447</v>
      </c>
      <c r="B1448" t="s">
        <v>173</v>
      </c>
      <c r="C1448" t="s">
        <v>15</v>
      </c>
      <c r="D1448" t="s">
        <v>11</v>
      </c>
      <c r="E1448" s="9">
        <v>43</v>
      </c>
      <c r="F1448" t="s">
        <v>12</v>
      </c>
      <c r="G1448" t="s">
        <v>13</v>
      </c>
      <c r="H1448" s="7">
        <v>42215</v>
      </c>
      <c r="I1448">
        <v>15879.52</v>
      </c>
      <c r="K1448" s="7"/>
    </row>
    <row r="1449" spans="1:11">
      <c r="A1449">
        <v>100001448</v>
      </c>
      <c r="B1449" t="s">
        <v>194</v>
      </c>
      <c r="C1449" t="s">
        <v>144</v>
      </c>
      <c r="D1449" t="s">
        <v>16</v>
      </c>
      <c r="E1449" s="9">
        <v>27</v>
      </c>
      <c r="F1449" t="s">
        <v>12</v>
      </c>
      <c r="G1449" t="s">
        <v>18</v>
      </c>
      <c r="H1449" s="8">
        <v>42215</v>
      </c>
      <c r="I1449">
        <v>59292.800000000003</v>
      </c>
      <c r="K1449" s="8"/>
    </row>
    <row r="1450" spans="1:11">
      <c r="A1450">
        <v>100001449</v>
      </c>
      <c r="B1450" t="s">
        <v>92</v>
      </c>
      <c r="C1450" t="s">
        <v>73</v>
      </c>
      <c r="D1450" t="s">
        <v>16</v>
      </c>
      <c r="E1450" s="9">
        <v>27</v>
      </c>
      <c r="F1450" t="s">
        <v>12</v>
      </c>
      <c r="G1450" t="s">
        <v>33</v>
      </c>
      <c r="H1450" s="7">
        <v>42215</v>
      </c>
      <c r="I1450">
        <v>30992.37</v>
      </c>
      <c r="K1450" s="7"/>
    </row>
    <row r="1451" spans="1:11">
      <c r="A1451">
        <v>200001450</v>
      </c>
      <c r="B1451" t="s">
        <v>79</v>
      </c>
      <c r="C1451" t="s">
        <v>313</v>
      </c>
      <c r="D1451" t="s">
        <v>11</v>
      </c>
      <c r="E1451" s="9">
        <v>52</v>
      </c>
      <c r="F1451" t="s">
        <v>32</v>
      </c>
      <c r="G1451" t="s">
        <v>33</v>
      </c>
      <c r="H1451" s="8">
        <v>42215</v>
      </c>
      <c r="I1451">
        <v>13419.57</v>
      </c>
      <c r="K1451" s="8"/>
    </row>
    <row r="1452" spans="1:11">
      <c r="A1452">
        <v>200001451</v>
      </c>
      <c r="B1452" t="s">
        <v>76</v>
      </c>
      <c r="C1452" t="s">
        <v>297</v>
      </c>
      <c r="D1452" t="s">
        <v>11</v>
      </c>
      <c r="E1452" s="9">
        <v>53</v>
      </c>
      <c r="F1452" t="s">
        <v>32</v>
      </c>
      <c r="G1452" t="s">
        <v>33</v>
      </c>
      <c r="H1452" s="7">
        <v>42215</v>
      </c>
      <c r="I1452">
        <v>25797.17</v>
      </c>
      <c r="K1452" s="7"/>
    </row>
    <row r="1453" spans="1:11">
      <c r="A1453">
        <v>200001452</v>
      </c>
      <c r="B1453" t="s">
        <v>191</v>
      </c>
      <c r="C1453" t="s">
        <v>43</v>
      </c>
      <c r="D1453" t="s">
        <v>11</v>
      </c>
      <c r="E1453" s="9">
        <v>47</v>
      </c>
      <c r="F1453" t="s">
        <v>32</v>
      </c>
      <c r="G1453" t="s">
        <v>18</v>
      </c>
      <c r="H1453" s="8">
        <v>42215</v>
      </c>
      <c r="I1453">
        <v>48667.64</v>
      </c>
      <c r="K1453" s="8"/>
    </row>
    <row r="1454" spans="1:11">
      <c r="A1454">
        <v>200001453</v>
      </c>
      <c r="B1454" t="s">
        <v>215</v>
      </c>
      <c r="C1454" t="s">
        <v>205</v>
      </c>
      <c r="D1454" t="s">
        <v>16</v>
      </c>
      <c r="E1454" s="9">
        <v>53</v>
      </c>
      <c r="F1454" t="s">
        <v>32</v>
      </c>
      <c r="G1454" t="s">
        <v>33</v>
      </c>
      <c r="H1454" s="7">
        <v>42215</v>
      </c>
      <c r="I1454">
        <v>51621.760000000002</v>
      </c>
      <c r="K1454" s="7"/>
    </row>
    <row r="1455" spans="1:11">
      <c r="A1455">
        <v>200001454</v>
      </c>
      <c r="B1455" t="s">
        <v>97</v>
      </c>
      <c r="C1455" t="s">
        <v>219</v>
      </c>
      <c r="D1455" t="s">
        <v>16</v>
      </c>
      <c r="E1455" s="9">
        <v>59</v>
      </c>
      <c r="F1455" t="s">
        <v>32</v>
      </c>
      <c r="G1455" t="s">
        <v>33</v>
      </c>
      <c r="H1455" s="8">
        <v>42215</v>
      </c>
      <c r="I1455">
        <v>55368.66</v>
      </c>
      <c r="K1455" s="8"/>
    </row>
    <row r="1456" spans="1:11">
      <c r="A1456">
        <v>200001455</v>
      </c>
      <c r="B1456" t="s">
        <v>255</v>
      </c>
      <c r="C1456" t="s">
        <v>289</v>
      </c>
      <c r="D1456" t="s">
        <v>11</v>
      </c>
      <c r="E1456" s="9">
        <v>59</v>
      </c>
      <c r="F1456" t="s">
        <v>32</v>
      </c>
      <c r="G1456" t="s">
        <v>18</v>
      </c>
      <c r="H1456" s="7">
        <v>42215</v>
      </c>
      <c r="I1456">
        <v>19832.009999999998</v>
      </c>
      <c r="K1456" s="7"/>
    </row>
    <row r="1457" spans="1:11">
      <c r="A1457">
        <v>300001456</v>
      </c>
      <c r="B1457" t="s">
        <v>36</v>
      </c>
      <c r="C1457" t="s">
        <v>281</v>
      </c>
      <c r="D1457" t="s">
        <v>11</v>
      </c>
      <c r="E1457" s="9">
        <v>40</v>
      </c>
      <c r="F1457" t="s">
        <v>23</v>
      </c>
      <c r="G1457" t="s">
        <v>13</v>
      </c>
      <c r="H1457" s="8">
        <v>42215</v>
      </c>
      <c r="I1457">
        <v>3615.89</v>
      </c>
      <c r="K1457" s="8"/>
    </row>
    <row r="1458" spans="1:11">
      <c r="A1458">
        <v>400001457</v>
      </c>
      <c r="B1458" t="s">
        <v>92</v>
      </c>
      <c r="C1458" t="s">
        <v>288</v>
      </c>
      <c r="D1458" t="s">
        <v>16</v>
      </c>
      <c r="E1458" s="9">
        <v>37</v>
      </c>
      <c r="F1458" t="s">
        <v>17</v>
      </c>
      <c r="G1458" t="s">
        <v>13</v>
      </c>
      <c r="H1458" s="7">
        <v>42215</v>
      </c>
      <c r="I1458">
        <v>13937.18</v>
      </c>
      <c r="K1458" s="7"/>
    </row>
    <row r="1459" spans="1:11">
      <c r="A1459">
        <v>100001458</v>
      </c>
      <c r="B1459" t="s">
        <v>309</v>
      </c>
      <c r="C1459" t="s">
        <v>167</v>
      </c>
      <c r="D1459" t="s">
        <v>16</v>
      </c>
      <c r="E1459" s="9">
        <v>30</v>
      </c>
      <c r="F1459" t="s">
        <v>12</v>
      </c>
      <c r="G1459" t="s">
        <v>13</v>
      </c>
      <c r="H1459" s="8">
        <v>42216</v>
      </c>
      <c r="I1459">
        <v>79094.42</v>
      </c>
      <c r="K1459" s="8"/>
    </row>
    <row r="1460" spans="1:11">
      <c r="A1460">
        <v>100001459</v>
      </c>
      <c r="B1460" t="s">
        <v>298</v>
      </c>
      <c r="C1460" t="s">
        <v>125</v>
      </c>
      <c r="D1460" t="s">
        <v>16</v>
      </c>
      <c r="E1460" s="9">
        <v>37</v>
      </c>
      <c r="F1460" t="s">
        <v>12</v>
      </c>
      <c r="G1460" t="s">
        <v>13</v>
      </c>
      <c r="H1460" s="7">
        <v>42216</v>
      </c>
      <c r="I1460">
        <v>122248.3</v>
      </c>
      <c r="K1460" s="7"/>
    </row>
    <row r="1461" spans="1:11">
      <c r="A1461">
        <v>100001460</v>
      </c>
      <c r="B1461" t="s">
        <v>271</v>
      </c>
      <c r="C1461" t="s">
        <v>224</v>
      </c>
      <c r="D1461" t="s">
        <v>16</v>
      </c>
      <c r="E1461" s="9">
        <v>34</v>
      </c>
      <c r="F1461" t="s">
        <v>12</v>
      </c>
      <c r="G1461" t="s">
        <v>13</v>
      </c>
      <c r="H1461" s="8">
        <v>42216</v>
      </c>
      <c r="I1461">
        <v>125101.37</v>
      </c>
      <c r="K1461" s="8"/>
    </row>
    <row r="1462" spans="1:11">
      <c r="A1462">
        <v>100001461</v>
      </c>
      <c r="B1462" t="s">
        <v>218</v>
      </c>
      <c r="C1462" t="s">
        <v>266</v>
      </c>
      <c r="D1462" t="s">
        <v>11</v>
      </c>
      <c r="E1462" s="9">
        <v>30</v>
      </c>
      <c r="F1462" t="s">
        <v>12</v>
      </c>
      <c r="G1462" t="s">
        <v>13</v>
      </c>
      <c r="H1462" s="7">
        <v>42216</v>
      </c>
      <c r="I1462">
        <v>68336.84</v>
      </c>
      <c r="K1462" s="7"/>
    </row>
    <row r="1463" spans="1:11">
      <c r="A1463">
        <v>100001462</v>
      </c>
      <c r="B1463" t="s">
        <v>265</v>
      </c>
      <c r="C1463" t="s">
        <v>75</v>
      </c>
      <c r="D1463" t="s">
        <v>16</v>
      </c>
      <c r="E1463" s="9">
        <v>39</v>
      </c>
      <c r="F1463" t="s">
        <v>12</v>
      </c>
      <c r="G1463" t="s">
        <v>13</v>
      </c>
      <c r="H1463" s="8">
        <v>42216</v>
      </c>
      <c r="I1463">
        <v>16956</v>
      </c>
      <c r="K1463" s="8"/>
    </row>
    <row r="1464" spans="1:11">
      <c r="A1464">
        <v>200001463</v>
      </c>
      <c r="B1464" t="s">
        <v>298</v>
      </c>
      <c r="C1464" t="s">
        <v>269</v>
      </c>
      <c r="D1464" t="s">
        <v>16</v>
      </c>
      <c r="E1464" s="9">
        <v>38</v>
      </c>
      <c r="F1464" t="s">
        <v>32</v>
      </c>
      <c r="G1464" t="s">
        <v>33</v>
      </c>
      <c r="H1464" s="7">
        <v>42216</v>
      </c>
      <c r="I1464">
        <v>37115.03</v>
      </c>
      <c r="K1464" s="7"/>
    </row>
    <row r="1465" spans="1:11">
      <c r="A1465">
        <v>200001464</v>
      </c>
      <c r="B1465" t="s">
        <v>119</v>
      </c>
      <c r="C1465" t="s">
        <v>233</v>
      </c>
      <c r="D1465" t="s">
        <v>16</v>
      </c>
      <c r="E1465" s="9">
        <v>43</v>
      </c>
      <c r="F1465" t="s">
        <v>32</v>
      </c>
      <c r="G1465" t="s">
        <v>33</v>
      </c>
      <c r="H1465" s="8">
        <v>42216</v>
      </c>
      <c r="I1465">
        <v>10513.17</v>
      </c>
      <c r="K1465" s="8"/>
    </row>
    <row r="1466" spans="1:11">
      <c r="A1466">
        <v>300001465</v>
      </c>
      <c r="B1466" t="s">
        <v>268</v>
      </c>
      <c r="C1466" t="s">
        <v>248</v>
      </c>
      <c r="D1466" t="s">
        <v>16</v>
      </c>
      <c r="E1466" s="9">
        <v>34</v>
      </c>
      <c r="F1466" t="s">
        <v>23</v>
      </c>
      <c r="G1466" t="s">
        <v>13</v>
      </c>
      <c r="H1466" s="7">
        <v>42216</v>
      </c>
      <c r="I1466">
        <v>1090.67</v>
      </c>
      <c r="K1466" s="7"/>
    </row>
    <row r="1467" spans="1:11">
      <c r="A1467">
        <v>300001466</v>
      </c>
      <c r="B1467" t="s">
        <v>191</v>
      </c>
      <c r="C1467" t="s">
        <v>313</v>
      </c>
      <c r="D1467" t="s">
        <v>11</v>
      </c>
      <c r="E1467" s="9">
        <v>34</v>
      </c>
      <c r="F1467" t="s">
        <v>23</v>
      </c>
      <c r="G1467" t="s">
        <v>18</v>
      </c>
      <c r="H1467" s="8">
        <v>42216</v>
      </c>
      <c r="I1467">
        <v>1400.26</v>
      </c>
      <c r="K1467" s="8"/>
    </row>
    <row r="1468" spans="1:11">
      <c r="A1468">
        <v>400001467</v>
      </c>
      <c r="B1468" t="s">
        <v>40</v>
      </c>
      <c r="C1468" t="s">
        <v>310</v>
      </c>
      <c r="D1468" t="s">
        <v>11</v>
      </c>
      <c r="E1468" s="9">
        <v>23</v>
      </c>
      <c r="F1468" t="s">
        <v>17</v>
      </c>
      <c r="G1468" t="s">
        <v>18</v>
      </c>
      <c r="H1468" s="7">
        <v>42216</v>
      </c>
      <c r="I1468">
        <v>106836</v>
      </c>
      <c r="K1468" s="7"/>
    </row>
    <row r="1469" spans="1:11">
      <c r="A1469">
        <v>400001468</v>
      </c>
      <c r="B1469" t="s">
        <v>86</v>
      </c>
      <c r="C1469" t="s">
        <v>43</v>
      </c>
      <c r="D1469" t="s">
        <v>11</v>
      </c>
      <c r="E1469" s="9">
        <v>30</v>
      </c>
      <c r="F1469" t="s">
        <v>17</v>
      </c>
      <c r="G1469" t="s">
        <v>13</v>
      </c>
      <c r="H1469" s="8">
        <v>42216</v>
      </c>
      <c r="I1469">
        <v>33024.699999999997</v>
      </c>
      <c r="K1469" s="8"/>
    </row>
    <row r="1470" spans="1:11">
      <c r="A1470">
        <v>100001469</v>
      </c>
      <c r="B1470" t="s">
        <v>76</v>
      </c>
      <c r="C1470" t="s">
        <v>219</v>
      </c>
      <c r="D1470" t="s">
        <v>11</v>
      </c>
      <c r="E1470" s="9">
        <v>39</v>
      </c>
      <c r="F1470" t="s">
        <v>12</v>
      </c>
      <c r="G1470" t="s">
        <v>18</v>
      </c>
      <c r="H1470" s="7">
        <v>42217</v>
      </c>
      <c r="I1470">
        <v>88544.22</v>
      </c>
      <c r="K1470" s="7"/>
    </row>
    <row r="1471" spans="1:11">
      <c r="A1471">
        <v>100001470</v>
      </c>
      <c r="B1471" t="s">
        <v>311</v>
      </c>
      <c r="C1471" t="s">
        <v>163</v>
      </c>
      <c r="D1471" t="s">
        <v>11</v>
      </c>
      <c r="E1471" s="9">
        <v>43</v>
      </c>
      <c r="F1471" t="s">
        <v>12</v>
      </c>
      <c r="G1471" t="s">
        <v>18</v>
      </c>
      <c r="H1471" s="8">
        <v>42217</v>
      </c>
      <c r="I1471">
        <v>39702.480000000003</v>
      </c>
      <c r="K1471" s="8"/>
    </row>
    <row r="1472" spans="1:11">
      <c r="A1472">
        <v>100001471</v>
      </c>
      <c r="B1472" t="s">
        <v>131</v>
      </c>
      <c r="C1472" t="s">
        <v>260</v>
      </c>
      <c r="D1472" t="s">
        <v>16</v>
      </c>
      <c r="E1472" s="9">
        <v>29</v>
      </c>
      <c r="F1472" t="s">
        <v>12</v>
      </c>
      <c r="G1472" t="s">
        <v>13</v>
      </c>
      <c r="H1472" s="7">
        <v>42217</v>
      </c>
      <c r="I1472">
        <v>69174.720000000001</v>
      </c>
      <c r="K1472" s="7"/>
    </row>
    <row r="1473" spans="1:11">
      <c r="A1473">
        <v>100001472</v>
      </c>
      <c r="B1473" t="s">
        <v>235</v>
      </c>
      <c r="C1473" t="s">
        <v>170</v>
      </c>
      <c r="D1473" t="s">
        <v>11</v>
      </c>
      <c r="E1473" s="9">
        <v>28</v>
      </c>
      <c r="F1473" t="s">
        <v>12</v>
      </c>
      <c r="G1473" t="s">
        <v>18</v>
      </c>
      <c r="H1473" s="8">
        <v>42217</v>
      </c>
      <c r="I1473">
        <v>22336.22</v>
      </c>
      <c r="K1473" s="8"/>
    </row>
    <row r="1474" spans="1:11">
      <c r="A1474">
        <v>100001473</v>
      </c>
      <c r="B1474" t="s">
        <v>131</v>
      </c>
      <c r="C1474" t="s">
        <v>305</v>
      </c>
      <c r="D1474" t="s">
        <v>16</v>
      </c>
      <c r="E1474" s="9">
        <v>38</v>
      </c>
      <c r="F1474" t="s">
        <v>12</v>
      </c>
      <c r="G1474" t="s">
        <v>33</v>
      </c>
      <c r="H1474" s="7">
        <v>42217</v>
      </c>
      <c r="I1474">
        <v>54104.73</v>
      </c>
      <c r="K1474" s="7"/>
    </row>
    <row r="1475" spans="1:11">
      <c r="A1475">
        <v>100001474</v>
      </c>
      <c r="B1475" t="s">
        <v>268</v>
      </c>
      <c r="C1475" t="s">
        <v>87</v>
      </c>
      <c r="D1475" t="s">
        <v>16</v>
      </c>
      <c r="E1475" s="9">
        <v>23</v>
      </c>
      <c r="F1475" t="s">
        <v>12</v>
      </c>
      <c r="G1475" t="s">
        <v>18</v>
      </c>
      <c r="H1475" s="8">
        <v>42217</v>
      </c>
      <c r="I1475">
        <v>2092.59</v>
      </c>
      <c r="K1475" s="8"/>
    </row>
    <row r="1476" spans="1:11">
      <c r="A1476">
        <v>100001475</v>
      </c>
      <c r="B1476" t="s">
        <v>105</v>
      </c>
      <c r="C1476" t="s">
        <v>152</v>
      </c>
      <c r="D1476" t="s">
        <v>16</v>
      </c>
      <c r="E1476" s="9">
        <v>36</v>
      </c>
      <c r="F1476" t="s">
        <v>12</v>
      </c>
      <c r="G1476" t="s">
        <v>13</v>
      </c>
      <c r="H1476" s="7">
        <v>42217</v>
      </c>
      <c r="I1476">
        <v>40233.57</v>
      </c>
      <c r="K1476" s="7"/>
    </row>
    <row r="1477" spans="1:11">
      <c r="A1477">
        <v>200001476</v>
      </c>
      <c r="B1477" t="s">
        <v>213</v>
      </c>
      <c r="C1477" t="s">
        <v>156</v>
      </c>
      <c r="D1477" t="s">
        <v>11</v>
      </c>
      <c r="E1477" s="9">
        <v>46</v>
      </c>
      <c r="F1477" t="s">
        <v>32</v>
      </c>
      <c r="G1477" t="s">
        <v>18</v>
      </c>
      <c r="H1477" s="8">
        <v>42217</v>
      </c>
      <c r="I1477">
        <v>87192.65</v>
      </c>
      <c r="K1477" s="8"/>
    </row>
    <row r="1478" spans="1:11">
      <c r="A1478">
        <v>200001477</v>
      </c>
      <c r="B1478" t="s">
        <v>204</v>
      </c>
      <c r="C1478" t="s">
        <v>43</v>
      </c>
      <c r="D1478" t="s">
        <v>11</v>
      </c>
      <c r="E1478" s="9">
        <v>44</v>
      </c>
      <c r="F1478" t="s">
        <v>32</v>
      </c>
      <c r="G1478" t="s">
        <v>18</v>
      </c>
      <c r="H1478" s="7">
        <v>42217</v>
      </c>
      <c r="I1478">
        <v>86652.4</v>
      </c>
      <c r="K1478" s="7"/>
    </row>
    <row r="1479" spans="1:11">
      <c r="A1479">
        <v>200001478</v>
      </c>
      <c r="B1479" t="s">
        <v>38</v>
      </c>
      <c r="C1479" t="s">
        <v>277</v>
      </c>
      <c r="D1479" t="s">
        <v>11</v>
      </c>
      <c r="E1479" s="9">
        <v>46</v>
      </c>
      <c r="F1479" t="s">
        <v>32</v>
      </c>
      <c r="G1479" t="s">
        <v>18</v>
      </c>
      <c r="H1479" s="8">
        <v>42217</v>
      </c>
      <c r="I1479">
        <v>70621.100000000006</v>
      </c>
      <c r="K1479" s="8"/>
    </row>
    <row r="1480" spans="1:11">
      <c r="A1480">
        <v>200001479</v>
      </c>
      <c r="B1480" t="s">
        <v>46</v>
      </c>
      <c r="C1480" t="s">
        <v>93</v>
      </c>
      <c r="D1480" t="s">
        <v>11</v>
      </c>
      <c r="E1480" s="9">
        <v>60</v>
      </c>
      <c r="F1480" t="s">
        <v>32</v>
      </c>
      <c r="G1480" t="s">
        <v>33</v>
      </c>
      <c r="H1480" s="7">
        <v>42217</v>
      </c>
      <c r="I1480">
        <v>89173.1</v>
      </c>
      <c r="K1480" s="7"/>
    </row>
    <row r="1481" spans="1:11">
      <c r="A1481">
        <v>300001480</v>
      </c>
      <c r="B1481" t="s">
        <v>147</v>
      </c>
      <c r="C1481" t="s">
        <v>201</v>
      </c>
      <c r="D1481" t="s">
        <v>11</v>
      </c>
      <c r="E1481" s="9">
        <v>46</v>
      </c>
      <c r="F1481" t="s">
        <v>23</v>
      </c>
      <c r="G1481" t="s">
        <v>18</v>
      </c>
      <c r="H1481" s="8">
        <v>42217</v>
      </c>
      <c r="I1481">
        <v>91216.49</v>
      </c>
      <c r="K1481" s="8"/>
    </row>
    <row r="1482" spans="1:11">
      <c r="A1482">
        <v>300001481</v>
      </c>
      <c r="B1482" t="s">
        <v>62</v>
      </c>
      <c r="C1482" t="s">
        <v>222</v>
      </c>
      <c r="D1482" t="s">
        <v>16</v>
      </c>
      <c r="E1482" s="9">
        <v>29</v>
      </c>
      <c r="F1482" t="s">
        <v>23</v>
      </c>
      <c r="G1482" t="s">
        <v>13</v>
      </c>
      <c r="H1482" s="7">
        <v>42217</v>
      </c>
      <c r="I1482">
        <v>29355.49</v>
      </c>
      <c r="K1482" s="7"/>
    </row>
    <row r="1483" spans="1:11">
      <c r="A1483">
        <v>100001482</v>
      </c>
      <c r="B1483" t="s">
        <v>21</v>
      </c>
      <c r="C1483" t="s">
        <v>95</v>
      </c>
      <c r="D1483" t="s">
        <v>11</v>
      </c>
      <c r="E1483" s="9">
        <v>31</v>
      </c>
      <c r="F1483" t="s">
        <v>12</v>
      </c>
      <c r="G1483" t="s">
        <v>13</v>
      </c>
      <c r="H1483" s="8">
        <v>42218</v>
      </c>
      <c r="I1483">
        <v>24498.39</v>
      </c>
      <c r="K1483" s="8"/>
    </row>
    <row r="1484" spans="1:11">
      <c r="A1484">
        <v>100001483</v>
      </c>
      <c r="B1484" t="s">
        <v>50</v>
      </c>
      <c r="C1484" t="s">
        <v>295</v>
      </c>
      <c r="D1484" t="s">
        <v>16</v>
      </c>
      <c r="E1484" s="9">
        <v>25</v>
      </c>
      <c r="F1484" t="s">
        <v>12</v>
      </c>
      <c r="G1484" t="s">
        <v>13</v>
      </c>
      <c r="H1484" s="7">
        <v>42218</v>
      </c>
      <c r="I1484">
        <v>5834.39</v>
      </c>
      <c r="K1484" s="7"/>
    </row>
    <row r="1485" spans="1:11">
      <c r="A1485">
        <v>100001484</v>
      </c>
      <c r="B1485" t="s">
        <v>231</v>
      </c>
      <c r="C1485" t="s">
        <v>310</v>
      </c>
      <c r="D1485" t="s">
        <v>11</v>
      </c>
      <c r="E1485" s="9">
        <v>41</v>
      </c>
      <c r="F1485" t="s">
        <v>12</v>
      </c>
      <c r="G1485" t="s">
        <v>13</v>
      </c>
      <c r="H1485" s="8">
        <v>42218</v>
      </c>
      <c r="I1485">
        <v>79036.3</v>
      </c>
      <c r="K1485" s="8"/>
    </row>
    <row r="1486" spans="1:11">
      <c r="A1486">
        <v>100001485</v>
      </c>
      <c r="B1486" t="s">
        <v>296</v>
      </c>
      <c r="C1486" t="s">
        <v>230</v>
      </c>
      <c r="D1486" t="s">
        <v>11</v>
      </c>
      <c r="E1486" s="9">
        <v>33</v>
      </c>
      <c r="F1486" t="s">
        <v>12</v>
      </c>
      <c r="G1486" t="s">
        <v>13</v>
      </c>
      <c r="H1486" s="7">
        <v>42218</v>
      </c>
      <c r="I1486">
        <v>48891.91</v>
      </c>
      <c r="K1486" s="7"/>
    </row>
    <row r="1487" spans="1:11">
      <c r="A1487">
        <v>200001486</v>
      </c>
      <c r="B1487" t="s">
        <v>120</v>
      </c>
      <c r="C1487" t="s">
        <v>210</v>
      </c>
      <c r="D1487" t="s">
        <v>16</v>
      </c>
      <c r="E1487" s="9">
        <v>43</v>
      </c>
      <c r="F1487" t="s">
        <v>32</v>
      </c>
      <c r="G1487" t="s">
        <v>33</v>
      </c>
      <c r="H1487" s="8">
        <v>42218</v>
      </c>
      <c r="I1487">
        <v>40730.74</v>
      </c>
      <c r="K1487" s="8"/>
    </row>
    <row r="1488" spans="1:11">
      <c r="A1488">
        <v>200001487</v>
      </c>
      <c r="B1488" t="s">
        <v>280</v>
      </c>
      <c r="C1488" t="s">
        <v>230</v>
      </c>
      <c r="D1488" t="s">
        <v>11</v>
      </c>
      <c r="E1488" s="9">
        <v>58</v>
      </c>
      <c r="F1488" t="s">
        <v>32</v>
      </c>
      <c r="G1488" t="s">
        <v>33</v>
      </c>
      <c r="H1488" s="7">
        <v>42218</v>
      </c>
      <c r="I1488">
        <v>19164.52</v>
      </c>
      <c r="K1488" s="7"/>
    </row>
    <row r="1489" spans="1:11">
      <c r="A1489">
        <v>200001488</v>
      </c>
      <c r="B1489" t="s">
        <v>188</v>
      </c>
      <c r="C1489" t="s">
        <v>325</v>
      </c>
      <c r="D1489" t="s">
        <v>11</v>
      </c>
      <c r="E1489" s="9">
        <v>56</v>
      </c>
      <c r="F1489" t="s">
        <v>32</v>
      </c>
      <c r="G1489" t="s">
        <v>33</v>
      </c>
      <c r="H1489" s="8">
        <v>42218</v>
      </c>
      <c r="I1489">
        <v>59975.14</v>
      </c>
      <c r="K1489" s="8"/>
    </row>
    <row r="1490" spans="1:11">
      <c r="A1490">
        <v>200001489</v>
      </c>
      <c r="B1490" t="s">
        <v>48</v>
      </c>
      <c r="C1490" t="s">
        <v>219</v>
      </c>
      <c r="D1490" t="s">
        <v>16</v>
      </c>
      <c r="E1490" s="9">
        <v>53</v>
      </c>
      <c r="F1490" t="s">
        <v>32</v>
      </c>
      <c r="G1490" t="s">
        <v>13</v>
      </c>
      <c r="H1490" s="7">
        <v>42218</v>
      </c>
      <c r="I1490">
        <v>19634.21</v>
      </c>
      <c r="K1490" s="7"/>
    </row>
    <row r="1491" spans="1:11">
      <c r="A1491">
        <v>300001490</v>
      </c>
      <c r="B1491" t="s">
        <v>64</v>
      </c>
      <c r="C1491" t="s">
        <v>162</v>
      </c>
      <c r="D1491" t="s">
        <v>11</v>
      </c>
      <c r="E1491" s="9">
        <v>43</v>
      </c>
      <c r="F1491" t="s">
        <v>23</v>
      </c>
      <c r="G1491" t="s">
        <v>13</v>
      </c>
      <c r="H1491" s="8">
        <v>42218</v>
      </c>
      <c r="I1491">
        <v>47373.56</v>
      </c>
      <c r="K1491" s="8"/>
    </row>
    <row r="1492" spans="1:11">
      <c r="A1492">
        <v>100001491</v>
      </c>
      <c r="B1492" t="s">
        <v>139</v>
      </c>
      <c r="C1492" t="s">
        <v>189</v>
      </c>
      <c r="D1492" t="s">
        <v>16</v>
      </c>
      <c r="E1492" s="9">
        <v>36</v>
      </c>
      <c r="F1492" t="s">
        <v>12</v>
      </c>
      <c r="G1492" t="s">
        <v>33</v>
      </c>
      <c r="H1492" s="7">
        <v>42219</v>
      </c>
      <c r="I1492">
        <v>56430.27</v>
      </c>
      <c r="K1492" s="7"/>
    </row>
    <row r="1493" spans="1:11">
      <c r="A1493">
        <v>100001492</v>
      </c>
      <c r="B1493" t="s">
        <v>173</v>
      </c>
      <c r="C1493" t="s">
        <v>151</v>
      </c>
      <c r="D1493" t="s">
        <v>11</v>
      </c>
      <c r="E1493" s="9">
        <v>27</v>
      </c>
      <c r="F1493" t="s">
        <v>12</v>
      </c>
      <c r="G1493" t="s">
        <v>13</v>
      </c>
      <c r="H1493" s="8">
        <v>42219</v>
      </c>
      <c r="I1493">
        <v>40625.589999999997</v>
      </c>
      <c r="K1493" s="8"/>
    </row>
    <row r="1494" spans="1:11">
      <c r="A1494">
        <v>100001493</v>
      </c>
      <c r="B1494" t="s">
        <v>36</v>
      </c>
      <c r="C1494" t="s">
        <v>63</v>
      </c>
      <c r="D1494" t="s">
        <v>11</v>
      </c>
      <c r="E1494" s="9">
        <v>27</v>
      </c>
      <c r="F1494" t="s">
        <v>12</v>
      </c>
      <c r="G1494" t="s">
        <v>18</v>
      </c>
      <c r="H1494" s="7">
        <v>42219</v>
      </c>
      <c r="I1494">
        <v>39881.74</v>
      </c>
      <c r="K1494" s="7"/>
    </row>
    <row r="1495" spans="1:11">
      <c r="A1495">
        <v>100001494</v>
      </c>
      <c r="B1495" t="s">
        <v>262</v>
      </c>
      <c r="C1495" t="s">
        <v>227</v>
      </c>
      <c r="D1495" t="s">
        <v>16</v>
      </c>
      <c r="E1495" s="9">
        <v>31</v>
      </c>
      <c r="F1495" t="s">
        <v>12</v>
      </c>
      <c r="G1495" t="s">
        <v>13</v>
      </c>
      <c r="H1495" s="8">
        <v>42219</v>
      </c>
      <c r="I1495">
        <v>84543.25</v>
      </c>
      <c r="K1495" s="8"/>
    </row>
    <row r="1496" spans="1:11">
      <c r="A1496">
        <v>100001495</v>
      </c>
      <c r="B1496" t="s">
        <v>213</v>
      </c>
      <c r="C1496" t="s">
        <v>205</v>
      </c>
      <c r="D1496" t="s">
        <v>11</v>
      </c>
      <c r="E1496" s="9">
        <v>36</v>
      </c>
      <c r="F1496" t="s">
        <v>12</v>
      </c>
      <c r="G1496" t="s">
        <v>13</v>
      </c>
      <c r="H1496" s="7">
        <v>42219</v>
      </c>
      <c r="I1496">
        <v>65592.55</v>
      </c>
      <c r="K1496" s="7"/>
    </row>
    <row r="1497" spans="1:11">
      <c r="A1497">
        <v>100001496</v>
      </c>
      <c r="B1497" t="s">
        <v>148</v>
      </c>
      <c r="C1497" t="s">
        <v>96</v>
      </c>
      <c r="D1497" t="s">
        <v>11</v>
      </c>
      <c r="E1497" s="9">
        <v>31</v>
      </c>
      <c r="F1497" t="s">
        <v>12</v>
      </c>
      <c r="G1497" t="s">
        <v>13</v>
      </c>
      <c r="H1497" s="8">
        <v>42219</v>
      </c>
      <c r="I1497">
        <v>34212.839999999997</v>
      </c>
      <c r="K1497" s="8"/>
    </row>
    <row r="1498" spans="1:11">
      <c r="A1498">
        <v>100001497</v>
      </c>
      <c r="B1498" t="s">
        <v>177</v>
      </c>
      <c r="C1498" t="s">
        <v>275</v>
      </c>
      <c r="D1498" t="s">
        <v>11</v>
      </c>
      <c r="E1498" s="9">
        <v>35</v>
      </c>
      <c r="F1498" t="s">
        <v>12</v>
      </c>
      <c r="G1498" t="s">
        <v>13</v>
      </c>
      <c r="H1498" s="7">
        <v>42219</v>
      </c>
      <c r="I1498">
        <v>19857.03</v>
      </c>
      <c r="K1498" s="7"/>
    </row>
    <row r="1499" spans="1:11">
      <c r="A1499">
        <v>100001498</v>
      </c>
      <c r="B1499" t="s">
        <v>117</v>
      </c>
      <c r="C1499" t="s">
        <v>282</v>
      </c>
      <c r="D1499" t="s">
        <v>16</v>
      </c>
      <c r="E1499" s="9">
        <v>32</v>
      </c>
      <c r="F1499" t="s">
        <v>12</v>
      </c>
      <c r="G1499" t="s">
        <v>13</v>
      </c>
      <c r="H1499" s="8">
        <v>42219</v>
      </c>
      <c r="I1499">
        <v>30225.62</v>
      </c>
      <c r="K1499" s="8"/>
    </row>
    <row r="1500" spans="1:11">
      <c r="A1500">
        <v>200001499</v>
      </c>
      <c r="B1500" t="s">
        <v>107</v>
      </c>
      <c r="C1500" t="s">
        <v>104</v>
      </c>
      <c r="D1500" t="s">
        <v>11</v>
      </c>
      <c r="E1500" s="9">
        <v>64</v>
      </c>
      <c r="F1500" t="s">
        <v>32</v>
      </c>
      <c r="G1500" t="s">
        <v>18</v>
      </c>
      <c r="H1500" s="7">
        <v>42219</v>
      </c>
      <c r="I1500">
        <v>71106.33</v>
      </c>
      <c r="K1500" s="7"/>
    </row>
    <row r="1501" spans="1:11">
      <c r="A1501">
        <v>200001500</v>
      </c>
      <c r="B1501" t="s">
        <v>152</v>
      </c>
      <c r="C1501" t="s">
        <v>127</v>
      </c>
      <c r="D1501" t="s">
        <v>11</v>
      </c>
      <c r="E1501" s="9">
        <v>57</v>
      </c>
      <c r="F1501" t="s">
        <v>32</v>
      </c>
      <c r="G1501" t="s">
        <v>18</v>
      </c>
      <c r="H1501" s="8">
        <v>42219</v>
      </c>
      <c r="I1501">
        <v>26137.759999999998</v>
      </c>
      <c r="K1501" s="8"/>
    </row>
    <row r="1502" spans="1:11">
      <c r="A1502">
        <v>200001501</v>
      </c>
      <c r="B1502" t="s">
        <v>135</v>
      </c>
      <c r="C1502" t="s">
        <v>109</v>
      </c>
      <c r="D1502" t="s">
        <v>11</v>
      </c>
      <c r="E1502" s="9">
        <v>45</v>
      </c>
      <c r="F1502" t="s">
        <v>32</v>
      </c>
      <c r="G1502" t="s">
        <v>18</v>
      </c>
      <c r="H1502" s="7">
        <v>42219</v>
      </c>
      <c r="I1502">
        <v>41160.57</v>
      </c>
      <c r="K1502" s="7"/>
    </row>
    <row r="1503" spans="1:11">
      <c r="A1503">
        <v>200001502</v>
      </c>
      <c r="B1503" t="s">
        <v>164</v>
      </c>
      <c r="C1503" t="s">
        <v>274</v>
      </c>
      <c r="D1503" t="s">
        <v>11</v>
      </c>
      <c r="E1503" s="9">
        <v>57</v>
      </c>
      <c r="F1503" t="s">
        <v>32</v>
      </c>
      <c r="G1503" t="s">
        <v>18</v>
      </c>
      <c r="H1503" s="8">
        <v>42219</v>
      </c>
      <c r="I1503">
        <v>141792.5</v>
      </c>
      <c r="K1503" s="8"/>
    </row>
    <row r="1504" spans="1:11">
      <c r="A1504">
        <v>400001503</v>
      </c>
      <c r="B1504" t="s">
        <v>44</v>
      </c>
      <c r="C1504" t="s">
        <v>49</v>
      </c>
      <c r="D1504" t="s">
        <v>16</v>
      </c>
      <c r="E1504" s="9">
        <v>33</v>
      </c>
      <c r="F1504" t="s">
        <v>17</v>
      </c>
      <c r="G1504" t="s">
        <v>18</v>
      </c>
      <c r="H1504" s="7">
        <v>42219</v>
      </c>
      <c r="I1504">
        <v>59125.17</v>
      </c>
      <c r="K1504" s="7"/>
    </row>
    <row r="1505" spans="1:11">
      <c r="A1505">
        <v>100001504</v>
      </c>
      <c r="B1505" t="s">
        <v>176</v>
      </c>
      <c r="C1505" t="s">
        <v>259</v>
      </c>
      <c r="D1505" t="s">
        <v>16</v>
      </c>
      <c r="E1505" s="9">
        <v>34</v>
      </c>
      <c r="F1505" t="s">
        <v>12</v>
      </c>
      <c r="G1505" t="s">
        <v>33</v>
      </c>
      <c r="H1505" s="8">
        <v>42220</v>
      </c>
      <c r="I1505">
        <v>23145.58</v>
      </c>
      <c r="K1505" s="8"/>
    </row>
    <row r="1506" spans="1:11">
      <c r="A1506">
        <v>100001505</v>
      </c>
      <c r="B1506" t="s">
        <v>199</v>
      </c>
      <c r="C1506" t="s">
        <v>96</v>
      </c>
      <c r="D1506" t="s">
        <v>11</v>
      </c>
      <c r="E1506" s="9">
        <v>36</v>
      </c>
      <c r="F1506" t="s">
        <v>12</v>
      </c>
      <c r="G1506" t="s">
        <v>13</v>
      </c>
      <c r="H1506" s="7">
        <v>42220</v>
      </c>
      <c r="I1506">
        <v>19076.5</v>
      </c>
      <c r="K1506" s="7"/>
    </row>
    <row r="1507" spans="1:11">
      <c r="A1507">
        <v>100001506</v>
      </c>
      <c r="B1507" t="s">
        <v>314</v>
      </c>
      <c r="C1507" t="s">
        <v>100</v>
      </c>
      <c r="D1507" t="s">
        <v>16</v>
      </c>
      <c r="E1507" s="9">
        <v>38</v>
      </c>
      <c r="F1507" t="s">
        <v>12</v>
      </c>
      <c r="G1507" t="s">
        <v>13</v>
      </c>
      <c r="H1507" s="8">
        <v>42220</v>
      </c>
      <c r="I1507">
        <v>25195.87</v>
      </c>
      <c r="K1507" s="8"/>
    </row>
    <row r="1508" spans="1:11">
      <c r="A1508">
        <v>100001507</v>
      </c>
      <c r="B1508" t="s">
        <v>321</v>
      </c>
      <c r="C1508" t="s">
        <v>222</v>
      </c>
      <c r="D1508" t="s">
        <v>16</v>
      </c>
      <c r="E1508" s="9">
        <v>28</v>
      </c>
      <c r="F1508" t="s">
        <v>12</v>
      </c>
      <c r="G1508" t="s">
        <v>13</v>
      </c>
      <c r="H1508" s="7">
        <v>42220</v>
      </c>
      <c r="I1508">
        <v>38920.959999999999</v>
      </c>
      <c r="K1508" s="7"/>
    </row>
    <row r="1509" spans="1:11">
      <c r="A1509">
        <v>100001508</v>
      </c>
      <c r="B1509" t="s">
        <v>197</v>
      </c>
      <c r="C1509" t="s">
        <v>274</v>
      </c>
      <c r="D1509" t="s">
        <v>11</v>
      </c>
      <c r="E1509" s="9">
        <v>27</v>
      </c>
      <c r="F1509" t="s">
        <v>12</v>
      </c>
      <c r="G1509" t="s">
        <v>13</v>
      </c>
      <c r="H1509" s="8">
        <v>42220</v>
      </c>
      <c r="I1509">
        <v>2504.7399999999998</v>
      </c>
      <c r="K1509" s="8"/>
    </row>
    <row r="1510" spans="1:11">
      <c r="A1510">
        <v>100001509</v>
      </c>
      <c r="B1510" t="s">
        <v>24</v>
      </c>
      <c r="C1510" t="s">
        <v>138</v>
      </c>
      <c r="D1510" t="s">
        <v>16</v>
      </c>
      <c r="E1510" s="9">
        <v>26</v>
      </c>
      <c r="F1510" t="s">
        <v>12</v>
      </c>
      <c r="G1510" t="s">
        <v>13</v>
      </c>
      <c r="H1510" s="7">
        <v>42220</v>
      </c>
      <c r="I1510">
        <v>19090.8</v>
      </c>
      <c r="K1510" s="7"/>
    </row>
    <row r="1511" spans="1:11">
      <c r="A1511">
        <v>200001510</v>
      </c>
      <c r="B1511" t="s">
        <v>141</v>
      </c>
      <c r="C1511" t="s">
        <v>106</v>
      </c>
      <c r="D1511" t="s">
        <v>11</v>
      </c>
      <c r="E1511" s="9">
        <v>49</v>
      </c>
      <c r="F1511" t="s">
        <v>32</v>
      </c>
      <c r="G1511" t="s">
        <v>18</v>
      </c>
      <c r="H1511" s="8">
        <v>42220</v>
      </c>
      <c r="I1511">
        <v>42654.47</v>
      </c>
      <c r="K1511" s="8"/>
    </row>
    <row r="1512" spans="1:11">
      <c r="A1512">
        <v>200001511</v>
      </c>
      <c r="B1512" t="s">
        <v>40</v>
      </c>
      <c r="C1512" t="s">
        <v>286</v>
      </c>
      <c r="D1512" t="s">
        <v>11</v>
      </c>
      <c r="E1512" s="9">
        <v>45</v>
      </c>
      <c r="F1512" t="s">
        <v>32</v>
      </c>
      <c r="G1512" t="s">
        <v>33</v>
      </c>
      <c r="H1512" s="7">
        <v>42220</v>
      </c>
      <c r="I1512">
        <v>27154.95</v>
      </c>
      <c r="K1512" s="7"/>
    </row>
    <row r="1513" spans="1:11">
      <c r="A1513">
        <v>200001512</v>
      </c>
      <c r="B1513" t="s">
        <v>103</v>
      </c>
      <c r="C1513" t="s">
        <v>29</v>
      </c>
      <c r="D1513" t="s">
        <v>11</v>
      </c>
      <c r="E1513" s="9">
        <v>43</v>
      </c>
      <c r="F1513" t="s">
        <v>32</v>
      </c>
      <c r="G1513" t="s">
        <v>18</v>
      </c>
      <c r="H1513" s="8">
        <v>42220</v>
      </c>
      <c r="I1513">
        <v>35520.18</v>
      </c>
      <c r="K1513" s="8"/>
    </row>
    <row r="1514" spans="1:11">
      <c r="A1514">
        <v>300001513</v>
      </c>
      <c r="B1514" t="s">
        <v>19</v>
      </c>
      <c r="C1514" t="s">
        <v>56</v>
      </c>
      <c r="D1514" t="s">
        <v>11</v>
      </c>
      <c r="E1514" s="9">
        <v>44</v>
      </c>
      <c r="F1514" t="s">
        <v>23</v>
      </c>
      <c r="G1514" t="s">
        <v>18</v>
      </c>
      <c r="H1514" s="7">
        <v>42220</v>
      </c>
      <c r="I1514">
        <v>53325.85</v>
      </c>
      <c r="K1514" s="7"/>
    </row>
    <row r="1515" spans="1:11">
      <c r="A1515">
        <v>100001514</v>
      </c>
      <c r="B1515" t="s">
        <v>287</v>
      </c>
      <c r="C1515" t="s">
        <v>322</v>
      </c>
      <c r="D1515" t="s">
        <v>16</v>
      </c>
      <c r="E1515" s="9">
        <v>30</v>
      </c>
      <c r="F1515" t="s">
        <v>12</v>
      </c>
      <c r="G1515" t="s">
        <v>18</v>
      </c>
      <c r="H1515" s="8">
        <v>42221</v>
      </c>
      <c r="I1515">
        <v>94490.55</v>
      </c>
      <c r="K1515" s="8"/>
    </row>
    <row r="1516" spans="1:11">
      <c r="A1516">
        <v>100001515</v>
      </c>
      <c r="B1516" t="s">
        <v>135</v>
      </c>
      <c r="C1516" t="s">
        <v>152</v>
      </c>
      <c r="D1516" t="s">
        <v>11</v>
      </c>
      <c r="E1516" s="9">
        <v>36</v>
      </c>
      <c r="F1516" t="s">
        <v>12</v>
      </c>
      <c r="G1516" t="s">
        <v>33</v>
      </c>
      <c r="H1516" s="7">
        <v>42221</v>
      </c>
      <c r="I1516">
        <v>46324.39</v>
      </c>
      <c r="K1516" s="7"/>
    </row>
    <row r="1517" spans="1:11">
      <c r="A1517">
        <v>100001516</v>
      </c>
      <c r="B1517" t="s">
        <v>264</v>
      </c>
      <c r="C1517" t="s">
        <v>29</v>
      </c>
      <c r="D1517" t="s">
        <v>11</v>
      </c>
      <c r="E1517" s="9">
        <v>31</v>
      </c>
      <c r="F1517" t="s">
        <v>12</v>
      </c>
      <c r="G1517" t="s">
        <v>13</v>
      </c>
      <c r="H1517" s="8">
        <v>42221</v>
      </c>
      <c r="I1517">
        <v>8857.19</v>
      </c>
      <c r="K1517" s="8"/>
    </row>
    <row r="1518" spans="1:11">
      <c r="A1518">
        <v>200001517</v>
      </c>
      <c r="B1518" t="s">
        <v>175</v>
      </c>
      <c r="C1518" t="s">
        <v>269</v>
      </c>
      <c r="D1518" t="s">
        <v>11</v>
      </c>
      <c r="E1518" s="9">
        <v>53</v>
      </c>
      <c r="F1518" t="s">
        <v>32</v>
      </c>
      <c r="G1518" t="s">
        <v>33</v>
      </c>
      <c r="H1518" s="7">
        <v>42221</v>
      </c>
      <c r="I1518">
        <v>13667.27</v>
      </c>
      <c r="K1518" s="7"/>
    </row>
    <row r="1519" spans="1:11">
      <c r="A1519">
        <v>200001518</v>
      </c>
      <c r="B1519" t="s">
        <v>48</v>
      </c>
      <c r="C1519" t="s">
        <v>20</v>
      </c>
      <c r="D1519" t="s">
        <v>16</v>
      </c>
      <c r="E1519" s="9">
        <v>51</v>
      </c>
      <c r="F1519" t="s">
        <v>32</v>
      </c>
      <c r="G1519" t="s">
        <v>33</v>
      </c>
      <c r="H1519" s="8">
        <v>42221</v>
      </c>
      <c r="I1519">
        <v>29889.68</v>
      </c>
      <c r="K1519" s="8"/>
    </row>
    <row r="1520" spans="1:11">
      <c r="A1520">
        <v>200001519</v>
      </c>
      <c r="B1520" t="s">
        <v>267</v>
      </c>
      <c r="C1520" t="s">
        <v>78</v>
      </c>
      <c r="D1520" t="s">
        <v>16</v>
      </c>
      <c r="E1520" s="9">
        <v>38</v>
      </c>
      <c r="F1520" t="s">
        <v>32</v>
      </c>
      <c r="G1520" t="s">
        <v>33</v>
      </c>
      <c r="H1520" s="7">
        <v>42221</v>
      </c>
      <c r="I1520">
        <v>114945.55</v>
      </c>
      <c r="K1520" s="7"/>
    </row>
    <row r="1521" spans="1:11">
      <c r="A1521">
        <v>300001520</v>
      </c>
      <c r="B1521" t="s">
        <v>119</v>
      </c>
      <c r="C1521" t="s">
        <v>67</v>
      </c>
      <c r="D1521" t="s">
        <v>16</v>
      </c>
      <c r="E1521" s="9">
        <v>47</v>
      </c>
      <c r="F1521" t="s">
        <v>23</v>
      </c>
      <c r="G1521" t="s">
        <v>33</v>
      </c>
      <c r="H1521" s="8">
        <v>42221</v>
      </c>
      <c r="I1521">
        <v>71574.75</v>
      </c>
      <c r="K1521" s="8"/>
    </row>
    <row r="1522" spans="1:11">
      <c r="A1522">
        <v>400001521</v>
      </c>
      <c r="B1522" t="s">
        <v>309</v>
      </c>
      <c r="C1522" t="s">
        <v>136</v>
      </c>
      <c r="D1522" t="s">
        <v>16</v>
      </c>
      <c r="E1522" s="9">
        <v>28</v>
      </c>
      <c r="F1522" t="s">
        <v>17</v>
      </c>
      <c r="G1522" t="s">
        <v>33</v>
      </c>
      <c r="H1522" s="7">
        <v>42221</v>
      </c>
      <c r="I1522">
        <v>19160.55</v>
      </c>
      <c r="K1522" s="7"/>
    </row>
    <row r="1523" spans="1:11">
      <c r="A1523">
        <v>400001522</v>
      </c>
      <c r="B1523" t="s">
        <v>148</v>
      </c>
      <c r="C1523" t="s">
        <v>37</v>
      </c>
      <c r="D1523" t="s">
        <v>11</v>
      </c>
      <c r="E1523" s="9">
        <v>35</v>
      </c>
      <c r="F1523" t="s">
        <v>17</v>
      </c>
      <c r="G1523" t="s">
        <v>33</v>
      </c>
      <c r="H1523" s="8">
        <v>42221</v>
      </c>
      <c r="I1523">
        <v>33042.129999999997</v>
      </c>
      <c r="K1523" s="8"/>
    </row>
    <row r="1524" spans="1:11">
      <c r="A1524">
        <v>400001523</v>
      </c>
      <c r="B1524" t="s">
        <v>171</v>
      </c>
      <c r="C1524" t="s">
        <v>31</v>
      </c>
      <c r="D1524" t="s">
        <v>16</v>
      </c>
      <c r="E1524" s="9">
        <v>18</v>
      </c>
      <c r="F1524" t="s">
        <v>17</v>
      </c>
      <c r="G1524" t="s">
        <v>18</v>
      </c>
      <c r="H1524" s="7">
        <v>42221</v>
      </c>
      <c r="I1524">
        <v>31948.6</v>
      </c>
      <c r="K1524" s="7"/>
    </row>
    <row r="1525" spans="1:11">
      <c r="A1525">
        <v>100001524</v>
      </c>
      <c r="B1525" t="s">
        <v>321</v>
      </c>
      <c r="C1525" t="s">
        <v>305</v>
      </c>
      <c r="D1525" t="s">
        <v>16</v>
      </c>
      <c r="E1525" s="9">
        <v>36</v>
      </c>
      <c r="F1525" t="s">
        <v>12</v>
      </c>
      <c r="G1525" t="s">
        <v>13</v>
      </c>
      <c r="H1525" s="8">
        <v>42222</v>
      </c>
      <c r="I1525">
        <v>50523.67</v>
      </c>
      <c r="K1525" s="8"/>
    </row>
    <row r="1526" spans="1:11">
      <c r="A1526">
        <v>100001525</v>
      </c>
      <c r="B1526" t="s">
        <v>214</v>
      </c>
      <c r="C1526" t="s">
        <v>233</v>
      </c>
      <c r="D1526" t="s">
        <v>11</v>
      </c>
      <c r="E1526" s="9">
        <v>23</v>
      </c>
      <c r="F1526" t="s">
        <v>12</v>
      </c>
      <c r="G1526" t="s">
        <v>13</v>
      </c>
      <c r="H1526" s="7">
        <v>42222</v>
      </c>
      <c r="I1526">
        <v>40230.42</v>
      </c>
      <c r="K1526" s="7"/>
    </row>
    <row r="1527" spans="1:11">
      <c r="A1527">
        <v>100001526</v>
      </c>
      <c r="B1527" t="s">
        <v>191</v>
      </c>
      <c r="C1527" t="s">
        <v>292</v>
      </c>
      <c r="D1527" t="s">
        <v>11</v>
      </c>
      <c r="E1527" s="9">
        <v>48</v>
      </c>
      <c r="F1527" t="s">
        <v>12</v>
      </c>
      <c r="G1527" t="s">
        <v>33</v>
      </c>
      <c r="H1527" s="8">
        <v>42222</v>
      </c>
      <c r="I1527">
        <v>4901.2299999999996</v>
      </c>
      <c r="K1527" s="8"/>
    </row>
    <row r="1528" spans="1:11">
      <c r="A1528">
        <v>100001527</v>
      </c>
      <c r="B1528" t="s">
        <v>317</v>
      </c>
      <c r="C1528" t="s">
        <v>132</v>
      </c>
      <c r="D1528" t="s">
        <v>16</v>
      </c>
      <c r="E1528" s="9">
        <v>47</v>
      </c>
      <c r="F1528" t="s">
        <v>12</v>
      </c>
      <c r="G1528" t="s">
        <v>13</v>
      </c>
      <c r="H1528" s="7">
        <v>42222</v>
      </c>
      <c r="I1528">
        <v>18860.64</v>
      </c>
      <c r="K1528" s="7"/>
    </row>
    <row r="1529" spans="1:11">
      <c r="A1529">
        <v>300001528</v>
      </c>
      <c r="B1529" t="s">
        <v>234</v>
      </c>
      <c r="C1529" t="s">
        <v>185</v>
      </c>
      <c r="D1529" t="s">
        <v>11</v>
      </c>
      <c r="E1529" s="9">
        <v>27</v>
      </c>
      <c r="F1529" t="s">
        <v>23</v>
      </c>
      <c r="G1529" t="s">
        <v>13</v>
      </c>
      <c r="H1529" s="8">
        <v>42222</v>
      </c>
      <c r="I1529">
        <v>17541.060000000001</v>
      </c>
      <c r="K1529" s="8"/>
    </row>
    <row r="1530" spans="1:11">
      <c r="A1530">
        <v>300001529</v>
      </c>
      <c r="B1530" t="s">
        <v>188</v>
      </c>
      <c r="C1530" t="s">
        <v>230</v>
      </c>
      <c r="D1530" t="s">
        <v>11</v>
      </c>
      <c r="E1530" s="9">
        <v>43</v>
      </c>
      <c r="F1530" t="s">
        <v>23</v>
      </c>
      <c r="G1530" t="s">
        <v>33</v>
      </c>
      <c r="H1530" s="7">
        <v>42222</v>
      </c>
      <c r="I1530">
        <v>51598.1</v>
      </c>
      <c r="K1530" s="7"/>
    </row>
    <row r="1531" spans="1:11">
      <c r="A1531">
        <v>300001530</v>
      </c>
      <c r="B1531" t="s">
        <v>320</v>
      </c>
      <c r="C1531" t="s">
        <v>285</v>
      </c>
      <c r="D1531" t="s">
        <v>16</v>
      </c>
      <c r="E1531" s="9">
        <v>45</v>
      </c>
      <c r="F1531" t="s">
        <v>23</v>
      </c>
      <c r="G1531" t="s">
        <v>33</v>
      </c>
      <c r="H1531" s="8">
        <v>42222</v>
      </c>
      <c r="I1531">
        <v>22305.13</v>
      </c>
      <c r="K1531" s="8"/>
    </row>
    <row r="1532" spans="1:11">
      <c r="A1532">
        <v>400001531</v>
      </c>
      <c r="B1532" t="s">
        <v>300</v>
      </c>
      <c r="C1532" t="s">
        <v>282</v>
      </c>
      <c r="D1532" t="s">
        <v>16</v>
      </c>
      <c r="E1532" s="9">
        <v>31</v>
      </c>
      <c r="F1532" t="s">
        <v>17</v>
      </c>
      <c r="G1532" t="s">
        <v>18</v>
      </c>
      <c r="H1532" s="7">
        <v>42222</v>
      </c>
      <c r="I1532">
        <v>46207.53</v>
      </c>
      <c r="K1532" s="7"/>
    </row>
    <row r="1533" spans="1:11">
      <c r="A1533">
        <v>100001532</v>
      </c>
      <c r="B1533" t="s">
        <v>143</v>
      </c>
      <c r="C1533" t="s">
        <v>227</v>
      </c>
      <c r="D1533" t="s">
        <v>11</v>
      </c>
      <c r="E1533" s="9">
        <v>51</v>
      </c>
      <c r="F1533" t="s">
        <v>12</v>
      </c>
      <c r="G1533" t="s">
        <v>18</v>
      </c>
      <c r="H1533" s="8">
        <v>42223</v>
      </c>
      <c r="I1533">
        <v>42316.94</v>
      </c>
      <c r="K1533" s="8"/>
    </row>
    <row r="1534" spans="1:11">
      <c r="A1534">
        <v>100001533</v>
      </c>
      <c r="B1534" t="s">
        <v>316</v>
      </c>
      <c r="C1534" t="s">
        <v>109</v>
      </c>
      <c r="D1534" t="s">
        <v>16</v>
      </c>
      <c r="E1534" s="9">
        <v>39</v>
      </c>
      <c r="F1534" t="s">
        <v>12</v>
      </c>
      <c r="G1534" t="s">
        <v>13</v>
      </c>
      <c r="H1534" s="7">
        <v>42223</v>
      </c>
      <c r="I1534">
        <v>5133.32</v>
      </c>
      <c r="K1534" s="7"/>
    </row>
    <row r="1535" spans="1:11">
      <c r="A1535">
        <v>100001534</v>
      </c>
      <c r="B1535" t="s">
        <v>217</v>
      </c>
      <c r="C1535" t="s">
        <v>140</v>
      </c>
      <c r="D1535" t="s">
        <v>11</v>
      </c>
      <c r="E1535" s="9">
        <v>37</v>
      </c>
      <c r="F1535" t="s">
        <v>12</v>
      </c>
      <c r="G1535" t="s">
        <v>18</v>
      </c>
      <c r="H1535" s="8">
        <v>42223</v>
      </c>
      <c r="I1535">
        <v>54533.59</v>
      </c>
      <c r="K1535" s="8"/>
    </row>
    <row r="1536" spans="1:11">
      <c r="A1536">
        <v>100001535</v>
      </c>
      <c r="B1536" t="s">
        <v>89</v>
      </c>
      <c r="C1536" t="s">
        <v>91</v>
      </c>
      <c r="D1536" t="s">
        <v>11</v>
      </c>
      <c r="E1536" s="9">
        <v>39</v>
      </c>
      <c r="F1536" t="s">
        <v>12</v>
      </c>
      <c r="G1536" t="s">
        <v>13</v>
      </c>
      <c r="H1536" s="7">
        <v>42223</v>
      </c>
      <c r="I1536">
        <v>21204.79</v>
      </c>
      <c r="K1536" s="7"/>
    </row>
    <row r="1537" spans="1:11">
      <c r="A1537">
        <v>100001536</v>
      </c>
      <c r="B1537" t="s">
        <v>293</v>
      </c>
      <c r="C1537" t="s">
        <v>65</v>
      </c>
      <c r="D1537" t="s">
        <v>11</v>
      </c>
      <c r="E1537" s="9">
        <v>45</v>
      </c>
      <c r="F1537" t="s">
        <v>12</v>
      </c>
      <c r="G1537" t="s">
        <v>13</v>
      </c>
      <c r="H1537" s="8">
        <v>42223</v>
      </c>
      <c r="I1537">
        <v>18027.52</v>
      </c>
      <c r="K1537" s="8"/>
    </row>
    <row r="1538" spans="1:11">
      <c r="A1538">
        <v>100001537</v>
      </c>
      <c r="B1538" t="s">
        <v>181</v>
      </c>
      <c r="C1538" t="s">
        <v>230</v>
      </c>
      <c r="D1538" t="s">
        <v>11</v>
      </c>
      <c r="E1538" s="9">
        <v>26</v>
      </c>
      <c r="F1538" t="s">
        <v>12</v>
      </c>
      <c r="G1538" t="s">
        <v>13</v>
      </c>
      <c r="H1538" s="7">
        <v>42223</v>
      </c>
      <c r="I1538">
        <v>8708.57</v>
      </c>
      <c r="K1538" s="7"/>
    </row>
    <row r="1539" spans="1:11">
      <c r="A1539">
        <v>300001538</v>
      </c>
      <c r="B1539" t="s">
        <v>314</v>
      </c>
      <c r="C1539" t="s">
        <v>230</v>
      </c>
      <c r="D1539" t="s">
        <v>16</v>
      </c>
      <c r="E1539" s="9">
        <v>47</v>
      </c>
      <c r="F1539" t="s">
        <v>23</v>
      </c>
      <c r="G1539" t="s">
        <v>13</v>
      </c>
      <c r="H1539" s="8">
        <v>42223</v>
      </c>
      <c r="I1539">
        <v>43260.49</v>
      </c>
      <c r="K1539" s="8"/>
    </row>
    <row r="1540" spans="1:11">
      <c r="A1540">
        <v>300001539</v>
      </c>
      <c r="B1540" t="s">
        <v>262</v>
      </c>
      <c r="C1540" t="s">
        <v>156</v>
      </c>
      <c r="D1540" t="s">
        <v>16</v>
      </c>
      <c r="E1540" s="9">
        <v>37</v>
      </c>
      <c r="F1540" t="s">
        <v>23</v>
      </c>
      <c r="G1540" t="s">
        <v>13</v>
      </c>
      <c r="H1540" s="7">
        <v>42223</v>
      </c>
      <c r="I1540">
        <v>53825.25</v>
      </c>
      <c r="K1540" s="7"/>
    </row>
    <row r="1541" spans="1:11">
      <c r="A1541">
        <v>100001540</v>
      </c>
      <c r="B1541" t="s">
        <v>190</v>
      </c>
      <c r="C1541" t="s">
        <v>94</v>
      </c>
      <c r="D1541" t="s">
        <v>11</v>
      </c>
      <c r="E1541" s="9">
        <v>33</v>
      </c>
      <c r="F1541" t="s">
        <v>12</v>
      </c>
      <c r="G1541" t="s">
        <v>33</v>
      </c>
      <c r="H1541" s="8">
        <v>42224</v>
      </c>
      <c r="I1541">
        <v>18305.03</v>
      </c>
      <c r="K1541" s="8"/>
    </row>
    <row r="1542" spans="1:11">
      <c r="A1542">
        <v>100001541</v>
      </c>
      <c r="B1542" t="s">
        <v>9</v>
      </c>
      <c r="C1542" t="s">
        <v>78</v>
      </c>
      <c r="D1542" t="s">
        <v>11</v>
      </c>
      <c r="E1542" s="9">
        <v>30</v>
      </c>
      <c r="F1542" t="s">
        <v>12</v>
      </c>
      <c r="G1542" t="s">
        <v>33</v>
      </c>
      <c r="H1542" s="7">
        <v>42224</v>
      </c>
      <c r="I1542">
        <v>83041.14</v>
      </c>
      <c r="K1542" s="7"/>
    </row>
    <row r="1543" spans="1:11">
      <c r="A1543">
        <v>100001542</v>
      </c>
      <c r="B1543" t="s">
        <v>28</v>
      </c>
      <c r="C1543" t="s">
        <v>114</v>
      </c>
      <c r="D1543" t="s">
        <v>16</v>
      </c>
      <c r="E1543" s="9">
        <v>30</v>
      </c>
      <c r="F1543" t="s">
        <v>12</v>
      </c>
      <c r="G1543" t="s">
        <v>33</v>
      </c>
      <c r="H1543" s="8">
        <v>42224</v>
      </c>
      <c r="I1543">
        <v>86591.86</v>
      </c>
      <c r="K1543" s="8"/>
    </row>
    <row r="1544" spans="1:11">
      <c r="A1544">
        <v>100001543</v>
      </c>
      <c r="B1544" t="s">
        <v>312</v>
      </c>
      <c r="C1544" t="s">
        <v>216</v>
      </c>
      <c r="D1544" t="s">
        <v>11</v>
      </c>
      <c r="E1544" s="9">
        <v>26</v>
      </c>
      <c r="F1544" t="s">
        <v>12</v>
      </c>
      <c r="G1544" t="s">
        <v>13</v>
      </c>
      <c r="H1544" s="7">
        <v>42224</v>
      </c>
      <c r="I1544">
        <v>12883.77</v>
      </c>
      <c r="K1544" s="7"/>
    </row>
    <row r="1545" spans="1:11">
      <c r="A1545">
        <v>100001544</v>
      </c>
      <c r="B1545" t="s">
        <v>150</v>
      </c>
      <c r="C1545" t="s">
        <v>49</v>
      </c>
      <c r="D1545" t="s">
        <v>16</v>
      </c>
      <c r="E1545" s="9">
        <v>25</v>
      </c>
      <c r="F1545" t="s">
        <v>12</v>
      </c>
      <c r="G1545" t="s">
        <v>13</v>
      </c>
      <c r="H1545" s="8">
        <v>42224</v>
      </c>
      <c r="I1545">
        <v>45618.61</v>
      </c>
      <c r="K1545" s="8"/>
    </row>
    <row r="1546" spans="1:11">
      <c r="A1546">
        <v>100001545</v>
      </c>
      <c r="B1546" t="s">
        <v>46</v>
      </c>
      <c r="C1546" t="s">
        <v>29</v>
      </c>
      <c r="D1546" t="s">
        <v>11</v>
      </c>
      <c r="E1546" s="9">
        <v>30</v>
      </c>
      <c r="F1546" t="s">
        <v>12</v>
      </c>
      <c r="G1546" t="s">
        <v>13</v>
      </c>
      <c r="H1546" s="7">
        <v>42224</v>
      </c>
      <c r="I1546">
        <v>38121.480000000003</v>
      </c>
      <c r="K1546" s="7"/>
    </row>
    <row r="1547" spans="1:11">
      <c r="A1547">
        <v>100001546</v>
      </c>
      <c r="B1547" t="s">
        <v>317</v>
      </c>
      <c r="C1547" t="s">
        <v>266</v>
      </c>
      <c r="D1547" t="s">
        <v>16</v>
      </c>
      <c r="E1547" s="9">
        <v>37</v>
      </c>
      <c r="F1547" t="s">
        <v>12</v>
      </c>
      <c r="G1547" t="s">
        <v>13</v>
      </c>
      <c r="H1547" s="8">
        <v>42224</v>
      </c>
      <c r="I1547">
        <v>7467.05</v>
      </c>
      <c r="K1547" s="8"/>
    </row>
    <row r="1548" spans="1:11">
      <c r="A1548">
        <v>100001547</v>
      </c>
      <c r="B1548" t="s">
        <v>28</v>
      </c>
      <c r="C1548" t="s">
        <v>95</v>
      </c>
      <c r="D1548" t="s">
        <v>16</v>
      </c>
      <c r="E1548" s="9">
        <v>38</v>
      </c>
      <c r="F1548" t="s">
        <v>12</v>
      </c>
      <c r="G1548" t="s">
        <v>33</v>
      </c>
      <c r="H1548" s="7">
        <v>42224</v>
      </c>
      <c r="I1548">
        <v>80338.649999999994</v>
      </c>
      <c r="K1548" s="7"/>
    </row>
    <row r="1549" spans="1:11">
      <c r="A1549">
        <v>100001548</v>
      </c>
      <c r="B1549" t="s">
        <v>120</v>
      </c>
      <c r="C1549" t="s">
        <v>294</v>
      </c>
      <c r="D1549" t="s">
        <v>16</v>
      </c>
      <c r="E1549" s="9">
        <v>35</v>
      </c>
      <c r="F1549" t="s">
        <v>12</v>
      </c>
      <c r="G1549" t="s">
        <v>18</v>
      </c>
      <c r="H1549" s="8">
        <v>42224</v>
      </c>
      <c r="I1549">
        <v>87960.01</v>
      </c>
      <c r="K1549" s="8"/>
    </row>
    <row r="1550" spans="1:11">
      <c r="A1550">
        <v>200001549</v>
      </c>
      <c r="B1550" t="s">
        <v>312</v>
      </c>
      <c r="C1550" t="s">
        <v>124</v>
      </c>
      <c r="D1550" t="s">
        <v>11</v>
      </c>
      <c r="E1550" s="9">
        <v>55</v>
      </c>
      <c r="F1550" t="s">
        <v>32</v>
      </c>
      <c r="G1550" t="s">
        <v>18</v>
      </c>
      <c r="H1550" s="7">
        <v>42224</v>
      </c>
      <c r="I1550">
        <v>10903.24</v>
      </c>
      <c r="K1550" s="7"/>
    </row>
    <row r="1551" spans="1:11">
      <c r="A1551">
        <v>200001550</v>
      </c>
      <c r="B1551" t="s">
        <v>107</v>
      </c>
      <c r="C1551" t="s">
        <v>240</v>
      </c>
      <c r="D1551" t="s">
        <v>11</v>
      </c>
      <c r="E1551" s="9">
        <v>50</v>
      </c>
      <c r="F1551" t="s">
        <v>32</v>
      </c>
      <c r="G1551" t="s">
        <v>18</v>
      </c>
      <c r="H1551" s="8">
        <v>42224</v>
      </c>
      <c r="I1551">
        <v>28141.86</v>
      </c>
      <c r="K1551" s="8"/>
    </row>
    <row r="1552" spans="1:11">
      <c r="A1552">
        <v>400001551</v>
      </c>
      <c r="B1552" t="s">
        <v>194</v>
      </c>
      <c r="C1552" t="s">
        <v>305</v>
      </c>
      <c r="D1552" t="s">
        <v>16</v>
      </c>
      <c r="E1552" s="9">
        <v>36</v>
      </c>
      <c r="F1552" t="s">
        <v>17</v>
      </c>
      <c r="G1552" t="s">
        <v>33</v>
      </c>
      <c r="H1552" s="7">
        <v>42224</v>
      </c>
      <c r="I1552">
        <v>11566.5</v>
      </c>
      <c r="K1552" s="7"/>
    </row>
    <row r="1553" spans="1:11">
      <c r="A1553">
        <v>100001552</v>
      </c>
      <c r="B1553" t="s">
        <v>74</v>
      </c>
      <c r="C1553" t="s">
        <v>140</v>
      </c>
      <c r="D1553" t="s">
        <v>16</v>
      </c>
      <c r="E1553" s="9">
        <v>36</v>
      </c>
      <c r="F1553" t="s">
        <v>12</v>
      </c>
      <c r="G1553" t="s">
        <v>18</v>
      </c>
      <c r="H1553" s="8">
        <v>42225</v>
      </c>
      <c r="I1553">
        <v>23247.17</v>
      </c>
      <c r="K1553" s="8"/>
    </row>
    <row r="1554" spans="1:11">
      <c r="A1554">
        <v>100001553</v>
      </c>
      <c r="B1554" t="s">
        <v>264</v>
      </c>
      <c r="C1554" t="s">
        <v>152</v>
      </c>
      <c r="D1554" t="s">
        <v>11</v>
      </c>
      <c r="E1554" s="9">
        <v>44</v>
      </c>
      <c r="F1554" t="s">
        <v>12</v>
      </c>
      <c r="G1554" t="s">
        <v>18</v>
      </c>
      <c r="H1554" s="7">
        <v>42225</v>
      </c>
      <c r="I1554">
        <v>10912.78</v>
      </c>
      <c r="K1554" s="7"/>
    </row>
    <row r="1555" spans="1:11">
      <c r="A1555">
        <v>100001554</v>
      </c>
      <c r="B1555" t="s">
        <v>36</v>
      </c>
      <c r="C1555" t="s">
        <v>116</v>
      </c>
      <c r="D1555" t="s">
        <v>11</v>
      </c>
      <c r="E1555" s="9">
        <v>34</v>
      </c>
      <c r="F1555" t="s">
        <v>12</v>
      </c>
      <c r="G1555" t="s">
        <v>13</v>
      </c>
      <c r="H1555" s="8">
        <v>42225</v>
      </c>
      <c r="I1555">
        <v>94732.96</v>
      </c>
      <c r="K1555" s="8"/>
    </row>
    <row r="1556" spans="1:11">
      <c r="A1556">
        <v>100001555</v>
      </c>
      <c r="B1556" t="s">
        <v>122</v>
      </c>
      <c r="C1556" t="s">
        <v>107</v>
      </c>
      <c r="D1556" t="s">
        <v>11</v>
      </c>
      <c r="E1556" s="9">
        <v>47</v>
      </c>
      <c r="F1556" t="s">
        <v>12</v>
      </c>
      <c r="G1556" t="s">
        <v>33</v>
      </c>
      <c r="H1556" s="7">
        <v>42225</v>
      </c>
      <c r="I1556">
        <v>26891.41</v>
      </c>
      <c r="K1556" s="7"/>
    </row>
    <row r="1557" spans="1:11">
      <c r="A1557">
        <v>100001556</v>
      </c>
      <c r="B1557" t="s">
        <v>194</v>
      </c>
      <c r="C1557" t="s">
        <v>201</v>
      </c>
      <c r="D1557" t="s">
        <v>16</v>
      </c>
      <c r="E1557" s="9">
        <v>25</v>
      </c>
      <c r="F1557" t="s">
        <v>12</v>
      </c>
      <c r="G1557" t="s">
        <v>13</v>
      </c>
      <c r="H1557" s="8">
        <v>42225</v>
      </c>
      <c r="I1557">
        <v>66105.55</v>
      </c>
      <c r="K1557" s="8"/>
    </row>
    <row r="1558" spans="1:11">
      <c r="A1558">
        <v>100001557</v>
      </c>
      <c r="B1558" t="s">
        <v>55</v>
      </c>
      <c r="C1558" t="s">
        <v>291</v>
      </c>
      <c r="D1558" t="s">
        <v>11</v>
      </c>
      <c r="E1558" s="9">
        <v>29</v>
      </c>
      <c r="F1558" t="s">
        <v>12</v>
      </c>
      <c r="G1558" t="s">
        <v>13</v>
      </c>
      <c r="H1558" s="7">
        <v>42225</v>
      </c>
      <c r="I1558">
        <v>2987.04</v>
      </c>
      <c r="K1558" s="7"/>
    </row>
    <row r="1559" spans="1:11">
      <c r="A1559">
        <v>100001558</v>
      </c>
      <c r="B1559" t="s">
        <v>323</v>
      </c>
      <c r="C1559" t="s">
        <v>127</v>
      </c>
      <c r="D1559" t="s">
        <v>16</v>
      </c>
      <c r="E1559" s="9">
        <v>37</v>
      </c>
      <c r="F1559" t="s">
        <v>12</v>
      </c>
      <c r="G1559" t="s">
        <v>13</v>
      </c>
      <c r="H1559" s="8">
        <v>42225</v>
      </c>
      <c r="I1559">
        <v>60167.62</v>
      </c>
      <c r="K1559" s="8"/>
    </row>
    <row r="1560" spans="1:11">
      <c r="A1560">
        <v>100001559</v>
      </c>
      <c r="B1560" t="s">
        <v>129</v>
      </c>
      <c r="C1560" t="s">
        <v>209</v>
      </c>
      <c r="D1560" t="s">
        <v>11</v>
      </c>
      <c r="E1560" s="9">
        <v>46</v>
      </c>
      <c r="F1560" t="s">
        <v>12</v>
      </c>
      <c r="G1560" t="s">
        <v>13</v>
      </c>
      <c r="H1560" s="7">
        <v>42225</v>
      </c>
      <c r="I1560">
        <v>4439.7</v>
      </c>
      <c r="K1560" s="7"/>
    </row>
    <row r="1561" spans="1:11">
      <c r="A1561">
        <v>100001560</v>
      </c>
      <c r="B1561" t="s">
        <v>250</v>
      </c>
      <c r="C1561" t="s">
        <v>75</v>
      </c>
      <c r="D1561" t="s">
        <v>16</v>
      </c>
      <c r="E1561" s="9">
        <v>35</v>
      </c>
      <c r="F1561" t="s">
        <v>12</v>
      </c>
      <c r="G1561" t="s">
        <v>13</v>
      </c>
      <c r="H1561" s="8">
        <v>42225</v>
      </c>
      <c r="I1561">
        <v>26366.52</v>
      </c>
      <c r="K1561" s="8"/>
    </row>
    <row r="1562" spans="1:11">
      <c r="A1562">
        <v>200001561</v>
      </c>
      <c r="B1562" t="s">
        <v>181</v>
      </c>
      <c r="C1562" t="s">
        <v>27</v>
      </c>
      <c r="D1562" t="s">
        <v>11</v>
      </c>
      <c r="E1562" s="9">
        <v>52</v>
      </c>
      <c r="F1562" t="s">
        <v>32</v>
      </c>
      <c r="G1562" t="s">
        <v>18</v>
      </c>
      <c r="H1562" s="7">
        <v>42225</v>
      </c>
      <c r="I1562">
        <v>104693.27</v>
      </c>
      <c r="K1562" s="7"/>
    </row>
    <row r="1563" spans="1:11">
      <c r="A1563">
        <v>200001562</v>
      </c>
      <c r="B1563" t="s">
        <v>72</v>
      </c>
      <c r="C1563" t="s">
        <v>195</v>
      </c>
      <c r="D1563" t="s">
        <v>11</v>
      </c>
      <c r="E1563" s="9">
        <v>58</v>
      </c>
      <c r="F1563" t="s">
        <v>32</v>
      </c>
      <c r="G1563" t="s">
        <v>33</v>
      </c>
      <c r="H1563" s="8">
        <v>42225</v>
      </c>
      <c r="I1563">
        <v>66875.08</v>
      </c>
      <c r="K1563" s="8"/>
    </row>
    <row r="1564" spans="1:11">
      <c r="A1564">
        <v>300001563</v>
      </c>
      <c r="B1564" t="s">
        <v>129</v>
      </c>
      <c r="C1564" t="s">
        <v>195</v>
      </c>
      <c r="D1564" t="s">
        <v>11</v>
      </c>
      <c r="E1564" s="9">
        <v>49</v>
      </c>
      <c r="F1564" t="s">
        <v>23</v>
      </c>
      <c r="G1564" t="s">
        <v>13</v>
      </c>
      <c r="H1564" s="7">
        <v>42225</v>
      </c>
      <c r="I1564">
        <v>32867.5</v>
      </c>
      <c r="K1564" s="7"/>
    </row>
    <row r="1565" spans="1:11">
      <c r="A1565">
        <v>100001564</v>
      </c>
      <c r="B1565" t="s">
        <v>50</v>
      </c>
      <c r="C1565" t="s">
        <v>75</v>
      </c>
      <c r="D1565" t="s">
        <v>16</v>
      </c>
      <c r="E1565" s="9">
        <v>24</v>
      </c>
      <c r="F1565" t="s">
        <v>12</v>
      </c>
      <c r="G1565" t="s">
        <v>13</v>
      </c>
      <c r="H1565" s="8">
        <v>42226</v>
      </c>
      <c r="I1565">
        <v>86123</v>
      </c>
      <c r="K1565" s="8"/>
    </row>
    <row r="1566" spans="1:11">
      <c r="A1566">
        <v>100001565</v>
      </c>
      <c r="B1566" t="s">
        <v>267</v>
      </c>
      <c r="C1566" t="s">
        <v>15</v>
      </c>
      <c r="D1566" t="s">
        <v>16</v>
      </c>
      <c r="E1566" s="9">
        <v>39</v>
      </c>
      <c r="F1566" t="s">
        <v>12</v>
      </c>
      <c r="G1566" t="s">
        <v>13</v>
      </c>
      <c r="H1566" s="7">
        <v>42226</v>
      </c>
      <c r="I1566">
        <v>68694.44</v>
      </c>
      <c r="K1566" s="7"/>
    </row>
    <row r="1567" spans="1:11">
      <c r="A1567">
        <v>100001566</v>
      </c>
      <c r="B1567" t="s">
        <v>110</v>
      </c>
      <c r="C1567" t="s">
        <v>179</v>
      </c>
      <c r="D1567" t="s">
        <v>16</v>
      </c>
      <c r="E1567" s="9">
        <v>40</v>
      </c>
      <c r="F1567" t="s">
        <v>12</v>
      </c>
      <c r="G1567" t="s">
        <v>13</v>
      </c>
      <c r="H1567" s="8">
        <v>42226</v>
      </c>
      <c r="I1567">
        <v>85043.83</v>
      </c>
      <c r="K1567" s="8"/>
    </row>
    <row r="1568" spans="1:11">
      <c r="A1568">
        <v>200001567</v>
      </c>
      <c r="B1568" t="s">
        <v>190</v>
      </c>
      <c r="C1568" t="s">
        <v>73</v>
      </c>
      <c r="D1568" t="s">
        <v>11</v>
      </c>
      <c r="E1568" s="9">
        <v>48</v>
      </c>
      <c r="F1568" t="s">
        <v>32</v>
      </c>
      <c r="G1568" t="s">
        <v>18</v>
      </c>
      <c r="H1568" s="7">
        <v>42226</v>
      </c>
      <c r="I1568">
        <v>35874.31</v>
      </c>
      <c r="K1568" s="7"/>
    </row>
    <row r="1569" spans="1:11">
      <c r="A1569">
        <v>200001568</v>
      </c>
      <c r="B1569" t="s">
        <v>177</v>
      </c>
      <c r="C1569" t="s">
        <v>219</v>
      </c>
      <c r="D1569" t="s">
        <v>11</v>
      </c>
      <c r="E1569" s="9">
        <v>36</v>
      </c>
      <c r="F1569" t="s">
        <v>32</v>
      </c>
      <c r="G1569" t="s">
        <v>18</v>
      </c>
      <c r="H1569" s="8">
        <v>42226</v>
      </c>
      <c r="I1569">
        <v>53585.22</v>
      </c>
      <c r="K1569" s="8"/>
    </row>
    <row r="1570" spans="1:11">
      <c r="A1570">
        <v>200001569</v>
      </c>
      <c r="B1570" t="s">
        <v>148</v>
      </c>
      <c r="C1570" t="s">
        <v>25</v>
      </c>
      <c r="D1570" t="s">
        <v>11</v>
      </c>
      <c r="E1570" s="9">
        <v>58</v>
      </c>
      <c r="F1570" t="s">
        <v>32</v>
      </c>
      <c r="G1570" t="s">
        <v>33</v>
      </c>
      <c r="H1570" s="7">
        <v>42226</v>
      </c>
      <c r="I1570">
        <v>54124.86</v>
      </c>
      <c r="K1570" s="7"/>
    </row>
    <row r="1571" spans="1:11">
      <c r="A1571">
        <v>200001570</v>
      </c>
      <c r="B1571" t="s">
        <v>21</v>
      </c>
      <c r="C1571" t="s">
        <v>318</v>
      </c>
      <c r="D1571" t="s">
        <v>11</v>
      </c>
      <c r="E1571" s="9">
        <v>38</v>
      </c>
      <c r="F1571" t="s">
        <v>32</v>
      </c>
      <c r="G1571" t="s">
        <v>18</v>
      </c>
      <c r="H1571" s="8">
        <v>42226</v>
      </c>
      <c r="I1571">
        <v>89551.4</v>
      </c>
      <c r="K1571" s="8"/>
    </row>
    <row r="1572" spans="1:11">
      <c r="A1572">
        <v>200001571</v>
      </c>
      <c r="B1572" t="s">
        <v>173</v>
      </c>
      <c r="C1572" t="s">
        <v>275</v>
      </c>
      <c r="D1572" t="s">
        <v>11</v>
      </c>
      <c r="E1572" s="9">
        <v>52</v>
      </c>
      <c r="F1572" t="s">
        <v>32</v>
      </c>
      <c r="G1572" t="s">
        <v>18</v>
      </c>
      <c r="H1572" s="7">
        <v>42226</v>
      </c>
      <c r="I1572">
        <v>4661.79</v>
      </c>
      <c r="K1572" s="7"/>
    </row>
    <row r="1573" spans="1:11">
      <c r="A1573">
        <v>200001572</v>
      </c>
      <c r="B1573" t="s">
        <v>188</v>
      </c>
      <c r="C1573" t="s">
        <v>153</v>
      </c>
      <c r="D1573" t="s">
        <v>11</v>
      </c>
      <c r="E1573" s="9">
        <v>60</v>
      </c>
      <c r="F1573" t="s">
        <v>32</v>
      </c>
      <c r="G1573" t="s">
        <v>18</v>
      </c>
      <c r="H1573" s="8">
        <v>42226</v>
      </c>
      <c r="I1573">
        <v>23755.34</v>
      </c>
      <c r="K1573" s="8"/>
    </row>
    <row r="1574" spans="1:11">
      <c r="A1574">
        <v>200001573</v>
      </c>
      <c r="B1574" t="s">
        <v>181</v>
      </c>
      <c r="C1574" t="s">
        <v>35</v>
      </c>
      <c r="D1574" t="s">
        <v>11</v>
      </c>
      <c r="E1574" s="9">
        <v>31</v>
      </c>
      <c r="F1574" t="s">
        <v>32</v>
      </c>
      <c r="G1574" t="s">
        <v>13</v>
      </c>
      <c r="H1574" s="7">
        <v>42226</v>
      </c>
      <c r="I1574">
        <v>124232.17</v>
      </c>
      <c r="K1574" s="7"/>
    </row>
    <row r="1575" spans="1:11">
      <c r="A1575">
        <v>200001574</v>
      </c>
      <c r="B1575" t="s">
        <v>303</v>
      </c>
      <c r="C1575" t="s">
        <v>295</v>
      </c>
      <c r="D1575" t="s">
        <v>11</v>
      </c>
      <c r="E1575" s="9">
        <v>56</v>
      </c>
      <c r="F1575" t="s">
        <v>32</v>
      </c>
      <c r="G1575" t="s">
        <v>33</v>
      </c>
      <c r="H1575" s="8">
        <v>42226</v>
      </c>
      <c r="I1575">
        <v>69022.66</v>
      </c>
      <c r="K1575" s="8"/>
    </row>
    <row r="1576" spans="1:11">
      <c r="A1576">
        <v>300001575</v>
      </c>
      <c r="B1576" t="s">
        <v>103</v>
      </c>
      <c r="C1576" t="s">
        <v>187</v>
      </c>
      <c r="D1576" t="s">
        <v>11</v>
      </c>
      <c r="E1576" s="9">
        <v>33</v>
      </c>
      <c r="F1576" t="s">
        <v>23</v>
      </c>
      <c r="G1576" t="s">
        <v>13</v>
      </c>
      <c r="H1576" s="7">
        <v>42226</v>
      </c>
      <c r="I1576">
        <v>120278.47</v>
      </c>
      <c r="K1576" s="7"/>
    </row>
    <row r="1577" spans="1:11">
      <c r="A1577">
        <v>300001576</v>
      </c>
      <c r="B1577" t="s">
        <v>89</v>
      </c>
      <c r="C1577" t="s">
        <v>170</v>
      </c>
      <c r="D1577" t="s">
        <v>11</v>
      </c>
      <c r="E1577" s="9">
        <v>41</v>
      </c>
      <c r="F1577" t="s">
        <v>23</v>
      </c>
      <c r="G1577" t="s">
        <v>13</v>
      </c>
      <c r="H1577" s="8">
        <v>42226</v>
      </c>
      <c r="I1577">
        <v>52335.99</v>
      </c>
      <c r="K1577" s="8"/>
    </row>
    <row r="1578" spans="1:11">
      <c r="A1578">
        <v>300001577</v>
      </c>
      <c r="B1578" t="s">
        <v>319</v>
      </c>
      <c r="C1578" t="s">
        <v>270</v>
      </c>
      <c r="D1578" t="s">
        <v>16</v>
      </c>
      <c r="E1578" s="9">
        <v>38</v>
      </c>
      <c r="F1578" t="s">
        <v>23</v>
      </c>
      <c r="G1578" t="s">
        <v>13</v>
      </c>
      <c r="H1578" s="7">
        <v>42226</v>
      </c>
      <c r="I1578">
        <v>31609.57</v>
      </c>
      <c r="K1578" s="7"/>
    </row>
    <row r="1579" spans="1:11">
      <c r="A1579">
        <v>400001578</v>
      </c>
      <c r="B1579" t="s">
        <v>320</v>
      </c>
      <c r="C1579" t="s">
        <v>203</v>
      </c>
      <c r="D1579" t="s">
        <v>16</v>
      </c>
      <c r="E1579" s="9">
        <v>34</v>
      </c>
      <c r="F1579" t="s">
        <v>17</v>
      </c>
      <c r="G1579" t="s">
        <v>33</v>
      </c>
      <c r="H1579" s="8">
        <v>42226</v>
      </c>
      <c r="I1579">
        <v>4951.6499999999996</v>
      </c>
      <c r="K1579" s="8"/>
    </row>
    <row r="1580" spans="1:11">
      <c r="A1580">
        <v>100001579</v>
      </c>
      <c r="B1580" t="s">
        <v>21</v>
      </c>
      <c r="C1580" t="s">
        <v>156</v>
      </c>
      <c r="D1580" t="s">
        <v>11</v>
      </c>
      <c r="E1580" s="9">
        <v>43</v>
      </c>
      <c r="F1580" t="s">
        <v>12</v>
      </c>
      <c r="G1580" t="s">
        <v>18</v>
      </c>
      <c r="H1580" s="7">
        <v>42227</v>
      </c>
      <c r="I1580">
        <v>36109.269999999997</v>
      </c>
      <c r="K1580" s="7"/>
    </row>
    <row r="1581" spans="1:11">
      <c r="A1581">
        <v>100001580</v>
      </c>
      <c r="B1581" t="s">
        <v>226</v>
      </c>
      <c r="C1581" t="s">
        <v>27</v>
      </c>
      <c r="D1581" t="s">
        <v>16</v>
      </c>
      <c r="E1581" s="9">
        <v>36</v>
      </c>
      <c r="F1581" t="s">
        <v>12</v>
      </c>
      <c r="G1581" t="s">
        <v>13</v>
      </c>
      <c r="H1581" s="8">
        <v>42227</v>
      </c>
      <c r="I1581">
        <v>7039.42</v>
      </c>
      <c r="K1581" s="8"/>
    </row>
    <row r="1582" spans="1:11">
      <c r="A1582">
        <v>100001581</v>
      </c>
      <c r="B1582" t="s">
        <v>263</v>
      </c>
      <c r="C1582" t="s">
        <v>163</v>
      </c>
      <c r="D1582" t="s">
        <v>16</v>
      </c>
      <c r="E1582" s="9">
        <v>40</v>
      </c>
      <c r="F1582" t="s">
        <v>12</v>
      </c>
      <c r="G1582" t="s">
        <v>33</v>
      </c>
      <c r="H1582" s="7">
        <v>42227</v>
      </c>
      <c r="I1582">
        <v>27602.78</v>
      </c>
      <c r="K1582" s="7"/>
    </row>
    <row r="1583" spans="1:11">
      <c r="A1583">
        <v>100001582</v>
      </c>
      <c r="B1583" t="s">
        <v>102</v>
      </c>
      <c r="C1583" t="s">
        <v>100</v>
      </c>
      <c r="D1583" t="s">
        <v>16</v>
      </c>
      <c r="E1583" s="9">
        <v>43</v>
      </c>
      <c r="F1583" t="s">
        <v>12</v>
      </c>
      <c r="G1583" t="s">
        <v>13</v>
      </c>
      <c r="H1583" s="8">
        <v>42227</v>
      </c>
      <c r="I1583">
        <v>36694.01</v>
      </c>
      <c r="K1583" s="8"/>
    </row>
    <row r="1584" spans="1:11">
      <c r="A1584">
        <v>100001583</v>
      </c>
      <c r="B1584" t="s">
        <v>137</v>
      </c>
      <c r="C1584" t="s">
        <v>52</v>
      </c>
      <c r="D1584" t="s">
        <v>11</v>
      </c>
      <c r="E1584" s="9">
        <v>36</v>
      </c>
      <c r="F1584" t="s">
        <v>12</v>
      </c>
      <c r="G1584" t="s">
        <v>13</v>
      </c>
      <c r="H1584" s="7">
        <v>42227</v>
      </c>
      <c r="I1584">
        <v>3374.77</v>
      </c>
      <c r="K1584" s="7"/>
    </row>
    <row r="1585" spans="1:11">
      <c r="A1585">
        <v>100001584</v>
      </c>
      <c r="B1585" t="s">
        <v>175</v>
      </c>
      <c r="C1585" t="s">
        <v>322</v>
      </c>
      <c r="D1585" t="s">
        <v>11</v>
      </c>
      <c r="E1585" s="9">
        <v>33</v>
      </c>
      <c r="F1585" t="s">
        <v>12</v>
      </c>
      <c r="G1585" t="s">
        <v>13</v>
      </c>
      <c r="H1585" s="8">
        <v>42227</v>
      </c>
      <c r="I1585">
        <v>35607.629999999997</v>
      </c>
      <c r="K1585" s="8"/>
    </row>
    <row r="1586" spans="1:11">
      <c r="A1586">
        <v>200001585</v>
      </c>
      <c r="B1586" t="s">
        <v>145</v>
      </c>
      <c r="C1586" t="s">
        <v>238</v>
      </c>
      <c r="D1586" t="s">
        <v>11</v>
      </c>
      <c r="E1586" s="9">
        <v>42</v>
      </c>
      <c r="F1586" t="s">
        <v>32</v>
      </c>
      <c r="G1586" t="s">
        <v>33</v>
      </c>
      <c r="H1586" s="7">
        <v>42227</v>
      </c>
      <c r="I1586">
        <v>112917.42</v>
      </c>
      <c r="K1586" s="7"/>
    </row>
    <row r="1587" spans="1:11">
      <c r="A1587">
        <v>200001586</v>
      </c>
      <c r="B1587" t="s">
        <v>182</v>
      </c>
      <c r="C1587" t="s">
        <v>315</v>
      </c>
      <c r="D1587" t="s">
        <v>16</v>
      </c>
      <c r="E1587" s="9">
        <v>54</v>
      </c>
      <c r="F1587" t="s">
        <v>32</v>
      </c>
      <c r="G1587" t="s">
        <v>33</v>
      </c>
      <c r="H1587" s="8">
        <v>42227</v>
      </c>
      <c r="I1587">
        <v>80616.31</v>
      </c>
      <c r="K1587" s="8"/>
    </row>
    <row r="1588" spans="1:11">
      <c r="A1588">
        <v>200001587</v>
      </c>
      <c r="B1588" t="s">
        <v>79</v>
      </c>
      <c r="C1588" t="s">
        <v>104</v>
      </c>
      <c r="D1588" t="s">
        <v>11</v>
      </c>
      <c r="E1588" s="9">
        <v>64</v>
      </c>
      <c r="F1588" t="s">
        <v>32</v>
      </c>
      <c r="G1588" t="s">
        <v>33</v>
      </c>
      <c r="H1588" s="7">
        <v>42227</v>
      </c>
      <c r="I1588">
        <v>14242.57</v>
      </c>
      <c r="K1588" s="7"/>
    </row>
    <row r="1589" spans="1:11">
      <c r="A1589">
        <v>300001588</v>
      </c>
      <c r="B1589" t="s">
        <v>186</v>
      </c>
      <c r="C1589" t="s">
        <v>248</v>
      </c>
      <c r="D1589" t="s">
        <v>11</v>
      </c>
      <c r="E1589" s="9">
        <v>42</v>
      </c>
      <c r="F1589" t="s">
        <v>23</v>
      </c>
      <c r="G1589" t="s">
        <v>18</v>
      </c>
      <c r="H1589" s="8">
        <v>42227</v>
      </c>
      <c r="I1589">
        <v>19473.740000000002</v>
      </c>
      <c r="K1589" s="8"/>
    </row>
    <row r="1590" spans="1:11">
      <c r="A1590">
        <v>300001589</v>
      </c>
      <c r="B1590" t="s">
        <v>19</v>
      </c>
      <c r="C1590" t="s">
        <v>281</v>
      </c>
      <c r="D1590" t="s">
        <v>11</v>
      </c>
      <c r="E1590" s="9">
        <v>37</v>
      </c>
      <c r="F1590" t="s">
        <v>23</v>
      </c>
      <c r="G1590" t="s">
        <v>18</v>
      </c>
      <c r="H1590" s="7">
        <v>42227</v>
      </c>
      <c r="I1590">
        <v>94647.65</v>
      </c>
      <c r="K1590" s="7"/>
    </row>
    <row r="1591" spans="1:11">
      <c r="A1591">
        <v>300001590</v>
      </c>
      <c r="B1591" t="s">
        <v>255</v>
      </c>
      <c r="C1591" t="s">
        <v>78</v>
      </c>
      <c r="D1591" t="s">
        <v>11</v>
      </c>
      <c r="E1591" s="9">
        <v>21</v>
      </c>
      <c r="F1591" t="s">
        <v>23</v>
      </c>
      <c r="G1591" t="s">
        <v>13</v>
      </c>
      <c r="H1591" s="8">
        <v>42227</v>
      </c>
      <c r="I1591">
        <v>30442.37</v>
      </c>
      <c r="K1591" s="8"/>
    </row>
    <row r="1592" spans="1:11">
      <c r="A1592">
        <v>300001591</v>
      </c>
      <c r="B1592" t="s">
        <v>206</v>
      </c>
      <c r="C1592" t="s">
        <v>239</v>
      </c>
      <c r="D1592" t="s">
        <v>11</v>
      </c>
      <c r="E1592" s="9">
        <v>28</v>
      </c>
      <c r="F1592" t="s">
        <v>23</v>
      </c>
      <c r="G1592" t="s">
        <v>13</v>
      </c>
      <c r="H1592" s="7">
        <v>42227</v>
      </c>
      <c r="I1592">
        <v>32031.95</v>
      </c>
      <c r="K1592" s="7"/>
    </row>
    <row r="1593" spans="1:11">
      <c r="A1593">
        <v>100001592</v>
      </c>
      <c r="B1593" t="s">
        <v>191</v>
      </c>
      <c r="C1593" t="s">
        <v>274</v>
      </c>
      <c r="D1593" t="s">
        <v>11</v>
      </c>
      <c r="E1593" s="9">
        <v>32</v>
      </c>
      <c r="F1593" t="s">
        <v>12</v>
      </c>
      <c r="G1593" t="s">
        <v>13</v>
      </c>
      <c r="H1593" s="8">
        <v>42228</v>
      </c>
      <c r="I1593">
        <v>32344.1</v>
      </c>
      <c r="K1593" s="8"/>
    </row>
    <row r="1594" spans="1:11">
      <c r="A1594">
        <v>100001593</v>
      </c>
      <c r="B1594" t="s">
        <v>128</v>
      </c>
      <c r="C1594" t="s">
        <v>95</v>
      </c>
      <c r="D1594" t="s">
        <v>16</v>
      </c>
      <c r="E1594" s="9">
        <v>36</v>
      </c>
      <c r="F1594" t="s">
        <v>12</v>
      </c>
      <c r="G1594" t="s">
        <v>13</v>
      </c>
      <c r="H1594" s="7">
        <v>42228</v>
      </c>
      <c r="I1594">
        <v>29876.68</v>
      </c>
      <c r="K1594" s="7"/>
    </row>
    <row r="1595" spans="1:11">
      <c r="A1595">
        <v>100001594</v>
      </c>
      <c r="B1595" t="s">
        <v>44</v>
      </c>
      <c r="C1595" t="s">
        <v>10</v>
      </c>
      <c r="D1595" t="s">
        <v>16</v>
      </c>
      <c r="E1595" s="9">
        <v>47</v>
      </c>
      <c r="F1595" t="s">
        <v>12</v>
      </c>
      <c r="G1595" t="s">
        <v>13</v>
      </c>
      <c r="H1595" s="8">
        <v>42228</v>
      </c>
      <c r="I1595">
        <v>86222.34</v>
      </c>
      <c r="K1595" s="8"/>
    </row>
    <row r="1596" spans="1:11">
      <c r="A1596">
        <v>100001595</v>
      </c>
      <c r="B1596" t="s">
        <v>302</v>
      </c>
      <c r="C1596" t="s">
        <v>237</v>
      </c>
      <c r="D1596" t="s">
        <v>16</v>
      </c>
      <c r="E1596" s="9">
        <v>40</v>
      </c>
      <c r="F1596" t="s">
        <v>12</v>
      </c>
      <c r="G1596" t="s">
        <v>18</v>
      </c>
      <c r="H1596" s="7">
        <v>42228</v>
      </c>
      <c r="I1596">
        <v>13612.39</v>
      </c>
      <c r="K1596" s="7"/>
    </row>
    <row r="1597" spans="1:11">
      <c r="A1597">
        <v>100001596</v>
      </c>
      <c r="B1597" t="s">
        <v>83</v>
      </c>
      <c r="C1597" t="s">
        <v>15</v>
      </c>
      <c r="D1597" t="s">
        <v>16</v>
      </c>
      <c r="E1597" s="9">
        <v>29</v>
      </c>
      <c r="F1597" t="s">
        <v>12</v>
      </c>
      <c r="G1597" t="s">
        <v>13</v>
      </c>
      <c r="H1597" s="8">
        <v>42228</v>
      </c>
      <c r="I1597">
        <v>53197.64</v>
      </c>
      <c r="K1597" s="8"/>
    </row>
    <row r="1598" spans="1:11">
      <c r="A1598">
        <v>200001597</v>
      </c>
      <c r="B1598" t="s">
        <v>161</v>
      </c>
      <c r="C1598" t="s">
        <v>238</v>
      </c>
      <c r="D1598" t="s">
        <v>16</v>
      </c>
      <c r="E1598" s="9">
        <v>45</v>
      </c>
      <c r="F1598" t="s">
        <v>32</v>
      </c>
      <c r="G1598" t="s">
        <v>33</v>
      </c>
      <c r="H1598" s="7">
        <v>42228</v>
      </c>
      <c r="I1598">
        <v>4151.1400000000003</v>
      </c>
      <c r="K1598" s="7"/>
    </row>
    <row r="1599" spans="1:11">
      <c r="A1599">
        <v>200001598</v>
      </c>
      <c r="B1599" t="s">
        <v>193</v>
      </c>
      <c r="C1599" t="s">
        <v>289</v>
      </c>
      <c r="D1599" t="s">
        <v>11</v>
      </c>
      <c r="E1599" s="9">
        <v>51</v>
      </c>
      <c r="F1599" t="s">
        <v>32</v>
      </c>
      <c r="G1599" t="s">
        <v>18</v>
      </c>
      <c r="H1599" s="8">
        <v>42228</v>
      </c>
      <c r="I1599">
        <v>36707.21</v>
      </c>
      <c r="K1599" s="8"/>
    </row>
    <row r="1600" spans="1:11">
      <c r="A1600">
        <v>300001599</v>
      </c>
      <c r="B1600" t="s">
        <v>283</v>
      </c>
      <c r="C1600" t="s">
        <v>152</v>
      </c>
      <c r="D1600" t="s">
        <v>11</v>
      </c>
      <c r="E1600" s="9">
        <v>29</v>
      </c>
      <c r="F1600" t="s">
        <v>23</v>
      </c>
      <c r="G1600" t="s">
        <v>13</v>
      </c>
      <c r="H1600" s="7">
        <v>42228</v>
      </c>
      <c r="I1600">
        <v>74898.55</v>
      </c>
      <c r="K1600" s="7"/>
    </row>
    <row r="1601" spans="1:11">
      <c r="A1601">
        <v>400001600</v>
      </c>
      <c r="B1601" t="s">
        <v>309</v>
      </c>
      <c r="C1601" t="s">
        <v>203</v>
      </c>
      <c r="D1601" t="s">
        <v>16</v>
      </c>
      <c r="E1601" s="9">
        <v>39</v>
      </c>
      <c r="F1601" t="s">
        <v>17</v>
      </c>
      <c r="G1601" t="s">
        <v>18</v>
      </c>
      <c r="H1601" s="8">
        <v>42228</v>
      </c>
      <c r="I1601">
        <v>21272.69</v>
      </c>
      <c r="K1601" s="8"/>
    </row>
    <row r="1602" spans="1:11">
      <c r="A1602">
        <v>100001601</v>
      </c>
      <c r="B1602" t="s">
        <v>202</v>
      </c>
      <c r="C1602" t="s">
        <v>292</v>
      </c>
      <c r="D1602" t="s">
        <v>11</v>
      </c>
      <c r="E1602" s="9">
        <v>40</v>
      </c>
      <c r="F1602" t="s">
        <v>12</v>
      </c>
      <c r="G1602" t="s">
        <v>13</v>
      </c>
      <c r="H1602" s="7">
        <v>42229</v>
      </c>
      <c r="I1602">
        <v>48998.080000000002</v>
      </c>
      <c r="K1602" s="7"/>
    </row>
    <row r="1603" spans="1:11">
      <c r="A1603">
        <v>100001602</v>
      </c>
      <c r="B1603" t="s">
        <v>81</v>
      </c>
      <c r="C1603" t="s">
        <v>39</v>
      </c>
      <c r="D1603" t="s">
        <v>16</v>
      </c>
      <c r="E1603" s="9">
        <v>39</v>
      </c>
      <c r="F1603" t="s">
        <v>12</v>
      </c>
      <c r="G1603" t="s">
        <v>33</v>
      </c>
      <c r="H1603" s="8">
        <v>42229</v>
      </c>
      <c r="I1603">
        <v>21827.119999999999</v>
      </c>
      <c r="K1603" s="8"/>
    </row>
    <row r="1604" spans="1:11">
      <c r="A1604">
        <v>100001603</v>
      </c>
      <c r="B1604" t="s">
        <v>103</v>
      </c>
      <c r="C1604" t="s">
        <v>240</v>
      </c>
      <c r="D1604" t="s">
        <v>11</v>
      </c>
      <c r="E1604" s="9">
        <v>42</v>
      </c>
      <c r="F1604" t="s">
        <v>12</v>
      </c>
      <c r="G1604" t="s">
        <v>13</v>
      </c>
      <c r="H1604" s="7">
        <v>42229</v>
      </c>
      <c r="I1604">
        <v>96088.41</v>
      </c>
      <c r="K1604" s="7"/>
    </row>
    <row r="1605" spans="1:11">
      <c r="A1605">
        <v>100001604</v>
      </c>
      <c r="B1605" t="s">
        <v>126</v>
      </c>
      <c r="C1605" t="s">
        <v>49</v>
      </c>
      <c r="D1605" t="s">
        <v>16</v>
      </c>
      <c r="E1605" s="9">
        <v>37</v>
      </c>
      <c r="F1605" t="s">
        <v>12</v>
      </c>
      <c r="G1605" t="s">
        <v>33</v>
      </c>
      <c r="H1605" s="8">
        <v>42229</v>
      </c>
      <c r="I1605">
        <v>89906.69</v>
      </c>
      <c r="K1605" s="8"/>
    </row>
    <row r="1606" spans="1:11">
      <c r="A1606">
        <v>100001605</v>
      </c>
      <c r="B1606" t="s">
        <v>176</v>
      </c>
      <c r="C1606" t="s">
        <v>47</v>
      </c>
      <c r="D1606" t="s">
        <v>16</v>
      </c>
      <c r="E1606" s="9">
        <v>27</v>
      </c>
      <c r="F1606" t="s">
        <v>12</v>
      </c>
      <c r="G1606" t="s">
        <v>33</v>
      </c>
      <c r="H1606" s="7">
        <v>42229</v>
      </c>
      <c r="I1606">
        <v>34178.68</v>
      </c>
      <c r="K1606" s="7"/>
    </row>
    <row r="1607" spans="1:11">
      <c r="A1607">
        <v>100001606</v>
      </c>
      <c r="B1607" t="s">
        <v>137</v>
      </c>
      <c r="C1607" t="s">
        <v>295</v>
      </c>
      <c r="D1607" t="s">
        <v>11</v>
      </c>
      <c r="E1607" s="9">
        <v>36</v>
      </c>
      <c r="F1607" t="s">
        <v>12</v>
      </c>
      <c r="G1607" t="s">
        <v>13</v>
      </c>
      <c r="H1607" s="8">
        <v>42229</v>
      </c>
      <c r="I1607">
        <v>64281.78</v>
      </c>
      <c r="K1607" s="8"/>
    </row>
    <row r="1608" spans="1:11">
      <c r="A1608">
        <v>100001607</v>
      </c>
      <c r="B1608" t="s">
        <v>208</v>
      </c>
      <c r="C1608" t="s">
        <v>54</v>
      </c>
      <c r="D1608" t="s">
        <v>11</v>
      </c>
      <c r="E1608" s="9">
        <v>33</v>
      </c>
      <c r="F1608" t="s">
        <v>12</v>
      </c>
      <c r="G1608" t="s">
        <v>18</v>
      </c>
      <c r="H1608" s="7">
        <v>42229</v>
      </c>
      <c r="I1608">
        <v>50819.63</v>
      </c>
      <c r="K1608" s="7"/>
    </row>
    <row r="1609" spans="1:11">
      <c r="A1609">
        <v>100001608</v>
      </c>
      <c r="B1609" t="s">
        <v>262</v>
      </c>
      <c r="C1609" t="s">
        <v>209</v>
      </c>
      <c r="D1609" t="s">
        <v>16</v>
      </c>
      <c r="E1609" s="9">
        <v>39</v>
      </c>
      <c r="F1609" t="s">
        <v>12</v>
      </c>
      <c r="G1609" t="s">
        <v>13</v>
      </c>
      <c r="H1609" s="8">
        <v>42229</v>
      </c>
      <c r="I1609">
        <v>44286.239999999998</v>
      </c>
      <c r="K1609" s="8"/>
    </row>
    <row r="1610" spans="1:11">
      <c r="A1610">
        <v>200001609</v>
      </c>
      <c r="B1610" t="s">
        <v>83</v>
      </c>
      <c r="C1610" t="s">
        <v>185</v>
      </c>
      <c r="D1610" t="s">
        <v>16</v>
      </c>
      <c r="E1610" s="9">
        <v>64</v>
      </c>
      <c r="F1610" t="s">
        <v>32</v>
      </c>
      <c r="G1610" t="s">
        <v>33</v>
      </c>
      <c r="H1610" s="7">
        <v>42229</v>
      </c>
      <c r="I1610">
        <v>23522.36</v>
      </c>
      <c r="K1610" s="7"/>
    </row>
    <row r="1611" spans="1:11">
      <c r="A1611">
        <v>200001610</v>
      </c>
      <c r="B1611" t="s">
        <v>173</v>
      </c>
      <c r="C1611" t="s">
        <v>253</v>
      </c>
      <c r="D1611" t="s">
        <v>11</v>
      </c>
      <c r="E1611" s="9">
        <v>44</v>
      </c>
      <c r="F1611" t="s">
        <v>32</v>
      </c>
      <c r="G1611" t="s">
        <v>13</v>
      </c>
      <c r="H1611" s="8">
        <v>42229</v>
      </c>
      <c r="I1611">
        <v>4442.0200000000004</v>
      </c>
      <c r="K1611" s="8"/>
    </row>
    <row r="1612" spans="1:11">
      <c r="A1612">
        <v>200001611</v>
      </c>
      <c r="B1612" t="s">
        <v>176</v>
      </c>
      <c r="C1612" t="s">
        <v>108</v>
      </c>
      <c r="D1612" t="s">
        <v>16</v>
      </c>
      <c r="E1612" s="9">
        <v>26</v>
      </c>
      <c r="F1612" t="s">
        <v>32</v>
      </c>
      <c r="G1612" t="s">
        <v>18</v>
      </c>
      <c r="H1612" s="7">
        <v>42229</v>
      </c>
      <c r="I1612">
        <v>76714.19</v>
      </c>
      <c r="K1612" s="7"/>
    </row>
    <row r="1613" spans="1:11">
      <c r="A1613">
        <v>200001612</v>
      </c>
      <c r="B1613" t="s">
        <v>255</v>
      </c>
      <c r="C1613" t="s">
        <v>275</v>
      </c>
      <c r="D1613" t="s">
        <v>11</v>
      </c>
      <c r="E1613" s="9">
        <v>61</v>
      </c>
      <c r="F1613" t="s">
        <v>32</v>
      </c>
      <c r="G1613" t="s">
        <v>33</v>
      </c>
      <c r="H1613" s="8">
        <v>42229</v>
      </c>
      <c r="I1613">
        <v>4926.12</v>
      </c>
      <c r="K1613" s="8"/>
    </row>
    <row r="1614" spans="1:11">
      <c r="A1614">
        <v>200001613</v>
      </c>
      <c r="B1614" t="s">
        <v>206</v>
      </c>
      <c r="C1614" t="s">
        <v>277</v>
      </c>
      <c r="D1614" t="s">
        <v>11</v>
      </c>
      <c r="E1614" s="9">
        <v>55</v>
      </c>
      <c r="F1614" t="s">
        <v>32</v>
      </c>
      <c r="G1614" t="s">
        <v>18</v>
      </c>
      <c r="H1614" s="7">
        <v>42229</v>
      </c>
      <c r="I1614">
        <v>15817.09</v>
      </c>
      <c r="K1614" s="7"/>
    </row>
    <row r="1615" spans="1:11">
      <c r="A1615">
        <v>300001614</v>
      </c>
      <c r="B1615" t="s">
        <v>152</v>
      </c>
      <c r="C1615" t="s">
        <v>152</v>
      </c>
      <c r="D1615" t="s">
        <v>11</v>
      </c>
      <c r="E1615" s="9">
        <v>29</v>
      </c>
      <c r="F1615" t="s">
        <v>23</v>
      </c>
      <c r="G1615" t="s">
        <v>33</v>
      </c>
      <c r="H1615" s="8">
        <v>42229</v>
      </c>
      <c r="I1615">
        <v>87844.61</v>
      </c>
      <c r="K1615" s="8"/>
    </row>
    <row r="1616" spans="1:11">
      <c r="A1616">
        <v>100001615</v>
      </c>
      <c r="B1616" t="s">
        <v>165</v>
      </c>
      <c r="C1616" t="s">
        <v>93</v>
      </c>
      <c r="D1616" t="s">
        <v>16</v>
      </c>
      <c r="E1616" s="9">
        <v>32</v>
      </c>
      <c r="F1616" t="s">
        <v>12</v>
      </c>
      <c r="G1616" t="s">
        <v>33</v>
      </c>
      <c r="H1616" s="7">
        <v>42230</v>
      </c>
      <c r="I1616">
        <v>71324.350000000006</v>
      </c>
      <c r="K1616" s="7"/>
    </row>
    <row r="1617" spans="1:11">
      <c r="A1617">
        <v>100001616</v>
      </c>
      <c r="B1617" t="s">
        <v>84</v>
      </c>
      <c r="C1617" t="s">
        <v>260</v>
      </c>
      <c r="D1617" t="s">
        <v>16</v>
      </c>
      <c r="E1617" s="9">
        <v>25</v>
      </c>
      <c r="F1617" t="s">
        <v>12</v>
      </c>
      <c r="G1617" t="s">
        <v>13</v>
      </c>
      <c r="H1617" s="8">
        <v>42230</v>
      </c>
      <c r="I1617">
        <v>42773.9</v>
      </c>
      <c r="K1617" s="8"/>
    </row>
    <row r="1618" spans="1:11">
      <c r="A1618">
        <v>100001617</v>
      </c>
      <c r="B1618" t="s">
        <v>243</v>
      </c>
      <c r="C1618" t="s">
        <v>230</v>
      </c>
      <c r="D1618" t="s">
        <v>16</v>
      </c>
      <c r="E1618" s="9">
        <v>36</v>
      </c>
      <c r="F1618" t="s">
        <v>12</v>
      </c>
      <c r="G1618" t="s">
        <v>13</v>
      </c>
      <c r="H1618" s="7">
        <v>42230</v>
      </c>
      <c r="I1618">
        <v>57272.58</v>
      </c>
      <c r="K1618" s="7"/>
    </row>
    <row r="1619" spans="1:11">
      <c r="A1619">
        <v>100001618</v>
      </c>
      <c r="B1619" t="s">
        <v>199</v>
      </c>
      <c r="C1619" t="s">
        <v>91</v>
      </c>
      <c r="D1619" t="s">
        <v>11</v>
      </c>
      <c r="E1619" s="9">
        <v>26</v>
      </c>
      <c r="F1619" t="s">
        <v>12</v>
      </c>
      <c r="G1619" t="s">
        <v>33</v>
      </c>
      <c r="H1619" s="8">
        <v>42230</v>
      </c>
      <c r="I1619">
        <v>64330.34</v>
      </c>
      <c r="K1619" s="8"/>
    </row>
    <row r="1620" spans="1:11">
      <c r="A1620">
        <v>100001619</v>
      </c>
      <c r="B1620" t="s">
        <v>287</v>
      </c>
      <c r="C1620" t="s">
        <v>121</v>
      </c>
      <c r="D1620" t="s">
        <v>16</v>
      </c>
      <c r="E1620" s="9">
        <v>28</v>
      </c>
      <c r="F1620" t="s">
        <v>12</v>
      </c>
      <c r="G1620" t="s">
        <v>13</v>
      </c>
      <c r="H1620" s="7">
        <v>42230</v>
      </c>
      <c r="I1620">
        <v>14786.28</v>
      </c>
      <c r="K1620" s="7"/>
    </row>
    <row r="1621" spans="1:11">
      <c r="A1621">
        <v>100001620</v>
      </c>
      <c r="B1621" t="s">
        <v>271</v>
      </c>
      <c r="C1621" t="s">
        <v>227</v>
      </c>
      <c r="D1621" t="s">
        <v>16</v>
      </c>
      <c r="E1621" s="9">
        <v>41</v>
      </c>
      <c r="F1621" t="s">
        <v>12</v>
      </c>
      <c r="G1621" t="s">
        <v>18</v>
      </c>
      <c r="H1621" s="8">
        <v>42230</v>
      </c>
      <c r="I1621">
        <v>12978.24</v>
      </c>
      <c r="K1621" s="8"/>
    </row>
    <row r="1622" spans="1:11">
      <c r="A1622">
        <v>100001621</v>
      </c>
      <c r="B1622" t="s">
        <v>36</v>
      </c>
      <c r="C1622" t="s">
        <v>187</v>
      </c>
      <c r="D1622" t="s">
        <v>11</v>
      </c>
      <c r="E1622" s="9">
        <v>29</v>
      </c>
      <c r="F1622" t="s">
        <v>12</v>
      </c>
      <c r="G1622" t="s">
        <v>13</v>
      </c>
      <c r="H1622" s="7">
        <v>42230</v>
      </c>
      <c r="I1622">
        <v>31044.799999999999</v>
      </c>
      <c r="K1622" s="7"/>
    </row>
    <row r="1623" spans="1:11">
      <c r="A1623">
        <v>200001622</v>
      </c>
      <c r="B1623" t="s">
        <v>245</v>
      </c>
      <c r="C1623" t="s">
        <v>25</v>
      </c>
      <c r="D1623" t="s">
        <v>11</v>
      </c>
      <c r="E1623" s="9">
        <v>51</v>
      </c>
      <c r="F1623" t="s">
        <v>32</v>
      </c>
      <c r="G1623" t="s">
        <v>33</v>
      </c>
      <c r="H1623" s="8">
        <v>42230</v>
      </c>
      <c r="I1623">
        <v>11139.78</v>
      </c>
      <c r="K1623" s="8"/>
    </row>
    <row r="1624" spans="1:11">
      <c r="A1624">
        <v>200001623</v>
      </c>
      <c r="B1624" t="s">
        <v>231</v>
      </c>
      <c r="C1624" t="s">
        <v>288</v>
      </c>
      <c r="D1624" t="s">
        <v>11</v>
      </c>
      <c r="E1624" s="9">
        <v>55</v>
      </c>
      <c r="F1624" t="s">
        <v>32</v>
      </c>
      <c r="G1624" t="s">
        <v>18</v>
      </c>
      <c r="H1624" s="7">
        <v>42230</v>
      </c>
      <c r="I1624">
        <v>18087.62</v>
      </c>
      <c r="K1624" s="7"/>
    </row>
    <row r="1625" spans="1:11">
      <c r="A1625">
        <v>200001624</v>
      </c>
      <c r="B1625" t="s">
        <v>293</v>
      </c>
      <c r="C1625" t="s">
        <v>10</v>
      </c>
      <c r="D1625" t="s">
        <v>11</v>
      </c>
      <c r="E1625" s="9">
        <v>51</v>
      </c>
      <c r="F1625" t="s">
        <v>32</v>
      </c>
      <c r="G1625" t="s">
        <v>33</v>
      </c>
      <c r="H1625" s="8">
        <v>42230</v>
      </c>
      <c r="I1625">
        <v>879.78</v>
      </c>
      <c r="K1625" s="8"/>
    </row>
    <row r="1626" spans="1:11">
      <c r="A1626">
        <v>200001625</v>
      </c>
      <c r="B1626" t="s">
        <v>204</v>
      </c>
      <c r="C1626" t="s">
        <v>69</v>
      </c>
      <c r="D1626" t="s">
        <v>11</v>
      </c>
      <c r="E1626" s="9">
        <v>51</v>
      </c>
      <c r="F1626" t="s">
        <v>32</v>
      </c>
      <c r="G1626" t="s">
        <v>33</v>
      </c>
      <c r="H1626" s="7">
        <v>42230</v>
      </c>
      <c r="I1626">
        <v>1753.34</v>
      </c>
      <c r="K1626" s="7"/>
    </row>
    <row r="1627" spans="1:11">
      <c r="A1627">
        <v>300001626</v>
      </c>
      <c r="B1627" t="s">
        <v>236</v>
      </c>
      <c r="C1627" t="s">
        <v>242</v>
      </c>
      <c r="D1627" t="s">
        <v>16</v>
      </c>
      <c r="E1627" s="9">
        <v>37</v>
      </c>
      <c r="F1627" t="s">
        <v>23</v>
      </c>
      <c r="G1627" t="s">
        <v>13</v>
      </c>
      <c r="H1627" s="8">
        <v>42230</v>
      </c>
      <c r="I1627">
        <v>7981.83</v>
      </c>
      <c r="K1627" s="8"/>
    </row>
    <row r="1628" spans="1:11">
      <c r="A1628">
        <v>300001627</v>
      </c>
      <c r="B1628" t="s">
        <v>70</v>
      </c>
      <c r="C1628" t="s">
        <v>114</v>
      </c>
      <c r="D1628" t="s">
        <v>11</v>
      </c>
      <c r="E1628" s="9">
        <v>45</v>
      </c>
      <c r="F1628" t="s">
        <v>23</v>
      </c>
      <c r="G1628" t="s">
        <v>13</v>
      </c>
      <c r="H1628" s="7">
        <v>42230</v>
      </c>
      <c r="I1628">
        <v>18035.37</v>
      </c>
      <c r="K1628" s="7"/>
    </row>
    <row r="1629" spans="1:11">
      <c r="A1629">
        <v>300001628</v>
      </c>
      <c r="B1629" t="s">
        <v>321</v>
      </c>
      <c r="C1629" t="s">
        <v>132</v>
      </c>
      <c r="D1629" t="s">
        <v>16</v>
      </c>
      <c r="E1629" s="9">
        <v>45</v>
      </c>
      <c r="F1629" t="s">
        <v>23</v>
      </c>
      <c r="G1629" t="s">
        <v>33</v>
      </c>
      <c r="H1629" s="8">
        <v>42230</v>
      </c>
      <c r="I1629">
        <v>53783.65</v>
      </c>
      <c r="K1629" s="8"/>
    </row>
    <row r="1630" spans="1:11">
      <c r="A1630">
        <v>300001629</v>
      </c>
      <c r="B1630" t="s">
        <v>268</v>
      </c>
      <c r="C1630" t="s">
        <v>266</v>
      </c>
      <c r="D1630" t="s">
        <v>16</v>
      </c>
      <c r="E1630" s="9">
        <v>36</v>
      </c>
      <c r="F1630" t="s">
        <v>23</v>
      </c>
      <c r="G1630" t="s">
        <v>33</v>
      </c>
      <c r="H1630" s="7">
        <v>42230</v>
      </c>
      <c r="I1630">
        <v>9679.91</v>
      </c>
      <c r="K1630" s="7"/>
    </row>
    <row r="1631" spans="1:11">
      <c r="A1631">
        <v>400001630</v>
      </c>
      <c r="B1631" t="s">
        <v>166</v>
      </c>
      <c r="C1631" t="s">
        <v>25</v>
      </c>
      <c r="D1631" t="s">
        <v>16</v>
      </c>
      <c r="E1631" s="9">
        <v>28</v>
      </c>
      <c r="F1631" t="s">
        <v>17</v>
      </c>
      <c r="G1631" t="s">
        <v>33</v>
      </c>
      <c r="H1631" s="8">
        <v>42230</v>
      </c>
      <c r="I1631">
        <v>40163.919999999998</v>
      </c>
      <c r="K1631" s="8"/>
    </row>
    <row r="1632" spans="1:11">
      <c r="A1632">
        <v>100001631</v>
      </c>
      <c r="B1632" t="s">
        <v>30</v>
      </c>
      <c r="C1632" t="s">
        <v>279</v>
      </c>
      <c r="D1632" t="s">
        <v>16</v>
      </c>
      <c r="E1632" s="9">
        <v>28</v>
      </c>
      <c r="F1632" t="s">
        <v>12</v>
      </c>
      <c r="G1632" t="s">
        <v>13</v>
      </c>
      <c r="H1632" s="7">
        <v>42231</v>
      </c>
      <c r="I1632">
        <v>17565.509999999998</v>
      </c>
      <c r="K1632" s="7"/>
    </row>
    <row r="1633" spans="1:11">
      <c r="A1633">
        <v>100001632</v>
      </c>
      <c r="B1633" t="s">
        <v>308</v>
      </c>
      <c r="C1633" t="s">
        <v>237</v>
      </c>
      <c r="D1633" t="s">
        <v>16</v>
      </c>
      <c r="E1633" s="9">
        <v>28</v>
      </c>
      <c r="F1633" t="s">
        <v>12</v>
      </c>
      <c r="G1633" t="s">
        <v>13</v>
      </c>
      <c r="H1633" s="8">
        <v>42231</v>
      </c>
      <c r="I1633">
        <v>8195.76</v>
      </c>
      <c r="K1633" s="8"/>
    </row>
    <row r="1634" spans="1:11">
      <c r="A1634">
        <v>100001633</v>
      </c>
      <c r="B1634" t="s">
        <v>152</v>
      </c>
      <c r="C1634" t="s">
        <v>277</v>
      </c>
      <c r="D1634" t="s">
        <v>11</v>
      </c>
      <c r="E1634" s="9">
        <v>34</v>
      </c>
      <c r="F1634" t="s">
        <v>12</v>
      </c>
      <c r="G1634" t="s">
        <v>13</v>
      </c>
      <c r="H1634" s="7">
        <v>42231</v>
      </c>
      <c r="I1634">
        <v>19053.75</v>
      </c>
      <c r="K1634" s="7"/>
    </row>
    <row r="1635" spans="1:11">
      <c r="A1635">
        <v>100001634</v>
      </c>
      <c r="B1635" t="s">
        <v>202</v>
      </c>
      <c r="C1635" t="s">
        <v>77</v>
      </c>
      <c r="D1635" t="s">
        <v>11</v>
      </c>
      <c r="E1635" s="9">
        <v>28</v>
      </c>
      <c r="F1635" t="s">
        <v>12</v>
      </c>
      <c r="G1635" t="s">
        <v>13</v>
      </c>
      <c r="H1635" s="8">
        <v>42231</v>
      </c>
      <c r="I1635">
        <v>8958.39</v>
      </c>
      <c r="K1635" s="8"/>
    </row>
    <row r="1636" spans="1:11">
      <c r="A1636">
        <v>100001635</v>
      </c>
      <c r="B1636" t="s">
        <v>263</v>
      </c>
      <c r="C1636" t="s">
        <v>289</v>
      </c>
      <c r="D1636" t="s">
        <v>16</v>
      </c>
      <c r="E1636" s="9">
        <v>34</v>
      </c>
      <c r="F1636" t="s">
        <v>12</v>
      </c>
      <c r="G1636" t="s">
        <v>13</v>
      </c>
      <c r="H1636" s="7">
        <v>42231</v>
      </c>
      <c r="I1636">
        <v>131464.91</v>
      </c>
      <c r="K1636" s="7"/>
    </row>
    <row r="1637" spans="1:11">
      <c r="A1637">
        <v>100001636</v>
      </c>
      <c r="B1637" t="s">
        <v>207</v>
      </c>
      <c r="C1637" t="s">
        <v>124</v>
      </c>
      <c r="D1637" t="s">
        <v>11</v>
      </c>
      <c r="E1637" s="9">
        <v>23</v>
      </c>
      <c r="F1637" t="s">
        <v>12</v>
      </c>
      <c r="G1637" t="s">
        <v>33</v>
      </c>
      <c r="H1637" s="8">
        <v>42231</v>
      </c>
      <c r="I1637">
        <v>5257.22</v>
      </c>
      <c r="K1637" s="8"/>
    </row>
    <row r="1638" spans="1:11">
      <c r="A1638">
        <v>100001637</v>
      </c>
      <c r="B1638" t="s">
        <v>50</v>
      </c>
      <c r="C1638" t="s">
        <v>306</v>
      </c>
      <c r="D1638" t="s">
        <v>16</v>
      </c>
      <c r="E1638" s="9">
        <v>26</v>
      </c>
      <c r="F1638" t="s">
        <v>12</v>
      </c>
      <c r="G1638" t="s">
        <v>13</v>
      </c>
      <c r="H1638" s="7">
        <v>42232</v>
      </c>
      <c r="I1638">
        <v>5526.87</v>
      </c>
      <c r="K1638" s="7"/>
    </row>
    <row r="1639" spans="1:11">
      <c r="A1639">
        <v>200001638</v>
      </c>
      <c r="B1639" t="s">
        <v>191</v>
      </c>
      <c r="C1639" t="s">
        <v>239</v>
      </c>
      <c r="D1639" t="s">
        <v>11</v>
      </c>
      <c r="E1639" s="9">
        <v>63</v>
      </c>
      <c r="F1639" t="s">
        <v>32</v>
      </c>
      <c r="G1639" t="s">
        <v>33</v>
      </c>
      <c r="H1639" s="8">
        <v>42232</v>
      </c>
      <c r="I1639">
        <v>8391.7900000000009</v>
      </c>
      <c r="K1639" s="8"/>
    </row>
    <row r="1640" spans="1:11">
      <c r="A1640">
        <v>200001639</v>
      </c>
      <c r="B1640" t="s">
        <v>139</v>
      </c>
      <c r="C1640" t="s">
        <v>195</v>
      </c>
      <c r="D1640" t="s">
        <v>16</v>
      </c>
      <c r="E1640" s="9">
        <v>57</v>
      </c>
      <c r="F1640" t="s">
        <v>32</v>
      </c>
      <c r="G1640" t="s">
        <v>13</v>
      </c>
      <c r="H1640" s="7">
        <v>42232</v>
      </c>
      <c r="I1640">
        <v>34948.54</v>
      </c>
      <c r="K1640" s="7"/>
    </row>
    <row r="1641" spans="1:11">
      <c r="A1641">
        <v>200001640</v>
      </c>
      <c r="B1641" t="s">
        <v>199</v>
      </c>
      <c r="C1641" t="s">
        <v>240</v>
      </c>
      <c r="D1641" t="s">
        <v>11</v>
      </c>
      <c r="E1641" s="9">
        <v>64</v>
      </c>
      <c r="F1641" t="s">
        <v>32</v>
      </c>
      <c r="G1641" t="s">
        <v>18</v>
      </c>
      <c r="H1641" s="8">
        <v>42232</v>
      </c>
      <c r="I1641">
        <v>47115.07</v>
      </c>
      <c r="K1641" s="8"/>
    </row>
    <row r="1642" spans="1:11">
      <c r="A1642">
        <v>300001641</v>
      </c>
      <c r="B1642" t="s">
        <v>191</v>
      </c>
      <c r="C1642" t="s">
        <v>252</v>
      </c>
      <c r="D1642" t="s">
        <v>11</v>
      </c>
      <c r="E1642" s="9">
        <v>28</v>
      </c>
      <c r="F1642" t="s">
        <v>23</v>
      </c>
      <c r="G1642" t="s">
        <v>13</v>
      </c>
      <c r="H1642" s="7">
        <v>42232</v>
      </c>
      <c r="I1642">
        <v>77211.460000000006</v>
      </c>
      <c r="K1642" s="7"/>
    </row>
    <row r="1643" spans="1:11">
      <c r="A1643">
        <v>300001642</v>
      </c>
      <c r="B1643" t="s">
        <v>202</v>
      </c>
      <c r="C1643" t="s">
        <v>69</v>
      </c>
      <c r="D1643" t="s">
        <v>11</v>
      </c>
      <c r="E1643" s="9">
        <v>41</v>
      </c>
      <c r="F1643" t="s">
        <v>23</v>
      </c>
      <c r="G1643" t="s">
        <v>13</v>
      </c>
      <c r="H1643" s="8">
        <v>42232</v>
      </c>
      <c r="I1643">
        <v>112243.76</v>
      </c>
      <c r="K1643" s="8"/>
    </row>
    <row r="1644" spans="1:11">
      <c r="A1644">
        <v>100001643</v>
      </c>
      <c r="B1644" t="s">
        <v>181</v>
      </c>
      <c r="C1644" t="s">
        <v>10</v>
      </c>
      <c r="D1644" t="s">
        <v>11</v>
      </c>
      <c r="E1644" s="9">
        <v>40</v>
      </c>
      <c r="F1644" t="s">
        <v>12</v>
      </c>
      <c r="G1644" t="s">
        <v>13</v>
      </c>
      <c r="H1644" s="7">
        <v>42233</v>
      </c>
      <c r="I1644">
        <v>61559.53</v>
      </c>
      <c r="K1644" s="7"/>
    </row>
    <row r="1645" spans="1:11">
      <c r="A1645">
        <v>100001644</v>
      </c>
      <c r="B1645" t="s">
        <v>229</v>
      </c>
      <c r="C1645" t="s">
        <v>274</v>
      </c>
      <c r="D1645" t="s">
        <v>16</v>
      </c>
      <c r="E1645" s="9">
        <v>41</v>
      </c>
      <c r="F1645" t="s">
        <v>12</v>
      </c>
      <c r="G1645" t="s">
        <v>33</v>
      </c>
      <c r="H1645" s="8">
        <v>42233</v>
      </c>
      <c r="I1645">
        <v>19269.63</v>
      </c>
      <c r="K1645" s="8"/>
    </row>
    <row r="1646" spans="1:11">
      <c r="A1646">
        <v>100001645</v>
      </c>
      <c r="B1646" t="s">
        <v>176</v>
      </c>
      <c r="C1646" t="s">
        <v>94</v>
      </c>
      <c r="D1646" t="s">
        <v>16</v>
      </c>
      <c r="E1646" s="9">
        <v>44</v>
      </c>
      <c r="F1646" t="s">
        <v>12</v>
      </c>
      <c r="G1646" t="s">
        <v>13</v>
      </c>
      <c r="H1646" s="7">
        <v>42233</v>
      </c>
      <c r="I1646">
        <v>46153.29</v>
      </c>
      <c r="K1646" s="7"/>
    </row>
    <row r="1647" spans="1:11">
      <c r="A1647">
        <v>100001646</v>
      </c>
      <c r="B1647" t="s">
        <v>158</v>
      </c>
      <c r="C1647" t="s">
        <v>138</v>
      </c>
      <c r="D1647" t="s">
        <v>16</v>
      </c>
      <c r="E1647" s="9">
        <v>31</v>
      </c>
      <c r="F1647" t="s">
        <v>12</v>
      </c>
      <c r="G1647" t="s">
        <v>13</v>
      </c>
      <c r="H1647" s="8">
        <v>42233</v>
      </c>
      <c r="I1647">
        <v>45730.02</v>
      </c>
      <c r="K1647" s="8"/>
    </row>
    <row r="1648" spans="1:11">
      <c r="A1648">
        <v>100001647</v>
      </c>
      <c r="B1648" t="s">
        <v>206</v>
      </c>
      <c r="C1648" t="s">
        <v>52</v>
      </c>
      <c r="D1648" t="s">
        <v>11</v>
      </c>
      <c r="E1648" s="9">
        <v>24</v>
      </c>
      <c r="F1648" t="s">
        <v>12</v>
      </c>
      <c r="G1648" t="s">
        <v>18</v>
      </c>
      <c r="H1648" s="7">
        <v>42233</v>
      </c>
      <c r="I1648">
        <v>19278.39</v>
      </c>
      <c r="K1648" s="7"/>
    </row>
    <row r="1649" spans="1:11">
      <c r="A1649">
        <v>200001648</v>
      </c>
      <c r="B1649" t="s">
        <v>208</v>
      </c>
      <c r="C1649" t="s">
        <v>73</v>
      </c>
      <c r="D1649" t="s">
        <v>11</v>
      </c>
      <c r="E1649" s="9">
        <v>41</v>
      </c>
      <c r="F1649" t="s">
        <v>32</v>
      </c>
      <c r="G1649" t="s">
        <v>33</v>
      </c>
      <c r="H1649" s="8">
        <v>42233</v>
      </c>
      <c r="I1649">
        <v>57520.31</v>
      </c>
      <c r="K1649" s="8"/>
    </row>
    <row r="1650" spans="1:11">
      <c r="A1650">
        <v>200001649</v>
      </c>
      <c r="B1650" t="s">
        <v>207</v>
      </c>
      <c r="C1650" t="s">
        <v>209</v>
      </c>
      <c r="D1650" t="s">
        <v>11</v>
      </c>
      <c r="E1650" s="9">
        <v>55</v>
      </c>
      <c r="F1650" t="s">
        <v>32</v>
      </c>
      <c r="G1650" t="s">
        <v>18</v>
      </c>
      <c r="H1650" s="7">
        <v>42233</v>
      </c>
      <c r="I1650">
        <v>44489.440000000002</v>
      </c>
      <c r="K1650" s="7"/>
    </row>
    <row r="1651" spans="1:11">
      <c r="A1651">
        <v>200001650</v>
      </c>
      <c r="B1651" t="s">
        <v>193</v>
      </c>
      <c r="C1651" t="s">
        <v>307</v>
      </c>
      <c r="D1651" t="s">
        <v>11</v>
      </c>
      <c r="E1651" s="9">
        <v>34</v>
      </c>
      <c r="F1651" t="s">
        <v>32</v>
      </c>
      <c r="G1651" t="s">
        <v>33</v>
      </c>
      <c r="H1651" s="8">
        <v>42233</v>
      </c>
      <c r="I1651">
        <v>21134.53</v>
      </c>
      <c r="K1651" s="8"/>
    </row>
    <row r="1652" spans="1:11">
      <c r="A1652">
        <v>300001651</v>
      </c>
      <c r="B1652" t="s">
        <v>165</v>
      </c>
      <c r="C1652" t="s">
        <v>222</v>
      </c>
      <c r="D1652" t="s">
        <v>16</v>
      </c>
      <c r="E1652" s="9">
        <v>21</v>
      </c>
      <c r="F1652" t="s">
        <v>23</v>
      </c>
      <c r="G1652" t="s">
        <v>13</v>
      </c>
      <c r="H1652" s="7">
        <v>42233</v>
      </c>
      <c r="I1652">
        <v>45899.62</v>
      </c>
      <c r="K1652" s="7"/>
    </row>
    <row r="1653" spans="1:11">
      <c r="A1653">
        <v>300001652</v>
      </c>
      <c r="B1653" t="s">
        <v>181</v>
      </c>
      <c r="C1653" t="s">
        <v>155</v>
      </c>
      <c r="D1653" t="s">
        <v>11</v>
      </c>
      <c r="E1653" s="9">
        <v>39</v>
      </c>
      <c r="F1653" t="s">
        <v>23</v>
      </c>
      <c r="G1653" t="s">
        <v>33</v>
      </c>
      <c r="H1653" s="8">
        <v>42233</v>
      </c>
      <c r="I1653">
        <v>72866.17</v>
      </c>
      <c r="K1653" s="8"/>
    </row>
    <row r="1654" spans="1:11">
      <c r="A1654">
        <v>100001653</v>
      </c>
      <c r="B1654" t="s">
        <v>103</v>
      </c>
      <c r="C1654" t="s">
        <v>78</v>
      </c>
      <c r="D1654" t="s">
        <v>11</v>
      </c>
      <c r="E1654" s="9">
        <v>35</v>
      </c>
      <c r="F1654" t="s">
        <v>12</v>
      </c>
      <c r="G1654" t="s">
        <v>18</v>
      </c>
      <c r="H1654" s="7">
        <v>42234</v>
      </c>
      <c r="I1654">
        <v>16479.12</v>
      </c>
      <c r="K1654" s="7"/>
    </row>
    <row r="1655" spans="1:11">
      <c r="A1655">
        <v>100001654</v>
      </c>
      <c r="B1655" t="s">
        <v>317</v>
      </c>
      <c r="C1655" t="s">
        <v>77</v>
      </c>
      <c r="D1655" t="s">
        <v>16</v>
      </c>
      <c r="E1655" s="9">
        <v>18</v>
      </c>
      <c r="F1655" t="s">
        <v>12</v>
      </c>
      <c r="G1655" t="s">
        <v>13</v>
      </c>
      <c r="H1655" s="8">
        <v>42234</v>
      </c>
      <c r="I1655">
        <v>36706.839999999997</v>
      </c>
      <c r="K1655" s="8"/>
    </row>
    <row r="1656" spans="1:11">
      <c r="A1656">
        <v>100001655</v>
      </c>
      <c r="B1656" t="s">
        <v>118</v>
      </c>
      <c r="C1656" t="s">
        <v>155</v>
      </c>
      <c r="D1656" t="s">
        <v>11</v>
      </c>
      <c r="E1656" s="9">
        <v>40</v>
      </c>
      <c r="F1656" t="s">
        <v>12</v>
      </c>
      <c r="G1656" t="s">
        <v>13</v>
      </c>
      <c r="H1656" s="7">
        <v>42234</v>
      </c>
      <c r="I1656">
        <v>20906.27</v>
      </c>
      <c r="K1656" s="7"/>
    </row>
    <row r="1657" spans="1:11">
      <c r="A1657">
        <v>100001656</v>
      </c>
      <c r="B1657" t="s">
        <v>175</v>
      </c>
      <c r="C1657" t="s">
        <v>198</v>
      </c>
      <c r="D1657" t="s">
        <v>11</v>
      </c>
      <c r="E1657" s="9">
        <v>38</v>
      </c>
      <c r="F1657" t="s">
        <v>12</v>
      </c>
      <c r="G1657" t="s">
        <v>13</v>
      </c>
      <c r="H1657" s="8">
        <v>42234</v>
      </c>
      <c r="I1657">
        <v>52100.59</v>
      </c>
      <c r="K1657" s="8"/>
    </row>
    <row r="1658" spans="1:11">
      <c r="A1658">
        <v>100001657</v>
      </c>
      <c r="B1658" t="s">
        <v>36</v>
      </c>
      <c r="C1658" t="s">
        <v>98</v>
      </c>
      <c r="D1658" t="s">
        <v>11</v>
      </c>
      <c r="E1658" s="9">
        <v>30</v>
      </c>
      <c r="F1658" t="s">
        <v>12</v>
      </c>
      <c r="G1658" t="s">
        <v>13</v>
      </c>
      <c r="H1658" s="7">
        <v>42234</v>
      </c>
      <c r="I1658">
        <v>32400.35</v>
      </c>
      <c r="K1658" s="7"/>
    </row>
    <row r="1659" spans="1:11">
      <c r="A1659">
        <v>100001658</v>
      </c>
      <c r="B1659" t="s">
        <v>97</v>
      </c>
      <c r="C1659" t="s">
        <v>106</v>
      </c>
      <c r="D1659" t="s">
        <v>16</v>
      </c>
      <c r="E1659" s="9">
        <v>39</v>
      </c>
      <c r="F1659" t="s">
        <v>12</v>
      </c>
      <c r="G1659" t="s">
        <v>13</v>
      </c>
      <c r="H1659" s="8">
        <v>42234</v>
      </c>
      <c r="I1659">
        <v>6904.7</v>
      </c>
      <c r="K1659" s="8"/>
    </row>
    <row r="1660" spans="1:11">
      <c r="A1660">
        <v>100001659</v>
      </c>
      <c r="B1660" t="s">
        <v>92</v>
      </c>
      <c r="C1660" t="s">
        <v>212</v>
      </c>
      <c r="D1660" t="s">
        <v>16</v>
      </c>
      <c r="E1660" s="9">
        <v>33</v>
      </c>
      <c r="F1660" t="s">
        <v>12</v>
      </c>
      <c r="G1660" t="s">
        <v>18</v>
      </c>
      <c r="H1660" s="7">
        <v>42234</v>
      </c>
      <c r="I1660">
        <v>19416.330000000002</v>
      </c>
      <c r="K1660" s="7"/>
    </row>
    <row r="1661" spans="1:11">
      <c r="A1661">
        <v>100001660</v>
      </c>
      <c r="B1661" t="s">
        <v>55</v>
      </c>
      <c r="C1661" t="s">
        <v>203</v>
      </c>
      <c r="D1661" t="s">
        <v>11</v>
      </c>
      <c r="E1661" s="9">
        <v>40</v>
      </c>
      <c r="F1661" t="s">
        <v>12</v>
      </c>
      <c r="G1661" t="s">
        <v>13</v>
      </c>
      <c r="H1661" s="8">
        <v>42234</v>
      </c>
      <c r="I1661">
        <v>80678.36</v>
      </c>
      <c r="K1661" s="8"/>
    </row>
    <row r="1662" spans="1:11">
      <c r="A1662">
        <v>100001661</v>
      </c>
      <c r="B1662" t="s">
        <v>141</v>
      </c>
      <c r="C1662" t="s">
        <v>209</v>
      </c>
      <c r="D1662" t="s">
        <v>11</v>
      </c>
      <c r="E1662" s="9">
        <v>26</v>
      </c>
      <c r="F1662" t="s">
        <v>12</v>
      </c>
      <c r="G1662" t="s">
        <v>13</v>
      </c>
      <c r="H1662" s="7">
        <v>42234</v>
      </c>
      <c r="I1662">
        <v>12604.91</v>
      </c>
      <c r="K1662" s="7"/>
    </row>
    <row r="1663" spans="1:11">
      <c r="A1663">
        <v>200001662</v>
      </c>
      <c r="B1663" t="s">
        <v>217</v>
      </c>
      <c r="C1663" t="s">
        <v>260</v>
      </c>
      <c r="D1663" t="s">
        <v>11</v>
      </c>
      <c r="E1663" s="9">
        <v>46</v>
      </c>
      <c r="F1663" t="s">
        <v>32</v>
      </c>
      <c r="G1663" t="s">
        <v>18</v>
      </c>
      <c r="H1663" s="8">
        <v>42234</v>
      </c>
      <c r="I1663">
        <v>48967.15</v>
      </c>
      <c r="K1663" s="8"/>
    </row>
    <row r="1664" spans="1:11">
      <c r="A1664">
        <v>200001663</v>
      </c>
      <c r="B1664" t="s">
        <v>92</v>
      </c>
      <c r="C1664" t="s">
        <v>266</v>
      </c>
      <c r="D1664" t="s">
        <v>16</v>
      </c>
      <c r="E1664" s="9">
        <v>56</v>
      </c>
      <c r="F1664" t="s">
        <v>32</v>
      </c>
      <c r="G1664" t="s">
        <v>33</v>
      </c>
      <c r="H1664" s="7">
        <v>42234</v>
      </c>
      <c r="I1664">
        <v>25452.799999999999</v>
      </c>
      <c r="K1664" s="7"/>
    </row>
    <row r="1665" spans="1:11">
      <c r="A1665">
        <v>200001664</v>
      </c>
      <c r="B1665" t="s">
        <v>90</v>
      </c>
      <c r="C1665" t="s">
        <v>238</v>
      </c>
      <c r="D1665" t="s">
        <v>11</v>
      </c>
      <c r="E1665" s="9">
        <v>33</v>
      </c>
      <c r="F1665" t="s">
        <v>32</v>
      </c>
      <c r="G1665" t="s">
        <v>33</v>
      </c>
      <c r="H1665" s="8">
        <v>42234</v>
      </c>
      <c r="I1665">
        <v>65608.679999999993</v>
      </c>
      <c r="K1665" s="8"/>
    </row>
    <row r="1666" spans="1:11">
      <c r="A1666">
        <v>200001665</v>
      </c>
      <c r="B1666" t="s">
        <v>267</v>
      </c>
      <c r="C1666" t="s">
        <v>307</v>
      </c>
      <c r="D1666" t="s">
        <v>16</v>
      </c>
      <c r="E1666" s="9">
        <v>43</v>
      </c>
      <c r="F1666" t="s">
        <v>32</v>
      </c>
      <c r="G1666" t="s">
        <v>33</v>
      </c>
      <c r="H1666" s="7">
        <v>42234</v>
      </c>
      <c r="I1666">
        <v>63757.4</v>
      </c>
      <c r="K1666" s="7"/>
    </row>
    <row r="1667" spans="1:11">
      <c r="A1667">
        <v>400001666</v>
      </c>
      <c r="B1667" t="s">
        <v>79</v>
      </c>
      <c r="C1667" t="s">
        <v>136</v>
      </c>
      <c r="D1667" t="s">
        <v>11</v>
      </c>
      <c r="E1667" s="9">
        <v>35</v>
      </c>
      <c r="F1667" t="s">
        <v>17</v>
      </c>
      <c r="G1667" t="s">
        <v>13</v>
      </c>
      <c r="H1667" s="8">
        <v>42234</v>
      </c>
      <c r="I1667">
        <v>9465.58</v>
      </c>
      <c r="K1667" s="8"/>
    </row>
    <row r="1668" spans="1:11">
      <c r="A1668">
        <v>100001667</v>
      </c>
      <c r="B1668" t="s">
        <v>119</v>
      </c>
      <c r="C1668" t="s">
        <v>123</v>
      </c>
      <c r="D1668" t="s">
        <v>16</v>
      </c>
      <c r="E1668" s="9">
        <v>56</v>
      </c>
      <c r="F1668" t="s">
        <v>12</v>
      </c>
      <c r="G1668" t="s">
        <v>13</v>
      </c>
      <c r="H1668" s="7">
        <v>42235</v>
      </c>
      <c r="I1668">
        <v>997.01</v>
      </c>
      <c r="K1668" s="7"/>
    </row>
    <row r="1669" spans="1:11">
      <c r="A1669">
        <v>200001668</v>
      </c>
      <c r="B1669" t="s">
        <v>19</v>
      </c>
      <c r="C1669" t="s">
        <v>185</v>
      </c>
      <c r="D1669" t="s">
        <v>11</v>
      </c>
      <c r="E1669" s="9">
        <v>62</v>
      </c>
      <c r="F1669" t="s">
        <v>32</v>
      </c>
      <c r="G1669" t="s">
        <v>18</v>
      </c>
      <c r="H1669" s="8">
        <v>42235</v>
      </c>
      <c r="I1669">
        <v>18687.009999999998</v>
      </c>
      <c r="K1669" s="8"/>
    </row>
    <row r="1670" spans="1:11">
      <c r="A1670">
        <v>200001669</v>
      </c>
      <c r="B1670" t="s">
        <v>308</v>
      </c>
      <c r="C1670" t="s">
        <v>31</v>
      </c>
      <c r="D1670" t="s">
        <v>16</v>
      </c>
      <c r="E1670" s="9">
        <v>47</v>
      </c>
      <c r="F1670" t="s">
        <v>32</v>
      </c>
      <c r="G1670" t="s">
        <v>33</v>
      </c>
      <c r="H1670" s="7">
        <v>42235</v>
      </c>
      <c r="I1670">
        <v>48268.62</v>
      </c>
      <c r="K1670" s="7"/>
    </row>
    <row r="1671" spans="1:11">
      <c r="A1671">
        <v>200001670</v>
      </c>
      <c r="B1671" t="s">
        <v>254</v>
      </c>
      <c r="C1671" t="s">
        <v>241</v>
      </c>
      <c r="D1671" t="s">
        <v>11</v>
      </c>
      <c r="E1671" s="9">
        <v>45</v>
      </c>
      <c r="F1671" t="s">
        <v>32</v>
      </c>
      <c r="G1671" t="s">
        <v>33</v>
      </c>
      <c r="H1671" s="8">
        <v>42235</v>
      </c>
      <c r="I1671">
        <v>69809.23</v>
      </c>
      <c r="K1671" s="8"/>
    </row>
    <row r="1672" spans="1:11">
      <c r="A1672">
        <v>400001671</v>
      </c>
      <c r="B1672" t="s">
        <v>119</v>
      </c>
      <c r="C1672" t="s">
        <v>210</v>
      </c>
      <c r="D1672" t="s">
        <v>16</v>
      </c>
      <c r="E1672" s="9">
        <v>17</v>
      </c>
      <c r="F1672" t="s">
        <v>17</v>
      </c>
      <c r="G1672" t="s">
        <v>18</v>
      </c>
      <c r="H1672" s="7">
        <v>42235</v>
      </c>
      <c r="I1672">
        <v>97610.35</v>
      </c>
      <c r="K1672" s="7"/>
    </row>
    <row r="1673" spans="1:11">
      <c r="A1673">
        <v>100001672</v>
      </c>
      <c r="B1673" t="s">
        <v>298</v>
      </c>
      <c r="C1673" t="s">
        <v>96</v>
      </c>
      <c r="D1673" t="s">
        <v>16</v>
      </c>
      <c r="E1673" s="9">
        <v>45</v>
      </c>
      <c r="F1673" t="s">
        <v>12</v>
      </c>
      <c r="G1673" t="s">
        <v>13</v>
      </c>
      <c r="H1673" s="8">
        <v>42236</v>
      </c>
      <c r="I1673">
        <v>20228.5</v>
      </c>
      <c r="K1673" s="8"/>
    </row>
    <row r="1674" spans="1:11">
      <c r="A1674">
        <v>100001673</v>
      </c>
      <c r="B1674" t="s">
        <v>186</v>
      </c>
      <c r="C1674" t="s">
        <v>136</v>
      </c>
      <c r="D1674" t="s">
        <v>11</v>
      </c>
      <c r="E1674" s="9">
        <v>39</v>
      </c>
      <c r="F1674" t="s">
        <v>12</v>
      </c>
      <c r="G1674" t="s">
        <v>13</v>
      </c>
      <c r="H1674" s="7">
        <v>42236</v>
      </c>
      <c r="I1674">
        <v>10188.530000000001</v>
      </c>
      <c r="K1674" s="7"/>
    </row>
    <row r="1675" spans="1:11">
      <c r="A1675">
        <v>100001674</v>
      </c>
      <c r="B1675" t="s">
        <v>105</v>
      </c>
      <c r="C1675" t="s">
        <v>275</v>
      </c>
      <c r="D1675" t="s">
        <v>16</v>
      </c>
      <c r="E1675" s="9">
        <v>46</v>
      </c>
      <c r="F1675" t="s">
        <v>12</v>
      </c>
      <c r="G1675" t="s">
        <v>13</v>
      </c>
      <c r="H1675" s="8">
        <v>42236</v>
      </c>
      <c r="I1675">
        <v>7003.01</v>
      </c>
      <c r="K1675" s="8"/>
    </row>
    <row r="1676" spans="1:11">
      <c r="A1676">
        <v>100001675</v>
      </c>
      <c r="B1676" t="s">
        <v>165</v>
      </c>
      <c r="C1676" t="s">
        <v>25</v>
      </c>
      <c r="D1676" t="s">
        <v>16</v>
      </c>
      <c r="E1676" s="9">
        <v>42</v>
      </c>
      <c r="F1676" t="s">
        <v>12</v>
      </c>
      <c r="G1676" t="s">
        <v>33</v>
      </c>
      <c r="H1676" s="7">
        <v>42236</v>
      </c>
      <c r="I1676">
        <v>19699.45</v>
      </c>
      <c r="K1676" s="7"/>
    </row>
    <row r="1677" spans="1:11">
      <c r="A1677">
        <v>100001676</v>
      </c>
      <c r="B1677" t="s">
        <v>44</v>
      </c>
      <c r="C1677" t="s">
        <v>196</v>
      </c>
      <c r="D1677" t="s">
        <v>16</v>
      </c>
      <c r="E1677" s="9">
        <v>27</v>
      </c>
      <c r="F1677" t="s">
        <v>12</v>
      </c>
      <c r="G1677" t="s">
        <v>18</v>
      </c>
      <c r="H1677" s="8">
        <v>42236</v>
      </c>
      <c r="I1677">
        <v>32313.23</v>
      </c>
      <c r="K1677" s="8"/>
    </row>
    <row r="1678" spans="1:11">
      <c r="A1678">
        <v>200001677</v>
      </c>
      <c r="B1678" t="s">
        <v>139</v>
      </c>
      <c r="C1678" t="s">
        <v>54</v>
      </c>
      <c r="D1678" t="s">
        <v>16</v>
      </c>
      <c r="E1678" s="9">
        <v>56</v>
      </c>
      <c r="F1678" t="s">
        <v>32</v>
      </c>
      <c r="G1678" t="s">
        <v>33</v>
      </c>
      <c r="H1678" s="7">
        <v>42236</v>
      </c>
      <c r="I1678">
        <v>115592.15</v>
      </c>
      <c r="K1678" s="7"/>
    </row>
    <row r="1679" spans="1:11">
      <c r="A1679">
        <v>200001678</v>
      </c>
      <c r="B1679" t="s">
        <v>220</v>
      </c>
      <c r="C1679" t="s">
        <v>151</v>
      </c>
      <c r="D1679" t="s">
        <v>16</v>
      </c>
      <c r="E1679" s="9">
        <v>47</v>
      </c>
      <c r="F1679" t="s">
        <v>32</v>
      </c>
      <c r="G1679" t="s">
        <v>33</v>
      </c>
      <c r="H1679" s="8">
        <v>42236</v>
      </c>
      <c r="I1679">
        <v>10671.26</v>
      </c>
      <c r="K1679" s="8"/>
    </row>
    <row r="1680" spans="1:11">
      <c r="A1680">
        <v>200001679</v>
      </c>
      <c r="B1680" t="s">
        <v>273</v>
      </c>
      <c r="C1680" t="s">
        <v>216</v>
      </c>
      <c r="D1680" t="s">
        <v>11</v>
      </c>
      <c r="E1680" s="9">
        <v>61</v>
      </c>
      <c r="F1680" t="s">
        <v>32</v>
      </c>
      <c r="G1680" t="s">
        <v>18</v>
      </c>
      <c r="H1680" s="7">
        <v>42236</v>
      </c>
      <c r="I1680">
        <v>114858.67</v>
      </c>
      <c r="K1680" s="7"/>
    </row>
    <row r="1681" spans="1:11">
      <c r="A1681">
        <v>300001680</v>
      </c>
      <c r="B1681" t="s">
        <v>194</v>
      </c>
      <c r="C1681" t="s">
        <v>246</v>
      </c>
      <c r="D1681" t="s">
        <v>16</v>
      </c>
      <c r="E1681" s="9">
        <v>33</v>
      </c>
      <c r="F1681" t="s">
        <v>23</v>
      </c>
      <c r="G1681" t="s">
        <v>13</v>
      </c>
      <c r="H1681" s="8">
        <v>42236</v>
      </c>
      <c r="I1681">
        <v>8271.07</v>
      </c>
      <c r="K1681" s="8"/>
    </row>
    <row r="1682" spans="1:11">
      <c r="A1682">
        <v>300001681</v>
      </c>
      <c r="B1682" t="s">
        <v>303</v>
      </c>
      <c r="C1682" t="s">
        <v>288</v>
      </c>
      <c r="D1682" t="s">
        <v>11</v>
      </c>
      <c r="E1682" s="9">
        <v>29</v>
      </c>
      <c r="F1682" t="s">
        <v>23</v>
      </c>
      <c r="G1682" t="s">
        <v>13</v>
      </c>
      <c r="H1682" s="7">
        <v>42236</v>
      </c>
      <c r="I1682">
        <v>30556.05</v>
      </c>
      <c r="K1682" s="7"/>
    </row>
    <row r="1683" spans="1:11">
      <c r="A1683">
        <v>400001682</v>
      </c>
      <c r="B1683" t="s">
        <v>263</v>
      </c>
      <c r="C1683" t="s">
        <v>54</v>
      </c>
      <c r="D1683" t="s">
        <v>16</v>
      </c>
      <c r="E1683" s="9">
        <v>31</v>
      </c>
      <c r="F1683" t="s">
        <v>17</v>
      </c>
      <c r="G1683" t="s">
        <v>33</v>
      </c>
      <c r="H1683" s="8">
        <v>42236</v>
      </c>
      <c r="I1683">
        <v>30914.02</v>
      </c>
      <c r="K1683" s="8"/>
    </row>
    <row r="1684" spans="1:11">
      <c r="A1684">
        <v>400001683</v>
      </c>
      <c r="B1684" t="s">
        <v>284</v>
      </c>
      <c r="C1684" t="s">
        <v>241</v>
      </c>
      <c r="D1684" t="s">
        <v>16</v>
      </c>
      <c r="E1684" s="9">
        <v>24</v>
      </c>
      <c r="F1684" t="s">
        <v>17</v>
      </c>
      <c r="G1684" t="s">
        <v>33</v>
      </c>
      <c r="H1684" s="7">
        <v>42236</v>
      </c>
      <c r="I1684">
        <v>2617.17</v>
      </c>
      <c r="K1684" s="7"/>
    </row>
    <row r="1685" spans="1:11">
      <c r="A1685">
        <v>100001684</v>
      </c>
      <c r="B1685" t="s">
        <v>268</v>
      </c>
      <c r="C1685" t="s">
        <v>172</v>
      </c>
      <c r="D1685" t="s">
        <v>16</v>
      </c>
      <c r="E1685" s="9">
        <v>30</v>
      </c>
      <c r="F1685" t="s">
        <v>12</v>
      </c>
      <c r="G1685" t="s">
        <v>13</v>
      </c>
      <c r="H1685" s="8">
        <v>42237</v>
      </c>
      <c r="I1685">
        <v>54749.13</v>
      </c>
      <c r="K1685" s="8"/>
    </row>
    <row r="1686" spans="1:11">
      <c r="A1686">
        <v>100001685</v>
      </c>
      <c r="B1686" t="s">
        <v>46</v>
      </c>
      <c r="C1686" t="s">
        <v>266</v>
      </c>
      <c r="D1686" t="s">
        <v>11</v>
      </c>
      <c r="E1686" s="9">
        <v>44</v>
      </c>
      <c r="F1686" t="s">
        <v>12</v>
      </c>
      <c r="G1686" t="s">
        <v>13</v>
      </c>
      <c r="H1686" s="7">
        <v>42237</v>
      </c>
      <c r="I1686">
        <v>27673.63</v>
      </c>
      <c r="K1686" s="7"/>
    </row>
    <row r="1687" spans="1:11">
      <c r="A1687">
        <v>100001686</v>
      </c>
      <c r="B1687" t="s">
        <v>90</v>
      </c>
      <c r="C1687" t="s">
        <v>233</v>
      </c>
      <c r="D1687" t="s">
        <v>11</v>
      </c>
      <c r="E1687" s="9">
        <v>36</v>
      </c>
      <c r="F1687" t="s">
        <v>12</v>
      </c>
      <c r="G1687" t="s">
        <v>33</v>
      </c>
      <c r="H1687" s="8">
        <v>42237</v>
      </c>
      <c r="I1687">
        <v>74026.52</v>
      </c>
      <c r="K1687" s="8"/>
    </row>
    <row r="1688" spans="1:11">
      <c r="A1688">
        <v>100001687</v>
      </c>
      <c r="B1688" t="s">
        <v>146</v>
      </c>
      <c r="C1688" t="s">
        <v>27</v>
      </c>
      <c r="D1688" t="s">
        <v>16</v>
      </c>
      <c r="E1688" s="9">
        <v>34</v>
      </c>
      <c r="F1688" t="s">
        <v>12</v>
      </c>
      <c r="G1688" t="s">
        <v>13</v>
      </c>
      <c r="H1688" s="7">
        <v>42237</v>
      </c>
      <c r="I1688">
        <v>24827.57</v>
      </c>
      <c r="K1688" s="7"/>
    </row>
    <row r="1689" spans="1:11">
      <c r="A1689">
        <v>100001688</v>
      </c>
      <c r="B1689" t="s">
        <v>40</v>
      </c>
      <c r="C1689" t="s">
        <v>25</v>
      </c>
      <c r="D1689" t="s">
        <v>11</v>
      </c>
      <c r="E1689" s="9">
        <v>31</v>
      </c>
      <c r="F1689" t="s">
        <v>12</v>
      </c>
      <c r="G1689" t="s">
        <v>13</v>
      </c>
      <c r="H1689" s="8">
        <v>42237</v>
      </c>
      <c r="I1689">
        <v>90760.82</v>
      </c>
      <c r="K1689" s="8"/>
    </row>
    <row r="1690" spans="1:11">
      <c r="A1690">
        <v>100001689</v>
      </c>
      <c r="B1690" t="s">
        <v>308</v>
      </c>
      <c r="C1690" t="s">
        <v>67</v>
      </c>
      <c r="D1690" t="s">
        <v>16</v>
      </c>
      <c r="E1690" s="9">
        <v>32</v>
      </c>
      <c r="F1690" t="s">
        <v>12</v>
      </c>
      <c r="G1690" t="s">
        <v>13</v>
      </c>
      <c r="H1690" s="7">
        <v>42237</v>
      </c>
      <c r="I1690">
        <v>86890.77</v>
      </c>
      <c r="K1690" s="7"/>
    </row>
    <row r="1691" spans="1:11">
      <c r="A1691">
        <v>100001690</v>
      </c>
      <c r="B1691" t="s">
        <v>143</v>
      </c>
      <c r="C1691" t="s">
        <v>325</v>
      </c>
      <c r="D1691" t="s">
        <v>11</v>
      </c>
      <c r="E1691" s="9">
        <v>48</v>
      </c>
      <c r="F1691" t="s">
        <v>12</v>
      </c>
      <c r="G1691" t="s">
        <v>13</v>
      </c>
      <c r="H1691" s="8">
        <v>42237</v>
      </c>
      <c r="I1691">
        <v>51202.31</v>
      </c>
      <c r="K1691" s="8"/>
    </row>
    <row r="1692" spans="1:11">
      <c r="A1692">
        <v>100001691</v>
      </c>
      <c r="B1692" t="s">
        <v>220</v>
      </c>
      <c r="C1692" t="s">
        <v>85</v>
      </c>
      <c r="D1692" t="s">
        <v>16</v>
      </c>
      <c r="E1692" s="9">
        <v>33</v>
      </c>
      <c r="F1692" t="s">
        <v>12</v>
      </c>
      <c r="G1692" t="s">
        <v>13</v>
      </c>
      <c r="H1692" s="7">
        <v>42237</v>
      </c>
      <c r="I1692">
        <v>4884.67</v>
      </c>
      <c r="K1692" s="7"/>
    </row>
    <row r="1693" spans="1:11">
      <c r="A1693">
        <v>200001692</v>
      </c>
      <c r="B1693" t="s">
        <v>199</v>
      </c>
      <c r="C1693" t="s">
        <v>73</v>
      </c>
      <c r="D1693" t="s">
        <v>11</v>
      </c>
      <c r="E1693" s="9">
        <v>58</v>
      </c>
      <c r="F1693" t="s">
        <v>32</v>
      </c>
      <c r="G1693" t="s">
        <v>18</v>
      </c>
      <c r="H1693" s="8">
        <v>42237</v>
      </c>
      <c r="I1693">
        <v>102552.12</v>
      </c>
      <c r="K1693" s="8"/>
    </row>
    <row r="1694" spans="1:11">
      <c r="A1694">
        <v>200001693</v>
      </c>
      <c r="B1694" t="s">
        <v>70</v>
      </c>
      <c r="C1694" t="s">
        <v>266</v>
      </c>
      <c r="D1694" t="s">
        <v>11</v>
      </c>
      <c r="E1694" s="9">
        <v>48</v>
      </c>
      <c r="F1694" t="s">
        <v>32</v>
      </c>
      <c r="G1694" t="s">
        <v>18</v>
      </c>
      <c r="H1694" s="7">
        <v>42237</v>
      </c>
      <c r="I1694">
        <v>4363.5</v>
      </c>
      <c r="K1694" s="7"/>
    </row>
    <row r="1695" spans="1:11">
      <c r="A1695">
        <v>200001694</v>
      </c>
      <c r="B1695" t="s">
        <v>14</v>
      </c>
      <c r="C1695" t="s">
        <v>136</v>
      </c>
      <c r="D1695" t="s">
        <v>16</v>
      </c>
      <c r="E1695" s="9">
        <v>47</v>
      </c>
      <c r="F1695" t="s">
        <v>32</v>
      </c>
      <c r="G1695" t="s">
        <v>33</v>
      </c>
      <c r="H1695" s="8">
        <v>42237</v>
      </c>
      <c r="I1695">
        <v>64940.12</v>
      </c>
      <c r="K1695" s="8"/>
    </row>
    <row r="1696" spans="1:11">
      <c r="A1696">
        <v>200001695</v>
      </c>
      <c r="B1696" t="s">
        <v>267</v>
      </c>
      <c r="C1696" t="s">
        <v>216</v>
      </c>
      <c r="D1696" t="s">
        <v>16</v>
      </c>
      <c r="E1696" s="9">
        <v>55</v>
      </c>
      <c r="F1696" t="s">
        <v>32</v>
      </c>
      <c r="G1696" t="s">
        <v>33</v>
      </c>
      <c r="H1696" s="7">
        <v>42237</v>
      </c>
      <c r="I1696">
        <v>46862.559999999998</v>
      </c>
      <c r="K1696" s="7"/>
    </row>
    <row r="1697" spans="1:11">
      <c r="A1697">
        <v>300001696</v>
      </c>
      <c r="B1697" t="s">
        <v>223</v>
      </c>
      <c r="C1697" t="s">
        <v>260</v>
      </c>
      <c r="D1697" t="s">
        <v>16</v>
      </c>
      <c r="E1697" s="9">
        <v>38</v>
      </c>
      <c r="F1697" t="s">
        <v>23</v>
      </c>
      <c r="G1697" t="s">
        <v>13</v>
      </c>
      <c r="H1697" s="8">
        <v>42237</v>
      </c>
      <c r="I1697">
        <v>7148.82</v>
      </c>
      <c r="K1697" s="8"/>
    </row>
    <row r="1698" spans="1:11">
      <c r="A1698">
        <v>300001697</v>
      </c>
      <c r="B1698" t="s">
        <v>214</v>
      </c>
      <c r="C1698" t="s">
        <v>132</v>
      </c>
      <c r="D1698" t="s">
        <v>11</v>
      </c>
      <c r="E1698" s="9">
        <v>33</v>
      </c>
      <c r="F1698" t="s">
        <v>23</v>
      </c>
      <c r="G1698" t="s">
        <v>33</v>
      </c>
      <c r="H1698" s="7">
        <v>42237</v>
      </c>
      <c r="I1698">
        <v>25705.16</v>
      </c>
      <c r="K1698" s="7"/>
    </row>
    <row r="1699" spans="1:11">
      <c r="A1699">
        <v>300001698</v>
      </c>
      <c r="B1699" t="s">
        <v>254</v>
      </c>
      <c r="C1699" t="s">
        <v>279</v>
      </c>
      <c r="D1699" t="s">
        <v>11</v>
      </c>
      <c r="E1699" s="9">
        <v>38</v>
      </c>
      <c r="F1699" t="s">
        <v>23</v>
      </c>
      <c r="G1699" t="s">
        <v>18</v>
      </c>
      <c r="H1699" s="8">
        <v>42237</v>
      </c>
      <c r="I1699">
        <v>4409.18</v>
      </c>
      <c r="K1699" s="8"/>
    </row>
    <row r="1700" spans="1:11">
      <c r="A1700">
        <v>300001699</v>
      </c>
      <c r="B1700" t="s">
        <v>244</v>
      </c>
      <c r="C1700" t="s">
        <v>238</v>
      </c>
      <c r="D1700" t="s">
        <v>16</v>
      </c>
      <c r="E1700" s="9">
        <v>33</v>
      </c>
      <c r="F1700" t="s">
        <v>23</v>
      </c>
      <c r="G1700" t="s">
        <v>33</v>
      </c>
      <c r="H1700" s="7">
        <v>42237</v>
      </c>
      <c r="I1700">
        <v>74578.98</v>
      </c>
      <c r="K1700" s="7"/>
    </row>
    <row r="1701" spans="1:11">
      <c r="A1701">
        <v>300001700</v>
      </c>
      <c r="B1701" t="s">
        <v>261</v>
      </c>
      <c r="C1701" t="s">
        <v>297</v>
      </c>
      <c r="D1701" t="s">
        <v>11</v>
      </c>
      <c r="E1701" s="9">
        <v>37</v>
      </c>
      <c r="F1701" t="s">
        <v>23</v>
      </c>
      <c r="G1701" t="s">
        <v>18</v>
      </c>
      <c r="H1701" s="8">
        <v>42237</v>
      </c>
      <c r="I1701">
        <v>36731.86</v>
      </c>
      <c r="K1701" s="8"/>
    </row>
    <row r="1702" spans="1:11">
      <c r="A1702">
        <v>400001701</v>
      </c>
      <c r="B1702" t="s">
        <v>263</v>
      </c>
      <c r="C1702" t="s">
        <v>225</v>
      </c>
      <c r="D1702" t="s">
        <v>16</v>
      </c>
      <c r="E1702" s="9">
        <v>41</v>
      </c>
      <c r="F1702" t="s">
        <v>17</v>
      </c>
      <c r="G1702" t="s">
        <v>13</v>
      </c>
      <c r="H1702" s="7">
        <v>42237</v>
      </c>
      <c r="I1702">
        <v>57177.94</v>
      </c>
      <c r="K1702" s="7"/>
    </row>
    <row r="1703" spans="1:11">
      <c r="A1703">
        <v>100001702</v>
      </c>
      <c r="B1703" t="s">
        <v>66</v>
      </c>
      <c r="C1703" t="s">
        <v>212</v>
      </c>
      <c r="D1703" t="s">
        <v>16</v>
      </c>
      <c r="E1703" s="9">
        <v>52</v>
      </c>
      <c r="F1703" t="s">
        <v>12</v>
      </c>
      <c r="G1703" t="s">
        <v>18</v>
      </c>
      <c r="H1703" s="8">
        <v>42238</v>
      </c>
      <c r="I1703">
        <v>27309.33</v>
      </c>
      <c r="K1703" s="8"/>
    </row>
    <row r="1704" spans="1:11">
      <c r="A1704">
        <v>100001703</v>
      </c>
      <c r="B1704" t="s">
        <v>254</v>
      </c>
      <c r="C1704" t="s">
        <v>299</v>
      </c>
      <c r="D1704" t="s">
        <v>11</v>
      </c>
      <c r="E1704" s="9">
        <v>29</v>
      </c>
      <c r="F1704" t="s">
        <v>12</v>
      </c>
      <c r="G1704" t="s">
        <v>18</v>
      </c>
      <c r="H1704" s="7">
        <v>42238</v>
      </c>
      <c r="I1704">
        <v>63852.14</v>
      </c>
      <c r="K1704" s="7"/>
    </row>
    <row r="1705" spans="1:11">
      <c r="A1705">
        <v>100001704</v>
      </c>
      <c r="B1705" t="s">
        <v>161</v>
      </c>
      <c r="C1705" t="s">
        <v>259</v>
      </c>
      <c r="D1705" t="s">
        <v>16</v>
      </c>
      <c r="E1705" s="9">
        <v>28</v>
      </c>
      <c r="F1705" t="s">
        <v>12</v>
      </c>
      <c r="G1705" t="s">
        <v>13</v>
      </c>
      <c r="H1705" s="8">
        <v>42238</v>
      </c>
      <c r="I1705">
        <v>21840.84</v>
      </c>
      <c r="K1705" s="8"/>
    </row>
    <row r="1706" spans="1:11">
      <c r="A1706">
        <v>100001705</v>
      </c>
      <c r="B1706" t="s">
        <v>265</v>
      </c>
      <c r="C1706" t="s">
        <v>22</v>
      </c>
      <c r="D1706" t="s">
        <v>16</v>
      </c>
      <c r="E1706" s="9">
        <v>43</v>
      </c>
      <c r="F1706" t="s">
        <v>12</v>
      </c>
      <c r="G1706" t="s">
        <v>33</v>
      </c>
      <c r="H1706" s="7">
        <v>42238</v>
      </c>
      <c r="I1706">
        <v>88279.66</v>
      </c>
      <c r="K1706" s="7"/>
    </row>
    <row r="1707" spans="1:11">
      <c r="A1707">
        <v>100001706</v>
      </c>
      <c r="B1707" t="s">
        <v>9</v>
      </c>
      <c r="C1707" t="s">
        <v>121</v>
      </c>
      <c r="D1707" t="s">
        <v>11</v>
      </c>
      <c r="E1707" s="9">
        <v>43</v>
      </c>
      <c r="F1707" t="s">
        <v>12</v>
      </c>
      <c r="G1707" t="s">
        <v>13</v>
      </c>
      <c r="H1707" s="8">
        <v>42238</v>
      </c>
      <c r="I1707">
        <v>104169.39</v>
      </c>
      <c r="K1707" s="8"/>
    </row>
    <row r="1708" spans="1:11">
      <c r="A1708">
        <v>100001707</v>
      </c>
      <c r="B1708" t="s">
        <v>48</v>
      </c>
      <c r="C1708" t="s">
        <v>205</v>
      </c>
      <c r="D1708" t="s">
        <v>16</v>
      </c>
      <c r="E1708" s="9">
        <v>41</v>
      </c>
      <c r="F1708" t="s">
        <v>12</v>
      </c>
      <c r="G1708" t="s">
        <v>13</v>
      </c>
      <c r="H1708" s="7">
        <v>42238</v>
      </c>
      <c r="I1708">
        <v>7598.49</v>
      </c>
      <c r="K1708" s="7"/>
    </row>
    <row r="1709" spans="1:11">
      <c r="A1709">
        <v>200001708</v>
      </c>
      <c r="B1709" t="s">
        <v>112</v>
      </c>
      <c r="C1709" t="s">
        <v>246</v>
      </c>
      <c r="D1709" t="s">
        <v>11</v>
      </c>
      <c r="E1709" s="9">
        <v>51</v>
      </c>
      <c r="F1709" t="s">
        <v>32</v>
      </c>
      <c r="G1709" t="s">
        <v>33</v>
      </c>
      <c r="H1709" s="8">
        <v>42238</v>
      </c>
      <c r="I1709">
        <v>20981.07</v>
      </c>
      <c r="K1709" s="8"/>
    </row>
    <row r="1710" spans="1:11">
      <c r="A1710">
        <v>200001709</v>
      </c>
      <c r="B1710" t="s">
        <v>226</v>
      </c>
      <c r="C1710" t="s">
        <v>239</v>
      </c>
      <c r="D1710" t="s">
        <v>16</v>
      </c>
      <c r="E1710" s="9">
        <v>44</v>
      </c>
      <c r="F1710" t="s">
        <v>32</v>
      </c>
      <c r="G1710" t="s">
        <v>33</v>
      </c>
      <c r="H1710" s="7">
        <v>42238</v>
      </c>
      <c r="I1710">
        <v>22760.94</v>
      </c>
      <c r="K1710" s="7"/>
    </row>
    <row r="1711" spans="1:11">
      <c r="A1711">
        <v>200001710</v>
      </c>
      <c r="B1711" t="s">
        <v>76</v>
      </c>
      <c r="C1711" t="s">
        <v>91</v>
      </c>
      <c r="D1711" t="s">
        <v>11</v>
      </c>
      <c r="E1711" s="9">
        <v>50</v>
      </c>
      <c r="F1711" t="s">
        <v>32</v>
      </c>
      <c r="G1711" t="s">
        <v>13</v>
      </c>
      <c r="H1711" s="8">
        <v>42238</v>
      </c>
      <c r="I1711">
        <v>65433.7</v>
      </c>
      <c r="K1711" s="8"/>
    </row>
    <row r="1712" spans="1:11">
      <c r="A1712">
        <v>200001711</v>
      </c>
      <c r="B1712" t="s">
        <v>199</v>
      </c>
      <c r="C1712" t="s">
        <v>77</v>
      </c>
      <c r="D1712" t="s">
        <v>11</v>
      </c>
      <c r="E1712" s="9">
        <v>34</v>
      </c>
      <c r="F1712" t="s">
        <v>32</v>
      </c>
      <c r="G1712" t="s">
        <v>13</v>
      </c>
      <c r="H1712" s="7">
        <v>42238</v>
      </c>
      <c r="I1712">
        <v>12137.16</v>
      </c>
      <c r="K1712" s="7"/>
    </row>
    <row r="1713" spans="1:11">
      <c r="A1713">
        <v>200001712</v>
      </c>
      <c r="B1713" t="s">
        <v>235</v>
      </c>
      <c r="C1713" t="s">
        <v>69</v>
      </c>
      <c r="D1713" t="s">
        <v>11</v>
      </c>
      <c r="E1713" s="9">
        <v>41</v>
      </c>
      <c r="F1713" t="s">
        <v>32</v>
      </c>
      <c r="G1713" t="s">
        <v>18</v>
      </c>
      <c r="H1713" s="8">
        <v>42238</v>
      </c>
      <c r="I1713">
        <v>39250.53</v>
      </c>
      <c r="K1713" s="8"/>
    </row>
    <row r="1714" spans="1:11">
      <c r="A1714">
        <v>100001713</v>
      </c>
      <c r="B1714" t="s">
        <v>57</v>
      </c>
      <c r="C1714" t="s">
        <v>59</v>
      </c>
      <c r="D1714" t="s">
        <v>11</v>
      </c>
      <c r="E1714" s="9">
        <v>34</v>
      </c>
      <c r="F1714" t="s">
        <v>12</v>
      </c>
      <c r="G1714" t="s">
        <v>18</v>
      </c>
      <c r="H1714" s="7">
        <v>42239</v>
      </c>
      <c r="I1714">
        <v>21191.18</v>
      </c>
      <c r="K1714" s="7"/>
    </row>
    <row r="1715" spans="1:11">
      <c r="A1715">
        <v>100001714</v>
      </c>
      <c r="B1715" t="s">
        <v>244</v>
      </c>
      <c r="C1715" t="s">
        <v>216</v>
      </c>
      <c r="D1715" t="s">
        <v>16</v>
      </c>
      <c r="E1715" s="9">
        <v>38</v>
      </c>
      <c r="F1715" t="s">
        <v>12</v>
      </c>
      <c r="G1715" t="s">
        <v>13</v>
      </c>
      <c r="H1715" s="8">
        <v>42239</v>
      </c>
      <c r="I1715">
        <v>49606.03</v>
      </c>
      <c r="K1715" s="8"/>
    </row>
    <row r="1716" spans="1:11">
      <c r="A1716">
        <v>100001715</v>
      </c>
      <c r="B1716" t="s">
        <v>76</v>
      </c>
      <c r="C1716" t="s">
        <v>22</v>
      </c>
      <c r="D1716" t="s">
        <v>11</v>
      </c>
      <c r="E1716" s="9">
        <v>32</v>
      </c>
      <c r="F1716" t="s">
        <v>12</v>
      </c>
      <c r="G1716" t="s">
        <v>18</v>
      </c>
      <c r="H1716" s="7">
        <v>42239</v>
      </c>
      <c r="I1716">
        <v>10239.67</v>
      </c>
      <c r="K1716" s="7"/>
    </row>
    <row r="1717" spans="1:11">
      <c r="A1717">
        <v>100001716</v>
      </c>
      <c r="B1717" t="s">
        <v>55</v>
      </c>
      <c r="C1717" t="s">
        <v>247</v>
      </c>
      <c r="D1717" t="s">
        <v>11</v>
      </c>
      <c r="E1717" s="9">
        <v>23</v>
      </c>
      <c r="F1717" t="s">
        <v>12</v>
      </c>
      <c r="G1717" t="s">
        <v>13</v>
      </c>
      <c r="H1717" s="8">
        <v>42239</v>
      </c>
      <c r="I1717">
        <v>66040.460000000006</v>
      </c>
      <c r="K1717" s="8"/>
    </row>
    <row r="1718" spans="1:11">
      <c r="A1718">
        <v>100001717</v>
      </c>
      <c r="B1718" t="s">
        <v>177</v>
      </c>
      <c r="C1718" t="s">
        <v>257</v>
      </c>
      <c r="D1718" t="s">
        <v>11</v>
      </c>
      <c r="E1718" s="9">
        <v>26</v>
      </c>
      <c r="F1718" t="s">
        <v>12</v>
      </c>
      <c r="G1718" t="s">
        <v>13</v>
      </c>
      <c r="H1718" s="7">
        <v>42239</v>
      </c>
      <c r="I1718">
        <v>7685.3</v>
      </c>
      <c r="K1718" s="7"/>
    </row>
    <row r="1719" spans="1:11">
      <c r="A1719">
        <v>100001718</v>
      </c>
      <c r="B1719" t="s">
        <v>119</v>
      </c>
      <c r="C1719" t="s">
        <v>31</v>
      </c>
      <c r="D1719" t="s">
        <v>16</v>
      </c>
      <c r="E1719" s="9">
        <v>41</v>
      </c>
      <c r="F1719" t="s">
        <v>12</v>
      </c>
      <c r="G1719" t="s">
        <v>13</v>
      </c>
      <c r="H1719" s="8">
        <v>42239</v>
      </c>
      <c r="I1719">
        <v>20040.939999999999</v>
      </c>
      <c r="K1719" s="8"/>
    </row>
    <row r="1720" spans="1:11">
      <c r="A1720">
        <v>100001719</v>
      </c>
      <c r="B1720" t="s">
        <v>44</v>
      </c>
      <c r="C1720" t="s">
        <v>61</v>
      </c>
      <c r="D1720" t="s">
        <v>16</v>
      </c>
      <c r="E1720" s="9">
        <v>30</v>
      </c>
      <c r="F1720" t="s">
        <v>12</v>
      </c>
      <c r="G1720" t="s">
        <v>18</v>
      </c>
      <c r="H1720" s="7">
        <v>42239</v>
      </c>
      <c r="I1720">
        <v>113533.08</v>
      </c>
      <c r="K1720" s="7"/>
    </row>
    <row r="1721" spans="1:11">
      <c r="A1721">
        <v>100001720</v>
      </c>
      <c r="B1721" t="s">
        <v>24</v>
      </c>
      <c r="C1721" t="s">
        <v>275</v>
      </c>
      <c r="D1721" t="s">
        <v>16</v>
      </c>
      <c r="E1721" s="9">
        <v>25</v>
      </c>
      <c r="F1721" t="s">
        <v>12</v>
      </c>
      <c r="G1721" t="s">
        <v>18</v>
      </c>
      <c r="H1721" s="8">
        <v>42239</v>
      </c>
      <c r="I1721">
        <v>47846.97</v>
      </c>
      <c r="K1721" s="8"/>
    </row>
    <row r="1722" spans="1:11">
      <c r="A1722">
        <v>100001721</v>
      </c>
      <c r="B1722" t="s">
        <v>143</v>
      </c>
      <c r="C1722" t="s">
        <v>31</v>
      </c>
      <c r="D1722" t="s">
        <v>11</v>
      </c>
      <c r="E1722" s="9">
        <v>34</v>
      </c>
      <c r="F1722" t="s">
        <v>12</v>
      </c>
      <c r="G1722" t="s">
        <v>18</v>
      </c>
      <c r="H1722" s="7">
        <v>42239</v>
      </c>
      <c r="I1722">
        <v>78342.039999999994</v>
      </c>
      <c r="K1722" s="7"/>
    </row>
    <row r="1723" spans="1:11">
      <c r="A1723">
        <v>100001722</v>
      </c>
      <c r="B1723" t="s">
        <v>190</v>
      </c>
      <c r="C1723" t="s">
        <v>27</v>
      </c>
      <c r="D1723" t="s">
        <v>11</v>
      </c>
      <c r="E1723" s="9">
        <v>29</v>
      </c>
      <c r="F1723" t="s">
        <v>12</v>
      </c>
      <c r="G1723" t="s">
        <v>13</v>
      </c>
      <c r="H1723" s="8">
        <v>42239</v>
      </c>
      <c r="I1723">
        <v>48925.1</v>
      </c>
      <c r="K1723" s="8"/>
    </row>
    <row r="1724" spans="1:11">
      <c r="A1724">
        <v>100001723</v>
      </c>
      <c r="B1724" t="s">
        <v>316</v>
      </c>
      <c r="C1724" t="s">
        <v>127</v>
      </c>
      <c r="D1724" t="s">
        <v>16</v>
      </c>
      <c r="E1724" s="9">
        <v>28</v>
      </c>
      <c r="F1724" t="s">
        <v>12</v>
      </c>
      <c r="G1724" t="s">
        <v>13</v>
      </c>
      <c r="H1724" s="7">
        <v>42239</v>
      </c>
      <c r="I1724">
        <v>12085.14</v>
      </c>
      <c r="K1724" s="7"/>
    </row>
    <row r="1725" spans="1:11">
      <c r="A1725">
        <v>100001724</v>
      </c>
      <c r="B1725" t="s">
        <v>231</v>
      </c>
      <c r="C1725" t="s">
        <v>123</v>
      </c>
      <c r="D1725" t="s">
        <v>11</v>
      </c>
      <c r="E1725" s="9">
        <v>36</v>
      </c>
      <c r="F1725" t="s">
        <v>12</v>
      </c>
      <c r="G1725" t="s">
        <v>18</v>
      </c>
      <c r="H1725" s="8">
        <v>42239</v>
      </c>
      <c r="I1725">
        <v>3691.67</v>
      </c>
      <c r="K1725" s="8"/>
    </row>
    <row r="1726" spans="1:11">
      <c r="A1726">
        <v>100001725</v>
      </c>
      <c r="B1726" t="s">
        <v>207</v>
      </c>
      <c r="C1726" t="s">
        <v>41</v>
      </c>
      <c r="D1726" t="s">
        <v>11</v>
      </c>
      <c r="E1726" s="9">
        <v>46</v>
      </c>
      <c r="F1726" t="s">
        <v>12</v>
      </c>
      <c r="G1726" t="s">
        <v>13</v>
      </c>
      <c r="H1726" s="7">
        <v>42239</v>
      </c>
      <c r="I1726">
        <v>4887.16</v>
      </c>
      <c r="K1726" s="7"/>
    </row>
    <row r="1727" spans="1:11">
      <c r="A1727">
        <v>100001726</v>
      </c>
      <c r="B1727" t="s">
        <v>112</v>
      </c>
      <c r="C1727" t="s">
        <v>43</v>
      </c>
      <c r="D1727" t="s">
        <v>11</v>
      </c>
      <c r="E1727" s="9">
        <v>37</v>
      </c>
      <c r="F1727" t="s">
        <v>12</v>
      </c>
      <c r="G1727" t="s">
        <v>33</v>
      </c>
      <c r="H1727" s="8">
        <v>42239</v>
      </c>
      <c r="I1727">
        <v>6591.25</v>
      </c>
      <c r="K1727" s="8"/>
    </row>
    <row r="1728" spans="1:11">
      <c r="A1728">
        <v>100001727</v>
      </c>
      <c r="B1728" t="s">
        <v>21</v>
      </c>
      <c r="C1728" t="s">
        <v>277</v>
      </c>
      <c r="D1728" t="s">
        <v>11</v>
      </c>
      <c r="E1728" s="9">
        <v>38</v>
      </c>
      <c r="F1728" t="s">
        <v>12</v>
      </c>
      <c r="G1728" t="s">
        <v>13</v>
      </c>
      <c r="H1728" s="7">
        <v>42239</v>
      </c>
      <c r="I1728">
        <v>12703.52</v>
      </c>
      <c r="K1728" s="7"/>
    </row>
    <row r="1729" spans="1:11">
      <c r="A1729">
        <v>100001728</v>
      </c>
      <c r="B1729" t="s">
        <v>102</v>
      </c>
      <c r="C1729" t="s">
        <v>210</v>
      </c>
      <c r="D1729" t="s">
        <v>16</v>
      </c>
      <c r="E1729" s="9">
        <v>29</v>
      </c>
      <c r="F1729" t="s">
        <v>12</v>
      </c>
      <c r="G1729" t="s">
        <v>13</v>
      </c>
      <c r="H1729" s="8">
        <v>42239</v>
      </c>
      <c r="I1729">
        <v>44345.61</v>
      </c>
      <c r="K1729" s="8"/>
    </row>
    <row r="1730" spans="1:11">
      <c r="A1730">
        <v>100001729</v>
      </c>
      <c r="B1730" t="s">
        <v>267</v>
      </c>
      <c r="C1730" t="s">
        <v>196</v>
      </c>
      <c r="D1730" t="s">
        <v>16</v>
      </c>
      <c r="E1730" s="9">
        <v>30</v>
      </c>
      <c r="F1730" t="s">
        <v>12</v>
      </c>
      <c r="G1730" t="s">
        <v>33</v>
      </c>
      <c r="H1730" s="7">
        <v>42239</v>
      </c>
      <c r="I1730">
        <v>72874.91</v>
      </c>
      <c r="K1730" s="7"/>
    </row>
    <row r="1731" spans="1:11">
      <c r="A1731">
        <v>100001730</v>
      </c>
      <c r="B1731" t="s">
        <v>90</v>
      </c>
      <c r="C1731" t="s">
        <v>41</v>
      </c>
      <c r="D1731" t="s">
        <v>11</v>
      </c>
      <c r="E1731" s="9">
        <v>30</v>
      </c>
      <c r="F1731" t="s">
        <v>12</v>
      </c>
      <c r="G1731" t="s">
        <v>33</v>
      </c>
      <c r="H1731" s="8">
        <v>42239</v>
      </c>
      <c r="I1731">
        <v>12647.17</v>
      </c>
      <c r="K1731" s="8"/>
    </row>
    <row r="1732" spans="1:11">
      <c r="A1732">
        <v>100001731</v>
      </c>
      <c r="B1732" t="s">
        <v>323</v>
      </c>
      <c r="C1732" t="s">
        <v>41</v>
      </c>
      <c r="D1732" t="s">
        <v>16</v>
      </c>
      <c r="E1732" s="9">
        <v>38</v>
      </c>
      <c r="F1732" t="s">
        <v>12</v>
      </c>
      <c r="G1732" t="s">
        <v>13</v>
      </c>
      <c r="H1732" s="7">
        <v>42239</v>
      </c>
      <c r="I1732">
        <v>8080.08</v>
      </c>
      <c r="K1732" s="7"/>
    </row>
    <row r="1733" spans="1:11">
      <c r="A1733">
        <v>100001732</v>
      </c>
      <c r="B1733" t="s">
        <v>186</v>
      </c>
      <c r="C1733" t="s">
        <v>216</v>
      </c>
      <c r="D1733" t="s">
        <v>11</v>
      </c>
      <c r="E1733" s="9">
        <v>47</v>
      </c>
      <c r="F1733" t="s">
        <v>12</v>
      </c>
      <c r="G1733" t="s">
        <v>13</v>
      </c>
      <c r="H1733" s="8">
        <v>42239</v>
      </c>
      <c r="I1733">
        <v>115722.65</v>
      </c>
      <c r="K1733" s="8"/>
    </row>
    <row r="1734" spans="1:11">
      <c r="A1734">
        <v>200001733</v>
      </c>
      <c r="B1734" t="s">
        <v>265</v>
      </c>
      <c r="C1734" t="s">
        <v>125</v>
      </c>
      <c r="D1734" t="s">
        <v>16</v>
      </c>
      <c r="E1734" s="9">
        <v>60</v>
      </c>
      <c r="F1734" t="s">
        <v>32</v>
      </c>
      <c r="G1734" t="s">
        <v>33</v>
      </c>
      <c r="H1734" s="7">
        <v>42239</v>
      </c>
      <c r="I1734">
        <v>2527</v>
      </c>
      <c r="K1734" s="7"/>
    </row>
    <row r="1735" spans="1:11">
      <c r="A1735">
        <v>200001734</v>
      </c>
      <c r="B1735" t="s">
        <v>159</v>
      </c>
      <c r="C1735" t="s">
        <v>65</v>
      </c>
      <c r="D1735" t="s">
        <v>11</v>
      </c>
      <c r="E1735" s="9">
        <v>46</v>
      </c>
      <c r="F1735" t="s">
        <v>32</v>
      </c>
      <c r="G1735" t="s">
        <v>33</v>
      </c>
      <c r="H1735" s="8">
        <v>42239</v>
      </c>
      <c r="I1735">
        <v>33915.03</v>
      </c>
      <c r="K1735" s="8"/>
    </row>
    <row r="1736" spans="1:11">
      <c r="A1736">
        <v>200001735</v>
      </c>
      <c r="B1736" t="s">
        <v>261</v>
      </c>
      <c r="C1736" t="s">
        <v>116</v>
      </c>
      <c r="D1736" t="s">
        <v>11</v>
      </c>
      <c r="E1736" s="9">
        <v>61</v>
      </c>
      <c r="F1736" t="s">
        <v>32</v>
      </c>
      <c r="G1736" t="s">
        <v>18</v>
      </c>
      <c r="H1736" s="7">
        <v>42239</v>
      </c>
      <c r="I1736">
        <v>7992.21</v>
      </c>
      <c r="K1736" s="7"/>
    </row>
    <row r="1737" spans="1:11">
      <c r="A1737">
        <v>200001736</v>
      </c>
      <c r="B1737" t="s">
        <v>236</v>
      </c>
      <c r="C1737" t="s">
        <v>233</v>
      </c>
      <c r="D1737" t="s">
        <v>16</v>
      </c>
      <c r="E1737" s="9">
        <v>59</v>
      </c>
      <c r="F1737" t="s">
        <v>32</v>
      </c>
      <c r="G1737" t="s">
        <v>33</v>
      </c>
      <c r="H1737" s="8">
        <v>42239</v>
      </c>
      <c r="I1737">
        <v>13708.97</v>
      </c>
      <c r="K1737" s="8"/>
    </row>
    <row r="1738" spans="1:11">
      <c r="A1738">
        <v>200001737</v>
      </c>
      <c r="B1738" t="s">
        <v>264</v>
      </c>
      <c r="C1738" t="s">
        <v>306</v>
      </c>
      <c r="D1738" t="s">
        <v>11</v>
      </c>
      <c r="E1738" s="9">
        <v>43</v>
      </c>
      <c r="F1738" t="s">
        <v>32</v>
      </c>
      <c r="G1738" t="s">
        <v>18</v>
      </c>
      <c r="H1738" s="7">
        <v>42239</v>
      </c>
      <c r="I1738">
        <v>80189.899999999994</v>
      </c>
      <c r="K1738" s="7"/>
    </row>
    <row r="1739" spans="1:11">
      <c r="A1739">
        <v>200001738</v>
      </c>
      <c r="B1739" t="s">
        <v>143</v>
      </c>
      <c r="C1739" t="s">
        <v>279</v>
      </c>
      <c r="D1739" t="s">
        <v>11</v>
      </c>
      <c r="E1739" s="9">
        <v>53</v>
      </c>
      <c r="F1739" t="s">
        <v>32</v>
      </c>
      <c r="G1739" t="s">
        <v>18</v>
      </c>
      <c r="H1739" s="8">
        <v>42239</v>
      </c>
      <c r="I1739">
        <v>44984.09</v>
      </c>
      <c r="K1739" s="8"/>
    </row>
    <row r="1740" spans="1:11">
      <c r="A1740">
        <v>200001739</v>
      </c>
      <c r="B1740" t="s">
        <v>76</v>
      </c>
      <c r="C1740" t="s">
        <v>109</v>
      </c>
      <c r="D1740" t="s">
        <v>11</v>
      </c>
      <c r="E1740" s="9">
        <v>52</v>
      </c>
      <c r="F1740" t="s">
        <v>32</v>
      </c>
      <c r="G1740" t="s">
        <v>18</v>
      </c>
      <c r="H1740" s="7">
        <v>42239</v>
      </c>
      <c r="I1740">
        <v>47219.199999999997</v>
      </c>
      <c r="K1740" s="7"/>
    </row>
    <row r="1741" spans="1:11">
      <c r="A1741">
        <v>300001740</v>
      </c>
      <c r="B1741" t="s">
        <v>243</v>
      </c>
      <c r="C1741" t="s">
        <v>279</v>
      </c>
      <c r="D1741" t="s">
        <v>16</v>
      </c>
      <c r="E1741" s="9">
        <v>35</v>
      </c>
      <c r="F1741" t="s">
        <v>23</v>
      </c>
      <c r="G1741" t="s">
        <v>13</v>
      </c>
      <c r="H1741" s="8">
        <v>42239</v>
      </c>
      <c r="I1741">
        <v>52648.77</v>
      </c>
      <c r="K1741" s="8"/>
    </row>
    <row r="1742" spans="1:11">
      <c r="A1742">
        <v>300001741</v>
      </c>
      <c r="B1742" t="s">
        <v>316</v>
      </c>
      <c r="C1742" t="s">
        <v>212</v>
      </c>
      <c r="D1742" t="s">
        <v>16</v>
      </c>
      <c r="E1742" s="9">
        <v>33</v>
      </c>
      <c r="F1742" t="s">
        <v>23</v>
      </c>
      <c r="G1742" t="s">
        <v>13</v>
      </c>
      <c r="H1742" s="7">
        <v>42239</v>
      </c>
      <c r="I1742">
        <v>56539.65</v>
      </c>
      <c r="K1742" s="7"/>
    </row>
    <row r="1743" spans="1:11">
      <c r="A1743">
        <v>300001742</v>
      </c>
      <c r="B1743" t="s">
        <v>150</v>
      </c>
      <c r="C1743" t="s">
        <v>266</v>
      </c>
      <c r="D1743" t="s">
        <v>16</v>
      </c>
      <c r="E1743" s="9">
        <v>18</v>
      </c>
      <c r="F1743" t="s">
        <v>23</v>
      </c>
      <c r="G1743" t="s">
        <v>13</v>
      </c>
      <c r="H1743" s="8">
        <v>42239</v>
      </c>
      <c r="I1743">
        <v>38462.35</v>
      </c>
      <c r="K1743" s="8"/>
    </row>
    <row r="1744" spans="1:11">
      <c r="A1744">
        <v>300001743</v>
      </c>
      <c r="B1744" t="s">
        <v>280</v>
      </c>
      <c r="C1744" t="s">
        <v>75</v>
      </c>
      <c r="D1744" t="s">
        <v>11</v>
      </c>
      <c r="E1744" s="9">
        <v>18</v>
      </c>
      <c r="F1744" t="s">
        <v>23</v>
      </c>
      <c r="G1744" t="s">
        <v>13</v>
      </c>
      <c r="H1744" s="7">
        <v>42239</v>
      </c>
      <c r="I1744">
        <v>43780.77</v>
      </c>
      <c r="K1744" s="7"/>
    </row>
    <row r="1745" spans="1:11">
      <c r="A1745">
        <v>300001744</v>
      </c>
      <c r="B1745" t="s">
        <v>74</v>
      </c>
      <c r="C1745" t="s">
        <v>156</v>
      </c>
      <c r="D1745" t="s">
        <v>16</v>
      </c>
      <c r="E1745" s="9">
        <v>19</v>
      </c>
      <c r="F1745" t="s">
        <v>23</v>
      </c>
      <c r="G1745" t="s">
        <v>13</v>
      </c>
      <c r="H1745" s="8">
        <v>42239</v>
      </c>
      <c r="I1745">
        <v>15278.22</v>
      </c>
      <c r="K1745" s="8"/>
    </row>
    <row r="1746" spans="1:11">
      <c r="A1746">
        <v>300001745</v>
      </c>
      <c r="B1746" t="s">
        <v>192</v>
      </c>
      <c r="C1746" t="s">
        <v>123</v>
      </c>
      <c r="D1746" t="s">
        <v>16</v>
      </c>
      <c r="E1746" s="9">
        <v>34</v>
      </c>
      <c r="F1746" t="s">
        <v>23</v>
      </c>
      <c r="G1746" t="s">
        <v>18</v>
      </c>
      <c r="H1746" s="7">
        <v>42239</v>
      </c>
      <c r="I1746">
        <v>49214.87</v>
      </c>
      <c r="K1746" s="7"/>
    </row>
    <row r="1747" spans="1:11">
      <c r="A1747">
        <v>300001746</v>
      </c>
      <c r="B1747" t="s">
        <v>152</v>
      </c>
      <c r="C1747" t="s">
        <v>56</v>
      </c>
      <c r="D1747" t="s">
        <v>11</v>
      </c>
      <c r="E1747" s="9">
        <v>37</v>
      </c>
      <c r="F1747" t="s">
        <v>23</v>
      </c>
      <c r="G1747" t="s">
        <v>13</v>
      </c>
      <c r="H1747" s="8">
        <v>42239</v>
      </c>
      <c r="I1747">
        <v>34838.68</v>
      </c>
      <c r="K1747" s="8"/>
    </row>
    <row r="1748" spans="1:11">
      <c r="A1748">
        <v>300001747</v>
      </c>
      <c r="B1748" t="s">
        <v>137</v>
      </c>
      <c r="C1748" t="s">
        <v>195</v>
      </c>
      <c r="D1748" t="s">
        <v>11</v>
      </c>
      <c r="E1748" s="9">
        <v>44</v>
      </c>
      <c r="F1748" t="s">
        <v>23</v>
      </c>
      <c r="G1748" t="s">
        <v>13</v>
      </c>
      <c r="H1748" s="7">
        <v>42239</v>
      </c>
      <c r="I1748">
        <v>8128.57</v>
      </c>
      <c r="K1748" s="7"/>
    </row>
    <row r="1749" spans="1:11">
      <c r="A1749">
        <v>300001748</v>
      </c>
      <c r="B1749" t="s">
        <v>264</v>
      </c>
      <c r="C1749" t="s">
        <v>61</v>
      </c>
      <c r="D1749" t="s">
        <v>11</v>
      </c>
      <c r="E1749" s="9">
        <v>29</v>
      </c>
      <c r="F1749" t="s">
        <v>23</v>
      </c>
      <c r="G1749" t="s">
        <v>33</v>
      </c>
      <c r="H1749" s="8">
        <v>42239</v>
      </c>
      <c r="I1749">
        <v>15762.18</v>
      </c>
      <c r="K1749" s="8"/>
    </row>
    <row r="1750" spans="1:11">
      <c r="A1750">
        <v>300001749</v>
      </c>
      <c r="B1750" t="s">
        <v>304</v>
      </c>
      <c r="C1750" t="s">
        <v>47</v>
      </c>
      <c r="D1750" t="s">
        <v>16</v>
      </c>
      <c r="E1750" s="9">
        <v>41</v>
      </c>
      <c r="F1750" t="s">
        <v>23</v>
      </c>
      <c r="G1750" t="s">
        <v>13</v>
      </c>
      <c r="H1750" s="7">
        <v>42239</v>
      </c>
      <c r="I1750">
        <v>12003.06</v>
      </c>
      <c r="K1750" s="7"/>
    </row>
    <row r="1751" spans="1:11">
      <c r="A1751">
        <v>300001750</v>
      </c>
      <c r="B1751" t="s">
        <v>168</v>
      </c>
      <c r="C1751" t="s">
        <v>123</v>
      </c>
      <c r="D1751" t="s">
        <v>16</v>
      </c>
      <c r="E1751" s="9">
        <v>48</v>
      </c>
      <c r="F1751" t="s">
        <v>23</v>
      </c>
      <c r="G1751" t="s">
        <v>13</v>
      </c>
      <c r="H1751" s="8">
        <v>42239</v>
      </c>
      <c r="I1751">
        <v>36947.589999999997</v>
      </c>
      <c r="K1751" s="8"/>
    </row>
    <row r="1752" spans="1:11">
      <c r="A1752">
        <v>300001751</v>
      </c>
      <c r="B1752" t="s">
        <v>68</v>
      </c>
      <c r="C1752" t="s">
        <v>91</v>
      </c>
      <c r="D1752" t="s">
        <v>16</v>
      </c>
      <c r="E1752" s="9">
        <v>46</v>
      </c>
      <c r="F1752" t="s">
        <v>23</v>
      </c>
      <c r="G1752" t="s">
        <v>13</v>
      </c>
      <c r="H1752" s="7">
        <v>42239</v>
      </c>
      <c r="I1752">
        <v>16233.42</v>
      </c>
      <c r="K1752" s="7"/>
    </row>
    <row r="1753" spans="1:11">
      <c r="A1753">
        <v>400001752</v>
      </c>
      <c r="B1753" t="s">
        <v>182</v>
      </c>
      <c r="C1753" t="s">
        <v>91</v>
      </c>
      <c r="D1753" t="s">
        <v>16</v>
      </c>
      <c r="E1753" s="9">
        <v>26</v>
      </c>
      <c r="F1753" t="s">
        <v>17</v>
      </c>
      <c r="G1753" t="s">
        <v>18</v>
      </c>
      <c r="H1753" s="8">
        <v>42239</v>
      </c>
      <c r="I1753">
        <v>65999.039999999994</v>
      </c>
      <c r="K1753" s="8"/>
    </row>
    <row r="1754" spans="1:11">
      <c r="A1754">
        <v>400001753</v>
      </c>
      <c r="B1754" t="s">
        <v>316</v>
      </c>
      <c r="C1754" t="s">
        <v>160</v>
      </c>
      <c r="D1754" t="s">
        <v>16</v>
      </c>
      <c r="E1754" s="9">
        <v>30</v>
      </c>
      <c r="F1754" t="s">
        <v>17</v>
      </c>
      <c r="G1754" t="s">
        <v>33</v>
      </c>
      <c r="H1754" s="7">
        <v>42239</v>
      </c>
      <c r="I1754">
        <v>51991.07</v>
      </c>
      <c r="K1754" s="7"/>
    </row>
    <row r="1755" spans="1:11">
      <c r="A1755">
        <v>400001754</v>
      </c>
      <c r="B1755" t="s">
        <v>250</v>
      </c>
      <c r="C1755" t="s">
        <v>211</v>
      </c>
      <c r="D1755" t="s">
        <v>16</v>
      </c>
      <c r="E1755" s="9">
        <v>36</v>
      </c>
      <c r="F1755" t="s">
        <v>17</v>
      </c>
      <c r="G1755" t="s">
        <v>13</v>
      </c>
      <c r="H1755" s="8">
        <v>42239</v>
      </c>
      <c r="I1755">
        <v>37892.43</v>
      </c>
      <c r="K1755" s="8"/>
    </row>
    <row r="1756" spans="1:11">
      <c r="A1756">
        <v>100001755</v>
      </c>
      <c r="B1756" t="s">
        <v>55</v>
      </c>
      <c r="C1756" t="s">
        <v>252</v>
      </c>
      <c r="D1756" t="s">
        <v>11</v>
      </c>
      <c r="E1756" s="9">
        <v>29</v>
      </c>
      <c r="F1756" t="s">
        <v>12</v>
      </c>
      <c r="G1756" t="s">
        <v>33</v>
      </c>
      <c r="H1756" s="7">
        <v>42240</v>
      </c>
      <c r="I1756">
        <v>50953.26</v>
      </c>
      <c r="K1756" s="7"/>
    </row>
    <row r="1757" spans="1:11">
      <c r="A1757">
        <v>100001756</v>
      </c>
      <c r="B1757" t="s">
        <v>202</v>
      </c>
      <c r="C1757" t="s">
        <v>82</v>
      </c>
      <c r="D1757" t="s">
        <v>11</v>
      </c>
      <c r="E1757" s="9">
        <v>28</v>
      </c>
      <c r="F1757" t="s">
        <v>12</v>
      </c>
      <c r="G1757" t="s">
        <v>33</v>
      </c>
      <c r="H1757" s="8">
        <v>42240</v>
      </c>
      <c r="I1757">
        <v>6016.04</v>
      </c>
      <c r="K1757" s="8"/>
    </row>
    <row r="1758" spans="1:11">
      <c r="A1758">
        <v>100001757</v>
      </c>
      <c r="B1758" t="s">
        <v>107</v>
      </c>
      <c r="C1758" t="s">
        <v>216</v>
      </c>
      <c r="D1758" t="s">
        <v>11</v>
      </c>
      <c r="E1758" s="9">
        <v>20</v>
      </c>
      <c r="F1758" t="s">
        <v>12</v>
      </c>
      <c r="G1758" t="s">
        <v>13</v>
      </c>
      <c r="H1758" s="7">
        <v>42240</v>
      </c>
      <c r="I1758">
        <v>98261.13</v>
      </c>
      <c r="K1758" s="7"/>
    </row>
    <row r="1759" spans="1:11">
      <c r="A1759">
        <v>100001758</v>
      </c>
      <c r="B1759" t="s">
        <v>102</v>
      </c>
      <c r="C1759" t="s">
        <v>37</v>
      </c>
      <c r="D1759" t="s">
        <v>16</v>
      </c>
      <c r="E1759" s="9">
        <v>47</v>
      </c>
      <c r="F1759" t="s">
        <v>12</v>
      </c>
      <c r="G1759" t="s">
        <v>13</v>
      </c>
      <c r="H1759" s="8">
        <v>42240</v>
      </c>
      <c r="I1759">
        <v>2741.32</v>
      </c>
      <c r="K1759" s="8"/>
    </row>
    <row r="1760" spans="1:11">
      <c r="A1760">
        <v>100001759</v>
      </c>
      <c r="B1760" t="s">
        <v>311</v>
      </c>
      <c r="C1760" t="s">
        <v>77</v>
      </c>
      <c r="D1760" t="s">
        <v>11</v>
      </c>
      <c r="E1760" s="9">
        <v>38</v>
      </c>
      <c r="F1760" t="s">
        <v>12</v>
      </c>
      <c r="G1760" t="s">
        <v>13</v>
      </c>
      <c r="H1760" s="7">
        <v>42240</v>
      </c>
      <c r="I1760">
        <v>49172.92</v>
      </c>
      <c r="K1760" s="7"/>
    </row>
    <row r="1761" spans="1:11">
      <c r="A1761">
        <v>100001760</v>
      </c>
      <c r="B1761" t="s">
        <v>14</v>
      </c>
      <c r="C1761" t="s">
        <v>274</v>
      </c>
      <c r="D1761" t="s">
        <v>16</v>
      </c>
      <c r="E1761" s="9">
        <v>36</v>
      </c>
      <c r="F1761" t="s">
        <v>12</v>
      </c>
      <c r="G1761" t="s">
        <v>33</v>
      </c>
      <c r="H1761" s="8">
        <v>42240</v>
      </c>
      <c r="I1761">
        <v>9106.91</v>
      </c>
      <c r="K1761" s="8"/>
    </row>
    <row r="1762" spans="1:11">
      <c r="A1762">
        <v>100001761</v>
      </c>
      <c r="B1762" t="s">
        <v>24</v>
      </c>
      <c r="C1762" t="s">
        <v>178</v>
      </c>
      <c r="D1762" t="s">
        <v>16</v>
      </c>
      <c r="E1762" s="9">
        <v>31</v>
      </c>
      <c r="F1762" t="s">
        <v>12</v>
      </c>
      <c r="G1762" t="s">
        <v>18</v>
      </c>
      <c r="H1762" s="7">
        <v>42240</v>
      </c>
      <c r="I1762">
        <v>23951.94</v>
      </c>
      <c r="K1762" s="7"/>
    </row>
    <row r="1763" spans="1:11">
      <c r="A1763">
        <v>200001762</v>
      </c>
      <c r="B1763" t="s">
        <v>169</v>
      </c>
      <c r="C1763" t="s">
        <v>45</v>
      </c>
      <c r="D1763" t="s">
        <v>11</v>
      </c>
      <c r="E1763" s="9">
        <v>50</v>
      </c>
      <c r="F1763" t="s">
        <v>32</v>
      </c>
      <c r="G1763" t="s">
        <v>18</v>
      </c>
      <c r="H1763" s="8">
        <v>42240</v>
      </c>
      <c r="I1763">
        <v>12610.37</v>
      </c>
      <c r="K1763" s="8"/>
    </row>
    <row r="1764" spans="1:11">
      <c r="A1764">
        <v>200001763</v>
      </c>
      <c r="B1764" t="s">
        <v>57</v>
      </c>
      <c r="C1764" t="s">
        <v>100</v>
      </c>
      <c r="D1764" t="s">
        <v>11</v>
      </c>
      <c r="E1764" s="9">
        <v>54</v>
      </c>
      <c r="F1764" t="s">
        <v>32</v>
      </c>
      <c r="G1764" t="s">
        <v>33</v>
      </c>
      <c r="H1764" s="7">
        <v>42240</v>
      </c>
      <c r="I1764">
        <v>44192.29</v>
      </c>
      <c r="K1764" s="7"/>
    </row>
    <row r="1765" spans="1:11">
      <c r="A1765">
        <v>200001764</v>
      </c>
      <c r="B1765" t="s">
        <v>145</v>
      </c>
      <c r="C1765" t="s">
        <v>299</v>
      </c>
      <c r="D1765" t="s">
        <v>11</v>
      </c>
      <c r="E1765" s="9">
        <v>57</v>
      </c>
      <c r="F1765" t="s">
        <v>32</v>
      </c>
      <c r="G1765" t="s">
        <v>18</v>
      </c>
      <c r="H1765" s="8">
        <v>42240</v>
      </c>
      <c r="I1765">
        <v>76554.320000000007</v>
      </c>
      <c r="K1765" s="8"/>
    </row>
    <row r="1766" spans="1:11">
      <c r="A1766">
        <v>200001765</v>
      </c>
      <c r="B1766" t="s">
        <v>89</v>
      </c>
      <c r="C1766" t="s">
        <v>82</v>
      </c>
      <c r="D1766" t="s">
        <v>11</v>
      </c>
      <c r="E1766" s="9">
        <v>52</v>
      </c>
      <c r="F1766" t="s">
        <v>32</v>
      </c>
      <c r="G1766" t="s">
        <v>33</v>
      </c>
      <c r="H1766" s="7">
        <v>42240</v>
      </c>
      <c r="I1766">
        <v>37817.35</v>
      </c>
      <c r="K1766" s="7"/>
    </row>
    <row r="1767" spans="1:11">
      <c r="A1767">
        <v>200001766</v>
      </c>
      <c r="B1767" t="s">
        <v>14</v>
      </c>
      <c r="C1767" t="s">
        <v>185</v>
      </c>
      <c r="D1767" t="s">
        <v>16</v>
      </c>
      <c r="E1767" s="9">
        <v>57</v>
      </c>
      <c r="F1767" t="s">
        <v>32</v>
      </c>
      <c r="G1767" t="s">
        <v>18</v>
      </c>
      <c r="H1767" s="8">
        <v>42240</v>
      </c>
      <c r="I1767">
        <v>31824.47</v>
      </c>
      <c r="K1767" s="8"/>
    </row>
    <row r="1768" spans="1:11">
      <c r="A1768">
        <v>300001767</v>
      </c>
      <c r="B1768" t="s">
        <v>312</v>
      </c>
      <c r="C1768" t="s">
        <v>75</v>
      </c>
      <c r="D1768" t="s">
        <v>11</v>
      </c>
      <c r="E1768" s="9">
        <v>41</v>
      </c>
      <c r="F1768" t="s">
        <v>23</v>
      </c>
      <c r="G1768" t="s">
        <v>18</v>
      </c>
      <c r="H1768" s="7">
        <v>42240</v>
      </c>
      <c r="I1768">
        <v>56244.09</v>
      </c>
      <c r="K1768" s="7"/>
    </row>
    <row r="1769" spans="1:11">
      <c r="A1769">
        <v>400001768</v>
      </c>
      <c r="B1769" t="s">
        <v>250</v>
      </c>
      <c r="C1769" t="s">
        <v>82</v>
      </c>
      <c r="D1769" t="s">
        <v>16</v>
      </c>
      <c r="E1769" s="9">
        <v>29</v>
      </c>
      <c r="F1769" t="s">
        <v>17</v>
      </c>
      <c r="G1769" t="s">
        <v>33</v>
      </c>
      <c r="H1769" s="8">
        <v>42240</v>
      </c>
      <c r="I1769">
        <v>32458.74</v>
      </c>
      <c r="K1769" s="8"/>
    </row>
    <row r="1770" spans="1:11">
      <c r="A1770">
        <v>400001769</v>
      </c>
      <c r="B1770" t="s">
        <v>110</v>
      </c>
      <c r="C1770" t="s">
        <v>78</v>
      </c>
      <c r="D1770" t="s">
        <v>16</v>
      </c>
      <c r="E1770" s="9">
        <v>28</v>
      </c>
      <c r="F1770" t="s">
        <v>17</v>
      </c>
      <c r="G1770" t="s">
        <v>33</v>
      </c>
      <c r="H1770" s="7">
        <v>42240</v>
      </c>
      <c r="I1770">
        <v>25544.09</v>
      </c>
      <c r="K1770" s="7"/>
    </row>
    <row r="1771" spans="1:11">
      <c r="A1771">
        <v>100001770</v>
      </c>
      <c r="B1771" t="s">
        <v>207</v>
      </c>
      <c r="C1771" t="s">
        <v>94</v>
      </c>
      <c r="D1771" t="s">
        <v>11</v>
      </c>
      <c r="E1771" s="9">
        <v>26</v>
      </c>
      <c r="F1771" t="s">
        <v>12</v>
      </c>
      <c r="G1771" t="s">
        <v>33</v>
      </c>
      <c r="H1771" s="8">
        <v>42241</v>
      </c>
      <c r="I1771">
        <v>58955.8</v>
      </c>
      <c r="K1771" s="8"/>
    </row>
    <row r="1772" spans="1:11">
      <c r="A1772">
        <v>100001771</v>
      </c>
      <c r="B1772" t="s">
        <v>21</v>
      </c>
      <c r="C1772" t="s">
        <v>63</v>
      </c>
      <c r="D1772" t="s">
        <v>11</v>
      </c>
      <c r="E1772" s="9">
        <v>27</v>
      </c>
      <c r="F1772" t="s">
        <v>12</v>
      </c>
      <c r="G1772" t="s">
        <v>13</v>
      </c>
      <c r="H1772" s="7">
        <v>42241</v>
      </c>
      <c r="I1772">
        <v>1387.14</v>
      </c>
      <c r="K1772" s="7"/>
    </row>
    <row r="1773" spans="1:11">
      <c r="A1773">
        <v>100001772</v>
      </c>
      <c r="B1773" t="s">
        <v>309</v>
      </c>
      <c r="C1773" t="s">
        <v>113</v>
      </c>
      <c r="D1773" t="s">
        <v>16</v>
      </c>
      <c r="E1773" s="9">
        <v>37</v>
      </c>
      <c r="F1773" t="s">
        <v>12</v>
      </c>
      <c r="G1773" t="s">
        <v>33</v>
      </c>
      <c r="H1773" s="8">
        <v>42241</v>
      </c>
      <c r="I1773">
        <v>31706.03</v>
      </c>
      <c r="K1773" s="8"/>
    </row>
    <row r="1774" spans="1:11">
      <c r="A1774">
        <v>100001773</v>
      </c>
      <c r="B1774" t="s">
        <v>184</v>
      </c>
      <c r="C1774" t="s">
        <v>286</v>
      </c>
      <c r="D1774" t="s">
        <v>16</v>
      </c>
      <c r="E1774" s="9">
        <v>47</v>
      </c>
      <c r="F1774" t="s">
        <v>12</v>
      </c>
      <c r="G1774" t="s">
        <v>13</v>
      </c>
      <c r="H1774" s="7">
        <v>42241</v>
      </c>
      <c r="I1774">
        <v>75332.399999999994</v>
      </c>
      <c r="K1774" s="7"/>
    </row>
    <row r="1775" spans="1:11">
      <c r="A1775">
        <v>100001774</v>
      </c>
      <c r="B1775" t="s">
        <v>273</v>
      </c>
      <c r="C1775" t="s">
        <v>209</v>
      </c>
      <c r="D1775" t="s">
        <v>11</v>
      </c>
      <c r="E1775" s="9">
        <v>34</v>
      </c>
      <c r="F1775" t="s">
        <v>12</v>
      </c>
      <c r="G1775" t="s">
        <v>13</v>
      </c>
      <c r="H1775" s="8">
        <v>42241</v>
      </c>
      <c r="I1775">
        <v>43670.720000000001</v>
      </c>
      <c r="K1775" s="8"/>
    </row>
    <row r="1776" spans="1:11">
      <c r="A1776">
        <v>200001775</v>
      </c>
      <c r="B1776" t="s">
        <v>206</v>
      </c>
      <c r="C1776" t="s">
        <v>45</v>
      </c>
      <c r="D1776" t="s">
        <v>11</v>
      </c>
      <c r="E1776" s="9">
        <v>51</v>
      </c>
      <c r="F1776" t="s">
        <v>32</v>
      </c>
      <c r="G1776" t="s">
        <v>18</v>
      </c>
      <c r="H1776" s="7">
        <v>42241</v>
      </c>
      <c r="I1776">
        <v>38865.85</v>
      </c>
      <c r="K1776" s="7"/>
    </row>
    <row r="1777" spans="1:11">
      <c r="A1777">
        <v>200001776</v>
      </c>
      <c r="B1777" t="s">
        <v>135</v>
      </c>
      <c r="C1777" t="s">
        <v>140</v>
      </c>
      <c r="D1777" t="s">
        <v>11</v>
      </c>
      <c r="E1777" s="9">
        <v>52</v>
      </c>
      <c r="F1777" t="s">
        <v>32</v>
      </c>
      <c r="G1777" t="s">
        <v>18</v>
      </c>
      <c r="H1777" s="8">
        <v>42241</v>
      </c>
      <c r="I1777">
        <v>2793.81</v>
      </c>
      <c r="K1777" s="8"/>
    </row>
    <row r="1778" spans="1:11">
      <c r="A1778">
        <v>200001777</v>
      </c>
      <c r="B1778" t="s">
        <v>249</v>
      </c>
      <c r="C1778" t="s">
        <v>91</v>
      </c>
      <c r="D1778" t="s">
        <v>16</v>
      </c>
      <c r="E1778" s="9">
        <v>49</v>
      </c>
      <c r="F1778" t="s">
        <v>32</v>
      </c>
      <c r="G1778" t="s">
        <v>13</v>
      </c>
      <c r="H1778" s="7">
        <v>42241</v>
      </c>
      <c r="I1778">
        <v>39552.660000000003</v>
      </c>
      <c r="K1778" s="7"/>
    </row>
    <row r="1779" spans="1:11">
      <c r="A1779">
        <v>200001778</v>
      </c>
      <c r="B1779" t="s">
        <v>24</v>
      </c>
      <c r="C1779" t="s">
        <v>130</v>
      </c>
      <c r="D1779" t="s">
        <v>16</v>
      </c>
      <c r="E1779" s="9">
        <v>36</v>
      </c>
      <c r="F1779" t="s">
        <v>32</v>
      </c>
      <c r="G1779" t="s">
        <v>33</v>
      </c>
      <c r="H1779" s="8">
        <v>42241</v>
      </c>
      <c r="I1779">
        <v>33617.08</v>
      </c>
      <c r="K1779" s="8"/>
    </row>
    <row r="1780" spans="1:11">
      <c r="A1780">
        <v>300001779</v>
      </c>
      <c r="B1780" t="s">
        <v>83</v>
      </c>
      <c r="C1780" t="s">
        <v>20</v>
      </c>
      <c r="D1780" t="s">
        <v>16</v>
      </c>
      <c r="E1780" s="9">
        <v>37</v>
      </c>
      <c r="F1780" t="s">
        <v>23</v>
      </c>
      <c r="G1780" t="s">
        <v>13</v>
      </c>
      <c r="H1780" s="7">
        <v>42241</v>
      </c>
      <c r="I1780">
        <v>104416.12</v>
      </c>
      <c r="K1780" s="7"/>
    </row>
    <row r="1781" spans="1:11">
      <c r="A1781">
        <v>300001780</v>
      </c>
      <c r="B1781" t="s">
        <v>192</v>
      </c>
      <c r="C1781" t="s">
        <v>201</v>
      </c>
      <c r="D1781" t="s">
        <v>16</v>
      </c>
      <c r="E1781" s="9">
        <v>36</v>
      </c>
      <c r="F1781" t="s">
        <v>23</v>
      </c>
      <c r="G1781" t="s">
        <v>13</v>
      </c>
      <c r="H1781" s="8">
        <v>42241</v>
      </c>
      <c r="I1781">
        <v>37585.24</v>
      </c>
      <c r="K1781" s="8"/>
    </row>
    <row r="1782" spans="1:11">
      <c r="A1782">
        <v>400001781</v>
      </c>
      <c r="B1782" t="s">
        <v>105</v>
      </c>
      <c r="C1782" t="s">
        <v>78</v>
      </c>
      <c r="D1782" t="s">
        <v>16</v>
      </c>
      <c r="E1782" s="9">
        <v>23</v>
      </c>
      <c r="F1782" t="s">
        <v>17</v>
      </c>
      <c r="G1782" t="s">
        <v>33</v>
      </c>
      <c r="H1782" s="7">
        <v>42241</v>
      </c>
      <c r="I1782">
        <v>82229.100000000006</v>
      </c>
      <c r="K1782" s="7"/>
    </row>
    <row r="1783" spans="1:11">
      <c r="A1783">
        <v>100001782</v>
      </c>
      <c r="B1783" t="s">
        <v>112</v>
      </c>
      <c r="C1783" t="s">
        <v>162</v>
      </c>
      <c r="D1783" t="s">
        <v>11</v>
      </c>
      <c r="E1783" s="9">
        <v>34</v>
      </c>
      <c r="F1783" t="s">
        <v>12</v>
      </c>
      <c r="G1783" t="s">
        <v>33</v>
      </c>
      <c r="H1783" s="8">
        <v>42242</v>
      </c>
      <c r="I1783">
        <v>27049.56</v>
      </c>
      <c r="K1783" s="8"/>
    </row>
    <row r="1784" spans="1:11">
      <c r="A1784">
        <v>100001783</v>
      </c>
      <c r="B1784" t="s">
        <v>135</v>
      </c>
      <c r="C1784" t="s">
        <v>87</v>
      </c>
      <c r="D1784" t="s">
        <v>11</v>
      </c>
      <c r="E1784" s="9">
        <v>31</v>
      </c>
      <c r="F1784" t="s">
        <v>12</v>
      </c>
      <c r="G1784" t="s">
        <v>13</v>
      </c>
      <c r="H1784" s="7">
        <v>42242</v>
      </c>
      <c r="I1784">
        <v>12728.29</v>
      </c>
      <c r="K1784" s="7"/>
    </row>
    <row r="1785" spans="1:11">
      <c r="A1785">
        <v>100001784</v>
      </c>
      <c r="B1785" t="s">
        <v>129</v>
      </c>
      <c r="C1785" t="s">
        <v>205</v>
      </c>
      <c r="D1785" t="s">
        <v>11</v>
      </c>
      <c r="E1785" s="9">
        <v>28</v>
      </c>
      <c r="F1785" t="s">
        <v>12</v>
      </c>
      <c r="G1785" t="s">
        <v>13</v>
      </c>
      <c r="H1785" s="8">
        <v>42242</v>
      </c>
      <c r="I1785">
        <v>82862.73</v>
      </c>
      <c r="K1785" s="8"/>
    </row>
    <row r="1786" spans="1:11">
      <c r="A1786">
        <v>100001785</v>
      </c>
      <c r="B1786" t="s">
        <v>126</v>
      </c>
      <c r="C1786" t="s">
        <v>114</v>
      </c>
      <c r="D1786" t="s">
        <v>16</v>
      </c>
      <c r="E1786" s="9">
        <v>29</v>
      </c>
      <c r="F1786" t="s">
        <v>12</v>
      </c>
      <c r="G1786" t="s">
        <v>33</v>
      </c>
      <c r="H1786" s="7">
        <v>42242</v>
      </c>
      <c r="I1786">
        <v>27683.73</v>
      </c>
      <c r="K1786" s="7"/>
    </row>
    <row r="1787" spans="1:11">
      <c r="A1787">
        <v>100001786</v>
      </c>
      <c r="B1787" t="s">
        <v>308</v>
      </c>
      <c r="C1787" t="s">
        <v>325</v>
      </c>
      <c r="D1787" t="s">
        <v>16</v>
      </c>
      <c r="E1787" s="9">
        <v>28</v>
      </c>
      <c r="F1787" t="s">
        <v>12</v>
      </c>
      <c r="G1787" t="s">
        <v>13</v>
      </c>
      <c r="H1787" s="8">
        <v>42242</v>
      </c>
      <c r="I1787">
        <v>142461.87</v>
      </c>
      <c r="K1787" s="8"/>
    </row>
    <row r="1788" spans="1:11">
      <c r="A1788">
        <v>100001787</v>
      </c>
      <c r="B1788" t="s">
        <v>101</v>
      </c>
      <c r="C1788" t="s">
        <v>170</v>
      </c>
      <c r="D1788" t="s">
        <v>11</v>
      </c>
      <c r="E1788" s="9">
        <v>28</v>
      </c>
      <c r="F1788" t="s">
        <v>12</v>
      </c>
      <c r="G1788" t="s">
        <v>13</v>
      </c>
      <c r="H1788" s="7">
        <v>42242</v>
      </c>
      <c r="I1788">
        <v>46762.44</v>
      </c>
      <c r="K1788" s="7"/>
    </row>
    <row r="1789" spans="1:11">
      <c r="A1789">
        <v>100001788</v>
      </c>
      <c r="B1789" t="s">
        <v>19</v>
      </c>
      <c r="C1789" t="s">
        <v>185</v>
      </c>
      <c r="D1789" t="s">
        <v>11</v>
      </c>
      <c r="E1789" s="9">
        <v>28</v>
      </c>
      <c r="F1789" t="s">
        <v>12</v>
      </c>
      <c r="G1789" t="s">
        <v>18</v>
      </c>
      <c r="H1789" s="8">
        <v>42242</v>
      </c>
      <c r="I1789">
        <v>34984.35</v>
      </c>
      <c r="K1789" s="8"/>
    </row>
    <row r="1790" spans="1:11">
      <c r="A1790">
        <v>100001789</v>
      </c>
      <c r="B1790" t="s">
        <v>115</v>
      </c>
      <c r="C1790" t="s">
        <v>227</v>
      </c>
      <c r="D1790" t="s">
        <v>16</v>
      </c>
      <c r="E1790" s="9">
        <v>39</v>
      </c>
      <c r="F1790" t="s">
        <v>12</v>
      </c>
      <c r="G1790" t="s">
        <v>33</v>
      </c>
      <c r="H1790" s="7">
        <v>42242</v>
      </c>
      <c r="I1790">
        <v>18016.11</v>
      </c>
      <c r="K1790" s="7"/>
    </row>
    <row r="1791" spans="1:11">
      <c r="A1791">
        <v>100001790</v>
      </c>
      <c r="B1791" t="s">
        <v>161</v>
      </c>
      <c r="C1791" t="s">
        <v>257</v>
      </c>
      <c r="D1791" t="s">
        <v>16</v>
      </c>
      <c r="E1791" s="9">
        <v>40</v>
      </c>
      <c r="F1791" t="s">
        <v>12</v>
      </c>
      <c r="G1791" t="s">
        <v>13</v>
      </c>
      <c r="H1791" s="8">
        <v>42242</v>
      </c>
      <c r="I1791">
        <v>61414.37</v>
      </c>
      <c r="K1791" s="8"/>
    </row>
    <row r="1792" spans="1:11">
      <c r="A1792">
        <v>200001791</v>
      </c>
      <c r="B1792" t="s">
        <v>159</v>
      </c>
      <c r="C1792" t="s">
        <v>178</v>
      </c>
      <c r="D1792" t="s">
        <v>11</v>
      </c>
      <c r="E1792" s="9">
        <v>42</v>
      </c>
      <c r="F1792" t="s">
        <v>32</v>
      </c>
      <c r="G1792" t="s">
        <v>18</v>
      </c>
      <c r="H1792" s="7">
        <v>42242</v>
      </c>
      <c r="I1792">
        <v>36871.21</v>
      </c>
      <c r="K1792" s="7"/>
    </row>
    <row r="1793" spans="1:11">
      <c r="A1793">
        <v>200001792</v>
      </c>
      <c r="B1793" t="s">
        <v>324</v>
      </c>
      <c r="C1793" t="s">
        <v>172</v>
      </c>
      <c r="D1793" t="s">
        <v>16</v>
      </c>
      <c r="E1793" s="9">
        <v>53</v>
      </c>
      <c r="F1793" t="s">
        <v>32</v>
      </c>
      <c r="G1793" t="s">
        <v>33</v>
      </c>
      <c r="H1793" s="8">
        <v>42242</v>
      </c>
      <c r="I1793">
        <v>37604.230000000003</v>
      </c>
      <c r="K1793" s="8"/>
    </row>
    <row r="1794" spans="1:11">
      <c r="A1794">
        <v>300001793</v>
      </c>
      <c r="B1794" t="s">
        <v>197</v>
      </c>
      <c r="C1794" t="s">
        <v>288</v>
      </c>
      <c r="D1794" t="s">
        <v>11</v>
      </c>
      <c r="E1794" s="9">
        <v>35</v>
      </c>
      <c r="F1794" t="s">
        <v>23</v>
      </c>
      <c r="G1794" t="s">
        <v>13</v>
      </c>
      <c r="H1794" s="7">
        <v>42242</v>
      </c>
      <c r="I1794">
        <v>20739.009999999998</v>
      </c>
      <c r="K1794" s="7"/>
    </row>
    <row r="1795" spans="1:11">
      <c r="A1795">
        <v>400001794</v>
      </c>
      <c r="B1795" t="s">
        <v>103</v>
      </c>
      <c r="C1795" t="s">
        <v>91</v>
      </c>
      <c r="D1795" t="s">
        <v>11</v>
      </c>
      <c r="E1795" s="9">
        <v>27</v>
      </c>
      <c r="F1795" t="s">
        <v>17</v>
      </c>
      <c r="G1795" t="s">
        <v>18</v>
      </c>
      <c r="H1795" s="8">
        <v>42242</v>
      </c>
      <c r="I1795">
        <v>6426.13</v>
      </c>
      <c r="K1795" s="8"/>
    </row>
    <row r="1796" spans="1:11">
      <c r="A1796">
        <v>400001795</v>
      </c>
      <c r="B1796" t="s">
        <v>83</v>
      </c>
      <c r="C1796" t="s">
        <v>80</v>
      </c>
      <c r="D1796" t="s">
        <v>16</v>
      </c>
      <c r="E1796" s="9">
        <v>37</v>
      </c>
      <c r="F1796" t="s">
        <v>17</v>
      </c>
      <c r="G1796" t="s">
        <v>13</v>
      </c>
      <c r="H1796" s="7">
        <v>42242</v>
      </c>
      <c r="I1796">
        <v>21823.82</v>
      </c>
      <c r="K1796" s="7"/>
    </row>
    <row r="1797" spans="1:11">
      <c r="A1797">
        <v>100001796</v>
      </c>
      <c r="B1797" t="s">
        <v>55</v>
      </c>
      <c r="C1797" t="s">
        <v>91</v>
      </c>
      <c r="D1797" t="s">
        <v>11</v>
      </c>
      <c r="E1797" s="9">
        <v>36</v>
      </c>
      <c r="F1797" t="s">
        <v>12</v>
      </c>
      <c r="G1797" t="s">
        <v>18</v>
      </c>
      <c r="H1797" s="8">
        <v>42243</v>
      </c>
      <c r="I1797">
        <v>11743.7</v>
      </c>
      <c r="K1797" s="8"/>
    </row>
    <row r="1798" spans="1:11">
      <c r="A1798">
        <v>100001797</v>
      </c>
      <c r="B1798" t="s">
        <v>145</v>
      </c>
      <c r="C1798" t="s">
        <v>113</v>
      </c>
      <c r="D1798" t="s">
        <v>11</v>
      </c>
      <c r="E1798" s="9">
        <v>44</v>
      </c>
      <c r="F1798" t="s">
        <v>12</v>
      </c>
      <c r="G1798" t="s">
        <v>13</v>
      </c>
      <c r="H1798" s="7">
        <v>42243</v>
      </c>
      <c r="I1798">
        <v>2716.79</v>
      </c>
      <c r="K1798" s="7"/>
    </row>
    <row r="1799" spans="1:11">
      <c r="A1799">
        <v>100001798</v>
      </c>
      <c r="B1799" t="s">
        <v>175</v>
      </c>
      <c r="C1799" t="s">
        <v>247</v>
      </c>
      <c r="D1799" t="s">
        <v>11</v>
      </c>
      <c r="E1799" s="9">
        <v>25</v>
      </c>
      <c r="F1799" t="s">
        <v>12</v>
      </c>
      <c r="G1799" t="s">
        <v>13</v>
      </c>
      <c r="H1799" s="8">
        <v>42243</v>
      </c>
      <c r="I1799">
        <v>11186.61</v>
      </c>
      <c r="K1799" s="8"/>
    </row>
    <row r="1800" spans="1:11">
      <c r="A1800">
        <v>100001799</v>
      </c>
      <c r="B1800" t="s">
        <v>173</v>
      </c>
      <c r="C1800" t="s">
        <v>63</v>
      </c>
      <c r="D1800" t="s">
        <v>11</v>
      </c>
      <c r="E1800" s="9">
        <v>39</v>
      </c>
      <c r="F1800" t="s">
        <v>12</v>
      </c>
      <c r="G1800" t="s">
        <v>13</v>
      </c>
      <c r="H1800" s="7">
        <v>42243</v>
      </c>
      <c r="I1800">
        <v>17435.099999999999</v>
      </c>
      <c r="K1800" s="7"/>
    </row>
    <row r="1801" spans="1:11">
      <c r="A1801">
        <v>100001800</v>
      </c>
      <c r="B1801" t="s">
        <v>202</v>
      </c>
      <c r="C1801" t="s">
        <v>270</v>
      </c>
      <c r="D1801" t="s">
        <v>11</v>
      </c>
      <c r="E1801" s="9">
        <v>27</v>
      </c>
      <c r="F1801" t="s">
        <v>12</v>
      </c>
      <c r="G1801" t="s">
        <v>18</v>
      </c>
      <c r="H1801" s="8">
        <v>42243</v>
      </c>
      <c r="I1801">
        <v>5019.6499999999996</v>
      </c>
      <c r="K1801" s="8"/>
    </row>
    <row r="1802" spans="1:11">
      <c r="A1802">
        <v>100001801</v>
      </c>
      <c r="B1802" t="s">
        <v>190</v>
      </c>
      <c r="C1802" t="s">
        <v>156</v>
      </c>
      <c r="D1802" t="s">
        <v>11</v>
      </c>
      <c r="E1802" s="9">
        <v>34</v>
      </c>
      <c r="F1802" t="s">
        <v>12</v>
      </c>
      <c r="G1802" t="s">
        <v>13</v>
      </c>
      <c r="H1802" s="7">
        <v>42243</v>
      </c>
      <c r="I1802">
        <v>57914.55</v>
      </c>
      <c r="K1802" s="7"/>
    </row>
    <row r="1803" spans="1:11">
      <c r="A1803">
        <v>100001802</v>
      </c>
      <c r="B1803" t="s">
        <v>220</v>
      </c>
      <c r="C1803" t="s">
        <v>27</v>
      </c>
      <c r="D1803" t="s">
        <v>16</v>
      </c>
      <c r="E1803" s="9">
        <v>41</v>
      </c>
      <c r="F1803" t="s">
        <v>12</v>
      </c>
      <c r="G1803" t="s">
        <v>18</v>
      </c>
      <c r="H1803" s="8">
        <v>42243</v>
      </c>
      <c r="I1803">
        <v>43298.43</v>
      </c>
      <c r="K1803" s="8"/>
    </row>
    <row r="1804" spans="1:11">
      <c r="A1804">
        <v>100001803</v>
      </c>
      <c r="B1804" t="s">
        <v>244</v>
      </c>
      <c r="C1804" t="s">
        <v>318</v>
      </c>
      <c r="D1804" t="s">
        <v>16</v>
      </c>
      <c r="E1804" s="9">
        <v>29</v>
      </c>
      <c r="F1804" t="s">
        <v>12</v>
      </c>
      <c r="G1804" t="s">
        <v>13</v>
      </c>
      <c r="H1804" s="7">
        <v>42243</v>
      </c>
      <c r="I1804">
        <v>21477.46</v>
      </c>
      <c r="K1804" s="7"/>
    </row>
    <row r="1805" spans="1:11">
      <c r="A1805">
        <v>100001804</v>
      </c>
      <c r="B1805" t="s">
        <v>314</v>
      </c>
      <c r="C1805" t="s">
        <v>91</v>
      </c>
      <c r="D1805" t="s">
        <v>16</v>
      </c>
      <c r="E1805" s="9">
        <v>38</v>
      </c>
      <c r="F1805" t="s">
        <v>12</v>
      </c>
      <c r="G1805" t="s">
        <v>13</v>
      </c>
      <c r="H1805" s="8">
        <v>42243</v>
      </c>
      <c r="I1805">
        <v>42816.160000000003</v>
      </c>
      <c r="K1805" s="8"/>
    </row>
    <row r="1806" spans="1:11">
      <c r="A1806">
        <v>100001805</v>
      </c>
      <c r="B1806" t="s">
        <v>164</v>
      </c>
      <c r="C1806" t="s">
        <v>189</v>
      </c>
      <c r="D1806" t="s">
        <v>11</v>
      </c>
      <c r="E1806" s="9">
        <v>33</v>
      </c>
      <c r="F1806" t="s">
        <v>12</v>
      </c>
      <c r="G1806" t="s">
        <v>33</v>
      </c>
      <c r="H1806" s="7">
        <v>42243</v>
      </c>
      <c r="I1806">
        <v>13701.41</v>
      </c>
      <c r="K1806" s="7"/>
    </row>
    <row r="1807" spans="1:11">
      <c r="A1807">
        <v>100001806</v>
      </c>
      <c r="B1807" t="s">
        <v>214</v>
      </c>
      <c r="C1807" t="s">
        <v>80</v>
      </c>
      <c r="D1807" t="s">
        <v>11</v>
      </c>
      <c r="E1807" s="9">
        <v>35</v>
      </c>
      <c r="F1807" t="s">
        <v>12</v>
      </c>
      <c r="G1807" t="s">
        <v>33</v>
      </c>
      <c r="H1807" s="8">
        <v>42243</v>
      </c>
      <c r="I1807">
        <v>111412.09</v>
      </c>
      <c r="K1807" s="8"/>
    </row>
    <row r="1808" spans="1:11">
      <c r="A1808">
        <v>200001807</v>
      </c>
      <c r="B1808" t="s">
        <v>226</v>
      </c>
      <c r="C1808" t="s">
        <v>22</v>
      </c>
      <c r="D1808" t="s">
        <v>16</v>
      </c>
      <c r="E1808" s="9">
        <v>54</v>
      </c>
      <c r="F1808" t="s">
        <v>32</v>
      </c>
      <c r="G1808" t="s">
        <v>33</v>
      </c>
      <c r="H1808" s="7">
        <v>42243</v>
      </c>
      <c r="I1808">
        <v>17076.490000000002</v>
      </c>
      <c r="K1808" s="7"/>
    </row>
    <row r="1809" spans="1:11">
      <c r="A1809">
        <v>200001808</v>
      </c>
      <c r="B1809" t="s">
        <v>117</v>
      </c>
      <c r="C1809" t="s">
        <v>77</v>
      </c>
      <c r="D1809" t="s">
        <v>16</v>
      </c>
      <c r="E1809" s="9">
        <v>47</v>
      </c>
      <c r="F1809" t="s">
        <v>32</v>
      </c>
      <c r="G1809" t="s">
        <v>13</v>
      </c>
      <c r="H1809" s="8">
        <v>42243</v>
      </c>
      <c r="I1809">
        <v>15352.66</v>
      </c>
      <c r="K1809" s="8"/>
    </row>
    <row r="1810" spans="1:11">
      <c r="A1810">
        <v>200001809</v>
      </c>
      <c r="B1810" t="s">
        <v>128</v>
      </c>
      <c r="C1810" t="s">
        <v>313</v>
      </c>
      <c r="D1810" t="s">
        <v>16</v>
      </c>
      <c r="E1810" s="9">
        <v>54</v>
      </c>
      <c r="F1810" t="s">
        <v>32</v>
      </c>
      <c r="G1810" t="s">
        <v>33</v>
      </c>
      <c r="H1810" s="7">
        <v>42243</v>
      </c>
      <c r="I1810">
        <v>37009.51</v>
      </c>
      <c r="K1810" s="7"/>
    </row>
    <row r="1811" spans="1:11">
      <c r="A1811">
        <v>200001810</v>
      </c>
      <c r="B1811" t="s">
        <v>57</v>
      </c>
      <c r="C1811" t="s">
        <v>35</v>
      </c>
      <c r="D1811" t="s">
        <v>11</v>
      </c>
      <c r="E1811" s="9">
        <v>33</v>
      </c>
      <c r="F1811" t="s">
        <v>32</v>
      </c>
      <c r="G1811" t="s">
        <v>33</v>
      </c>
      <c r="H1811" s="8">
        <v>42243</v>
      </c>
      <c r="I1811">
        <v>37752.35</v>
      </c>
      <c r="K1811" s="8"/>
    </row>
    <row r="1812" spans="1:11">
      <c r="A1812">
        <v>200001811</v>
      </c>
      <c r="B1812" t="s">
        <v>122</v>
      </c>
      <c r="C1812" t="s">
        <v>242</v>
      </c>
      <c r="D1812" t="s">
        <v>11</v>
      </c>
      <c r="E1812" s="9">
        <v>53</v>
      </c>
      <c r="F1812" t="s">
        <v>32</v>
      </c>
      <c r="G1812" t="s">
        <v>33</v>
      </c>
      <c r="H1812" s="7">
        <v>42243</v>
      </c>
      <c r="I1812">
        <v>73457.73</v>
      </c>
      <c r="K1812" s="7"/>
    </row>
    <row r="1813" spans="1:11">
      <c r="A1813">
        <v>300001812</v>
      </c>
      <c r="B1813" t="s">
        <v>55</v>
      </c>
      <c r="C1813" t="s">
        <v>279</v>
      </c>
      <c r="D1813" t="s">
        <v>11</v>
      </c>
      <c r="E1813" s="9">
        <v>36</v>
      </c>
      <c r="F1813" t="s">
        <v>23</v>
      </c>
      <c r="G1813" t="s">
        <v>13</v>
      </c>
      <c r="H1813" s="8">
        <v>42243</v>
      </c>
      <c r="I1813">
        <v>105439.61</v>
      </c>
      <c r="K1813" s="8"/>
    </row>
    <row r="1814" spans="1:11">
      <c r="A1814">
        <v>300001813</v>
      </c>
      <c r="B1814" t="s">
        <v>141</v>
      </c>
      <c r="C1814" t="s">
        <v>54</v>
      </c>
      <c r="D1814" t="s">
        <v>11</v>
      </c>
      <c r="E1814" s="9">
        <v>39</v>
      </c>
      <c r="F1814" t="s">
        <v>23</v>
      </c>
      <c r="G1814" t="s">
        <v>13</v>
      </c>
      <c r="H1814" s="7">
        <v>42243</v>
      </c>
      <c r="I1814">
        <v>32430.78</v>
      </c>
      <c r="K1814" s="7"/>
    </row>
    <row r="1815" spans="1:11">
      <c r="A1815">
        <v>400001814</v>
      </c>
      <c r="B1815" t="s">
        <v>68</v>
      </c>
      <c r="C1815" t="s">
        <v>305</v>
      </c>
      <c r="D1815" t="s">
        <v>16</v>
      </c>
      <c r="E1815" s="9">
        <v>32</v>
      </c>
      <c r="F1815" t="s">
        <v>17</v>
      </c>
      <c r="G1815" t="s">
        <v>13</v>
      </c>
      <c r="H1815" s="8">
        <v>42243</v>
      </c>
      <c r="I1815">
        <v>45259.78</v>
      </c>
      <c r="K1815" s="8"/>
    </row>
    <row r="1816" spans="1:11">
      <c r="A1816">
        <v>400001815</v>
      </c>
      <c r="B1816" t="s">
        <v>44</v>
      </c>
      <c r="C1816" t="s">
        <v>187</v>
      </c>
      <c r="D1816" t="s">
        <v>16</v>
      </c>
      <c r="E1816" s="9">
        <v>35</v>
      </c>
      <c r="F1816" t="s">
        <v>17</v>
      </c>
      <c r="G1816" t="s">
        <v>18</v>
      </c>
      <c r="H1816" s="7">
        <v>42243</v>
      </c>
      <c r="I1816">
        <v>17947.14</v>
      </c>
      <c r="K1816" s="7"/>
    </row>
    <row r="1817" spans="1:11">
      <c r="A1817">
        <v>400001816</v>
      </c>
      <c r="B1817" t="s">
        <v>320</v>
      </c>
      <c r="C1817" t="s">
        <v>275</v>
      </c>
      <c r="D1817" t="s">
        <v>16</v>
      </c>
      <c r="E1817" s="9">
        <v>25</v>
      </c>
      <c r="F1817" t="s">
        <v>17</v>
      </c>
      <c r="G1817" t="s">
        <v>33</v>
      </c>
      <c r="H1817" s="8">
        <v>42243</v>
      </c>
      <c r="I1817">
        <v>29644.65</v>
      </c>
      <c r="K1817" s="8"/>
    </row>
    <row r="1818" spans="1:11">
      <c r="A1818">
        <v>400001817</v>
      </c>
      <c r="B1818" t="s">
        <v>311</v>
      </c>
      <c r="C1818" t="s">
        <v>164</v>
      </c>
      <c r="D1818" t="s">
        <v>11</v>
      </c>
      <c r="E1818" s="9">
        <v>35</v>
      </c>
      <c r="F1818" t="s">
        <v>17</v>
      </c>
      <c r="G1818" t="s">
        <v>13</v>
      </c>
      <c r="H1818" s="7">
        <v>42243</v>
      </c>
      <c r="I1818">
        <v>26311.08</v>
      </c>
      <c r="K1818" s="7"/>
    </row>
    <row r="1819" spans="1:11">
      <c r="A1819">
        <v>400001818</v>
      </c>
      <c r="B1819" t="s">
        <v>103</v>
      </c>
      <c r="C1819" t="s">
        <v>163</v>
      </c>
      <c r="D1819" t="s">
        <v>11</v>
      </c>
      <c r="E1819" s="9">
        <v>33</v>
      </c>
      <c r="F1819" t="s">
        <v>17</v>
      </c>
      <c r="G1819" t="s">
        <v>13</v>
      </c>
      <c r="H1819" s="8">
        <v>42243</v>
      </c>
      <c r="I1819">
        <v>20111.98</v>
      </c>
      <c r="K1819" s="8"/>
    </row>
    <row r="1820" spans="1:11">
      <c r="A1820">
        <v>100001819</v>
      </c>
      <c r="B1820" t="s">
        <v>70</v>
      </c>
      <c r="C1820" t="s">
        <v>125</v>
      </c>
      <c r="D1820" t="s">
        <v>11</v>
      </c>
      <c r="E1820" s="9">
        <v>38</v>
      </c>
      <c r="F1820" t="s">
        <v>12</v>
      </c>
      <c r="G1820" t="s">
        <v>33</v>
      </c>
      <c r="H1820" s="7">
        <v>42244</v>
      </c>
      <c r="I1820">
        <v>49610.44</v>
      </c>
      <c r="K1820" s="7"/>
    </row>
    <row r="1821" spans="1:11">
      <c r="A1821">
        <v>100001820</v>
      </c>
      <c r="B1821" t="s">
        <v>90</v>
      </c>
      <c r="C1821" t="s">
        <v>266</v>
      </c>
      <c r="D1821" t="s">
        <v>11</v>
      </c>
      <c r="E1821" s="9">
        <v>27</v>
      </c>
      <c r="F1821" t="s">
        <v>12</v>
      </c>
      <c r="G1821" t="s">
        <v>13</v>
      </c>
      <c r="H1821" s="8">
        <v>42244</v>
      </c>
      <c r="I1821">
        <v>39495.99</v>
      </c>
      <c r="K1821" s="8"/>
    </row>
    <row r="1822" spans="1:11">
      <c r="A1822">
        <v>100001821</v>
      </c>
      <c r="B1822" t="s">
        <v>176</v>
      </c>
      <c r="C1822" t="s">
        <v>151</v>
      </c>
      <c r="D1822" t="s">
        <v>16</v>
      </c>
      <c r="E1822" s="9">
        <v>29</v>
      </c>
      <c r="F1822" t="s">
        <v>12</v>
      </c>
      <c r="G1822" t="s">
        <v>13</v>
      </c>
      <c r="H1822" s="7">
        <v>42244</v>
      </c>
      <c r="I1822">
        <v>96673.11</v>
      </c>
      <c r="K1822" s="7"/>
    </row>
    <row r="1823" spans="1:11">
      <c r="A1823">
        <v>100001822</v>
      </c>
      <c r="B1823" t="s">
        <v>14</v>
      </c>
      <c r="C1823" t="s">
        <v>297</v>
      </c>
      <c r="D1823" t="s">
        <v>16</v>
      </c>
      <c r="E1823" s="9">
        <v>38</v>
      </c>
      <c r="F1823" t="s">
        <v>12</v>
      </c>
      <c r="G1823" t="s">
        <v>33</v>
      </c>
      <c r="H1823" s="8">
        <v>42244</v>
      </c>
      <c r="I1823">
        <v>52220.12</v>
      </c>
      <c r="K1823" s="8"/>
    </row>
    <row r="1824" spans="1:11">
      <c r="A1824">
        <v>100001823</v>
      </c>
      <c r="B1824" t="s">
        <v>223</v>
      </c>
      <c r="C1824" t="s">
        <v>299</v>
      </c>
      <c r="D1824" t="s">
        <v>16</v>
      </c>
      <c r="E1824" s="9">
        <v>34</v>
      </c>
      <c r="F1824" t="s">
        <v>12</v>
      </c>
      <c r="G1824" t="s">
        <v>13</v>
      </c>
      <c r="H1824" s="7">
        <v>42244</v>
      </c>
      <c r="I1824">
        <v>149684.4</v>
      </c>
      <c r="K1824" s="7"/>
    </row>
    <row r="1825" spans="1:11">
      <c r="A1825">
        <v>100001824</v>
      </c>
      <c r="B1825" t="s">
        <v>57</v>
      </c>
      <c r="C1825" t="s">
        <v>167</v>
      </c>
      <c r="D1825" t="s">
        <v>11</v>
      </c>
      <c r="E1825" s="9">
        <v>35</v>
      </c>
      <c r="F1825" t="s">
        <v>12</v>
      </c>
      <c r="G1825" t="s">
        <v>33</v>
      </c>
      <c r="H1825" s="8">
        <v>42244</v>
      </c>
      <c r="I1825">
        <v>20770.080000000002</v>
      </c>
      <c r="K1825" s="8"/>
    </row>
    <row r="1826" spans="1:11">
      <c r="A1826">
        <v>100001825</v>
      </c>
      <c r="B1826" t="s">
        <v>245</v>
      </c>
      <c r="C1826" t="s">
        <v>20</v>
      </c>
      <c r="D1826" t="s">
        <v>11</v>
      </c>
      <c r="E1826" s="9">
        <v>34</v>
      </c>
      <c r="F1826" t="s">
        <v>12</v>
      </c>
      <c r="G1826" t="s">
        <v>13</v>
      </c>
      <c r="H1826" s="7">
        <v>42244</v>
      </c>
      <c r="I1826">
        <v>25949.97</v>
      </c>
      <c r="K1826" s="7"/>
    </row>
    <row r="1827" spans="1:11">
      <c r="A1827">
        <v>200001826</v>
      </c>
      <c r="B1827" t="s">
        <v>9</v>
      </c>
      <c r="C1827" t="s">
        <v>25</v>
      </c>
      <c r="D1827" t="s">
        <v>11</v>
      </c>
      <c r="E1827" s="9">
        <v>62</v>
      </c>
      <c r="F1827" t="s">
        <v>32</v>
      </c>
      <c r="G1827" t="s">
        <v>33</v>
      </c>
      <c r="H1827" s="8">
        <v>42244</v>
      </c>
      <c r="I1827">
        <v>76842.899999999994</v>
      </c>
      <c r="K1827" s="8"/>
    </row>
    <row r="1828" spans="1:11">
      <c r="A1828">
        <v>200001827</v>
      </c>
      <c r="B1828" t="s">
        <v>72</v>
      </c>
      <c r="C1828" t="s">
        <v>203</v>
      </c>
      <c r="D1828" t="s">
        <v>11</v>
      </c>
      <c r="E1828" s="9">
        <v>47</v>
      </c>
      <c r="F1828" t="s">
        <v>32</v>
      </c>
      <c r="G1828" t="s">
        <v>18</v>
      </c>
      <c r="H1828" s="7">
        <v>42244</v>
      </c>
      <c r="I1828">
        <v>83071.960000000006</v>
      </c>
      <c r="K1828" s="7"/>
    </row>
    <row r="1829" spans="1:11">
      <c r="A1829">
        <v>200001828</v>
      </c>
      <c r="B1829" t="s">
        <v>154</v>
      </c>
      <c r="C1829" t="s">
        <v>121</v>
      </c>
      <c r="D1829" t="s">
        <v>16</v>
      </c>
      <c r="E1829" s="9">
        <v>59</v>
      </c>
      <c r="F1829" t="s">
        <v>32</v>
      </c>
      <c r="G1829" t="s">
        <v>18</v>
      </c>
      <c r="H1829" s="8">
        <v>42244</v>
      </c>
      <c r="I1829">
        <v>14569.22</v>
      </c>
      <c r="K1829" s="8"/>
    </row>
    <row r="1830" spans="1:11">
      <c r="A1830">
        <v>200001829</v>
      </c>
      <c r="B1830" t="s">
        <v>180</v>
      </c>
      <c r="C1830" t="s">
        <v>224</v>
      </c>
      <c r="D1830" t="s">
        <v>16</v>
      </c>
      <c r="E1830" s="9">
        <v>52</v>
      </c>
      <c r="F1830" t="s">
        <v>32</v>
      </c>
      <c r="G1830" t="s">
        <v>33</v>
      </c>
      <c r="H1830" s="7">
        <v>42244</v>
      </c>
      <c r="I1830">
        <v>49205.24</v>
      </c>
      <c r="K1830" s="7"/>
    </row>
    <row r="1831" spans="1:11">
      <c r="A1831">
        <v>300001830</v>
      </c>
      <c r="B1831" t="s">
        <v>137</v>
      </c>
      <c r="C1831" t="s">
        <v>160</v>
      </c>
      <c r="D1831" t="s">
        <v>11</v>
      </c>
      <c r="E1831" s="9">
        <v>29</v>
      </c>
      <c r="F1831" t="s">
        <v>23</v>
      </c>
      <c r="G1831" t="s">
        <v>13</v>
      </c>
      <c r="H1831" s="8">
        <v>42244</v>
      </c>
      <c r="I1831">
        <v>64191.88</v>
      </c>
      <c r="K1831" s="8"/>
    </row>
    <row r="1832" spans="1:11">
      <c r="A1832">
        <v>100001831</v>
      </c>
      <c r="B1832" t="s">
        <v>48</v>
      </c>
      <c r="C1832" t="s">
        <v>156</v>
      </c>
      <c r="D1832" t="s">
        <v>16</v>
      </c>
      <c r="E1832" s="9">
        <v>34</v>
      </c>
      <c r="F1832" t="s">
        <v>12</v>
      </c>
      <c r="G1832" t="s">
        <v>13</v>
      </c>
      <c r="H1832" s="7">
        <v>42245</v>
      </c>
      <c r="I1832">
        <v>52702.58</v>
      </c>
      <c r="K1832" s="7"/>
    </row>
    <row r="1833" spans="1:11">
      <c r="A1833">
        <v>100001832</v>
      </c>
      <c r="B1833" t="s">
        <v>166</v>
      </c>
      <c r="C1833" t="s">
        <v>152</v>
      </c>
      <c r="D1833" t="s">
        <v>16</v>
      </c>
      <c r="E1833" s="9">
        <v>36</v>
      </c>
      <c r="F1833" t="s">
        <v>12</v>
      </c>
      <c r="G1833" t="s">
        <v>33</v>
      </c>
      <c r="H1833" s="8">
        <v>42245</v>
      </c>
      <c r="I1833">
        <v>10057.040000000001</v>
      </c>
      <c r="K1833" s="8"/>
    </row>
    <row r="1834" spans="1:11">
      <c r="A1834">
        <v>100001833</v>
      </c>
      <c r="B1834" t="s">
        <v>129</v>
      </c>
      <c r="C1834" t="s">
        <v>294</v>
      </c>
      <c r="D1834" t="s">
        <v>11</v>
      </c>
      <c r="E1834" s="9">
        <v>27</v>
      </c>
      <c r="F1834" t="s">
        <v>12</v>
      </c>
      <c r="G1834" t="s">
        <v>13</v>
      </c>
      <c r="H1834" s="7">
        <v>42245</v>
      </c>
      <c r="I1834">
        <v>31637.34</v>
      </c>
      <c r="K1834" s="7"/>
    </row>
    <row r="1835" spans="1:11">
      <c r="A1835">
        <v>100001834</v>
      </c>
      <c r="B1835" t="s">
        <v>14</v>
      </c>
      <c r="C1835" t="s">
        <v>305</v>
      </c>
      <c r="D1835" t="s">
        <v>16</v>
      </c>
      <c r="E1835" s="9">
        <v>37</v>
      </c>
      <c r="F1835" t="s">
        <v>12</v>
      </c>
      <c r="G1835" t="s">
        <v>13</v>
      </c>
      <c r="H1835" s="8">
        <v>42245</v>
      </c>
      <c r="I1835">
        <v>7355.25</v>
      </c>
      <c r="K1835" s="8"/>
    </row>
    <row r="1836" spans="1:11">
      <c r="A1836">
        <v>100001835</v>
      </c>
      <c r="B1836" t="s">
        <v>276</v>
      </c>
      <c r="C1836" t="s">
        <v>144</v>
      </c>
      <c r="D1836" t="s">
        <v>16</v>
      </c>
      <c r="E1836" s="9">
        <v>41</v>
      </c>
      <c r="F1836" t="s">
        <v>12</v>
      </c>
      <c r="G1836" t="s">
        <v>13</v>
      </c>
      <c r="H1836" s="7">
        <v>42245</v>
      </c>
      <c r="I1836">
        <v>18745.419999999998</v>
      </c>
      <c r="K1836" s="7"/>
    </row>
    <row r="1837" spans="1:11">
      <c r="A1837">
        <v>200001836</v>
      </c>
      <c r="B1837" t="s">
        <v>72</v>
      </c>
      <c r="C1837" t="s">
        <v>222</v>
      </c>
      <c r="D1837" t="s">
        <v>11</v>
      </c>
      <c r="E1837" s="9">
        <v>58</v>
      </c>
      <c r="F1837" t="s">
        <v>32</v>
      </c>
      <c r="G1837" t="s">
        <v>33</v>
      </c>
      <c r="H1837" s="8">
        <v>42245</v>
      </c>
      <c r="I1837">
        <v>10783.63</v>
      </c>
      <c r="K1837" s="8"/>
    </row>
    <row r="1838" spans="1:11">
      <c r="A1838">
        <v>200001837</v>
      </c>
      <c r="B1838" t="s">
        <v>228</v>
      </c>
      <c r="C1838" t="s">
        <v>282</v>
      </c>
      <c r="D1838" t="s">
        <v>11</v>
      </c>
      <c r="E1838" s="9">
        <v>53</v>
      </c>
      <c r="F1838" t="s">
        <v>32</v>
      </c>
      <c r="G1838" t="s">
        <v>13</v>
      </c>
      <c r="H1838" s="7">
        <v>42245</v>
      </c>
      <c r="I1838">
        <v>43176.47</v>
      </c>
      <c r="K1838" s="7"/>
    </row>
    <row r="1839" spans="1:11">
      <c r="A1839">
        <v>200001838</v>
      </c>
      <c r="B1839" t="s">
        <v>36</v>
      </c>
      <c r="C1839" t="s">
        <v>163</v>
      </c>
      <c r="D1839" t="s">
        <v>11</v>
      </c>
      <c r="E1839" s="9">
        <v>24</v>
      </c>
      <c r="F1839" t="s">
        <v>32</v>
      </c>
      <c r="G1839" t="s">
        <v>33</v>
      </c>
      <c r="H1839" s="8">
        <v>42245</v>
      </c>
      <c r="I1839">
        <v>10369.950000000001</v>
      </c>
      <c r="K1839" s="8"/>
    </row>
    <row r="1840" spans="1:11">
      <c r="A1840">
        <v>300001839</v>
      </c>
      <c r="B1840" t="s">
        <v>236</v>
      </c>
      <c r="C1840" t="s">
        <v>106</v>
      </c>
      <c r="D1840" t="s">
        <v>16</v>
      </c>
      <c r="E1840" s="9">
        <v>38</v>
      </c>
      <c r="F1840" t="s">
        <v>23</v>
      </c>
      <c r="G1840" t="s">
        <v>13</v>
      </c>
      <c r="H1840" s="7">
        <v>42245</v>
      </c>
      <c r="I1840">
        <v>23308.43</v>
      </c>
      <c r="K1840" s="7"/>
    </row>
    <row r="1841" spans="1:11">
      <c r="A1841">
        <v>300001840</v>
      </c>
      <c r="B1841" t="s">
        <v>319</v>
      </c>
      <c r="C1841" t="s">
        <v>179</v>
      </c>
      <c r="D1841" t="s">
        <v>16</v>
      </c>
      <c r="E1841" s="9">
        <v>34</v>
      </c>
      <c r="F1841" t="s">
        <v>23</v>
      </c>
      <c r="G1841" t="s">
        <v>13</v>
      </c>
      <c r="H1841" s="8">
        <v>42245</v>
      </c>
      <c r="I1841">
        <v>97934.55</v>
      </c>
      <c r="K1841" s="8"/>
    </row>
    <row r="1842" spans="1:11">
      <c r="A1842">
        <v>300001841</v>
      </c>
      <c r="B1842" t="s">
        <v>320</v>
      </c>
      <c r="C1842" t="s">
        <v>125</v>
      </c>
      <c r="D1842" t="s">
        <v>16</v>
      </c>
      <c r="E1842" s="9">
        <v>32</v>
      </c>
      <c r="F1842" t="s">
        <v>23</v>
      </c>
      <c r="G1842" t="s">
        <v>18</v>
      </c>
      <c r="H1842" s="7">
        <v>42245</v>
      </c>
      <c r="I1842">
        <v>33207.29</v>
      </c>
      <c r="K1842" s="7"/>
    </row>
    <row r="1843" spans="1:11">
      <c r="A1843">
        <v>300001842</v>
      </c>
      <c r="B1843" t="s">
        <v>161</v>
      </c>
      <c r="C1843" t="s">
        <v>260</v>
      </c>
      <c r="D1843" t="s">
        <v>16</v>
      </c>
      <c r="E1843" s="9">
        <v>29</v>
      </c>
      <c r="F1843" t="s">
        <v>23</v>
      </c>
      <c r="G1843" t="s">
        <v>13</v>
      </c>
      <c r="H1843" s="8">
        <v>42245</v>
      </c>
      <c r="I1843">
        <v>25049.02</v>
      </c>
      <c r="K1843" s="8"/>
    </row>
    <row r="1844" spans="1:11">
      <c r="A1844">
        <v>300001843</v>
      </c>
      <c r="B1844" t="s">
        <v>245</v>
      </c>
      <c r="C1844" t="s">
        <v>279</v>
      </c>
      <c r="D1844" t="s">
        <v>11</v>
      </c>
      <c r="E1844" s="9">
        <v>33</v>
      </c>
      <c r="F1844" t="s">
        <v>23</v>
      </c>
      <c r="G1844" t="s">
        <v>33</v>
      </c>
      <c r="H1844" s="7">
        <v>42245</v>
      </c>
      <c r="I1844">
        <v>95833.44</v>
      </c>
      <c r="K1844" s="7"/>
    </row>
    <row r="1845" spans="1:11">
      <c r="A1845">
        <v>300001844</v>
      </c>
      <c r="B1845" t="s">
        <v>202</v>
      </c>
      <c r="C1845" t="s">
        <v>247</v>
      </c>
      <c r="D1845" t="s">
        <v>11</v>
      </c>
      <c r="E1845" s="9">
        <v>35</v>
      </c>
      <c r="F1845" t="s">
        <v>23</v>
      </c>
      <c r="G1845" t="s">
        <v>33</v>
      </c>
      <c r="H1845" s="8">
        <v>42245</v>
      </c>
      <c r="I1845">
        <v>78755.009999999995</v>
      </c>
      <c r="K1845" s="8"/>
    </row>
    <row r="1846" spans="1:11">
      <c r="A1846">
        <v>400001845</v>
      </c>
      <c r="B1846" t="s">
        <v>298</v>
      </c>
      <c r="C1846" t="s">
        <v>297</v>
      </c>
      <c r="D1846" t="s">
        <v>16</v>
      </c>
      <c r="E1846" s="9">
        <v>45</v>
      </c>
      <c r="F1846" t="s">
        <v>17</v>
      </c>
      <c r="G1846" t="s">
        <v>33</v>
      </c>
      <c r="H1846" s="7">
        <v>42245</v>
      </c>
      <c r="I1846">
        <v>88579.21</v>
      </c>
      <c r="K1846" s="7"/>
    </row>
    <row r="1847" spans="1:11">
      <c r="A1847">
        <v>100001846</v>
      </c>
      <c r="B1847" t="s">
        <v>262</v>
      </c>
      <c r="C1847" t="s">
        <v>241</v>
      </c>
      <c r="D1847" t="s">
        <v>16</v>
      </c>
      <c r="E1847" s="9">
        <v>30</v>
      </c>
      <c r="F1847" t="s">
        <v>12</v>
      </c>
      <c r="G1847" t="s">
        <v>13</v>
      </c>
      <c r="H1847" s="8">
        <v>42246</v>
      </c>
      <c r="I1847">
        <v>45527.09</v>
      </c>
      <c r="K1847" s="8"/>
    </row>
    <row r="1848" spans="1:11">
      <c r="A1848">
        <v>100001847</v>
      </c>
      <c r="B1848" t="s">
        <v>314</v>
      </c>
      <c r="C1848" t="s">
        <v>275</v>
      </c>
      <c r="D1848" t="s">
        <v>16</v>
      </c>
      <c r="E1848" s="9">
        <v>31</v>
      </c>
      <c r="F1848" t="s">
        <v>12</v>
      </c>
      <c r="G1848" t="s">
        <v>13</v>
      </c>
      <c r="H1848" s="7">
        <v>42246</v>
      </c>
      <c r="I1848">
        <v>44576.62</v>
      </c>
      <c r="K1848" s="7"/>
    </row>
    <row r="1849" spans="1:11">
      <c r="A1849">
        <v>100001848</v>
      </c>
      <c r="B1849" t="s">
        <v>180</v>
      </c>
      <c r="C1849" t="s">
        <v>41</v>
      </c>
      <c r="D1849" t="s">
        <v>16</v>
      </c>
      <c r="E1849" s="9">
        <v>29</v>
      </c>
      <c r="F1849" t="s">
        <v>12</v>
      </c>
      <c r="G1849" t="s">
        <v>13</v>
      </c>
      <c r="H1849" s="8">
        <v>42246</v>
      </c>
      <c r="I1849">
        <v>54174.39</v>
      </c>
      <c r="K1849" s="8"/>
    </row>
    <row r="1850" spans="1:11">
      <c r="A1850">
        <v>100001849</v>
      </c>
      <c r="B1850" t="s">
        <v>107</v>
      </c>
      <c r="C1850" t="s">
        <v>127</v>
      </c>
      <c r="D1850" t="s">
        <v>11</v>
      </c>
      <c r="E1850" s="9">
        <v>33</v>
      </c>
      <c r="F1850" t="s">
        <v>12</v>
      </c>
      <c r="G1850" t="s">
        <v>33</v>
      </c>
      <c r="H1850" s="7">
        <v>42246</v>
      </c>
      <c r="I1850">
        <v>43473.64</v>
      </c>
      <c r="K1850" s="7"/>
    </row>
    <row r="1851" spans="1:11">
      <c r="A1851">
        <v>100001850</v>
      </c>
      <c r="B1851" t="s">
        <v>126</v>
      </c>
      <c r="C1851" t="s">
        <v>138</v>
      </c>
      <c r="D1851" t="s">
        <v>16</v>
      </c>
      <c r="E1851" s="9">
        <v>32</v>
      </c>
      <c r="F1851" t="s">
        <v>12</v>
      </c>
      <c r="G1851" t="s">
        <v>13</v>
      </c>
      <c r="H1851" s="8">
        <v>42246</v>
      </c>
      <c r="I1851">
        <v>52248.29</v>
      </c>
      <c r="K1851" s="8"/>
    </row>
    <row r="1852" spans="1:11">
      <c r="A1852">
        <v>100001851</v>
      </c>
      <c r="B1852" t="s">
        <v>174</v>
      </c>
      <c r="C1852" t="s">
        <v>282</v>
      </c>
      <c r="D1852" t="s">
        <v>11</v>
      </c>
      <c r="E1852" s="9">
        <v>30</v>
      </c>
      <c r="F1852" t="s">
        <v>12</v>
      </c>
      <c r="G1852" t="s">
        <v>13</v>
      </c>
      <c r="H1852" s="7">
        <v>42246</v>
      </c>
      <c r="I1852">
        <v>34879.769999999997</v>
      </c>
      <c r="K1852" s="7"/>
    </row>
    <row r="1853" spans="1:11">
      <c r="A1853">
        <v>100001852</v>
      </c>
      <c r="B1853" t="s">
        <v>191</v>
      </c>
      <c r="C1853" t="s">
        <v>58</v>
      </c>
      <c r="D1853" t="s">
        <v>11</v>
      </c>
      <c r="E1853" s="9">
        <v>31</v>
      </c>
      <c r="F1853" t="s">
        <v>12</v>
      </c>
      <c r="G1853" t="s">
        <v>13</v>
      </c>
      <c r="H1853" s="8">
        <v>42246</v>
      </c>
      <c r="I1853">
        <v>58911.42</v>
      </c>
      <c r="K1853" s="8"/>
    </row>
    <row r="1854" spans="1:11">
      <c r="A1854">
        <v>100001853</v>
      </c>
      <c r="B1854" t="s">
        <v>57</v>
      </c>
      <c r="C1854" t="s">
        <v>37</v>
      </c>
      <c r="D1854" t="s">
        <v>11</v>
      </c>
      <c r="E1854" s="9">
        <v>33</v>
      </c>
      <c r="F1854" t="s">
        <v>12</v>
      </c>
      <c r="G1854" t="s">
        <v>13</v>
      </c>
      <c r="H1854" s="7">
        <v>42246</v>
      </c>
      <c r="I1854">
        <v>96422.41</v>
      </c>
      <c r="K1854" s="7"/>
    </row>
    <row r="1855" spans="1:11">
      <c r="A1855">
        <v>100001854</v>
      </c>
      <c r="B1855" t="s">
        <v>110</v>
      </c>
      <c r="C1855" t="s">
        <v>305</v>
      </c>
      <c r="D1855" t="s">
        <v>16</v>
      </c>
      <c r="E1855" s="9">
        <v>30</v>
      </c>
      <c r="F1855" t="s">
        <v>12</v>
      </c>
      <c r="G1855" t="s">
        <v>13</v>
      </c>
      <c r="H1855" s="8">
        <v>42246</v>
      </c>
      <c r="I1855">
        <v>57333.77</v>
      </c>
      <c r="K1855" s="8"/>
    </row>
    <row r="1856" spans="1:11">
      <c r="A1856">
        <v>300001855</v>
      </c>
      <c r="B1856" t="s">
        <v>268</v>
      </c>
      <c r="C1856" t="s">
        <v>260</v>
      </c>
      <c r="D1856" t="s">
        <v>16</v>
      </c>
      <c r="E1856" s="9">
        <v>27</v>
      </c>
      <c r="F1856" t="s">
        <v>23</v>
      </c>
      <c r="G1856" t="s">
        <v>33</v>
      </c>
      <c r="H1856" s="7">
        <v>42246</v>
      </c>
      <c r="I1856">
        <v>40857.78</v>
      </c>
      <c r="K1856" s="7"/>
    </row>
    <row r="1857" spans="1:11">
      <c r="A1857">
        <v>300001856</v>
      </c>
      <c r="B1857" t="s">
        <v>192</v>
      </c>
      <c r="C1857" t="s">
        <v>279</v>
      </c>
      <c r="D1857" t="s">
        <v>16</v>
      </c>
      <c r="E1857" s="9">
        <v>30</v>
      </c>
      <c r="F1857" t="s">
        <v>23</v>
      </c>
      <c r="G1857" t="s">
        <v>13</v>
      </c>
      <c r="H1857" s="8">
        <v>42246</v>
      </c>
      <c r="I1857">
        <v>69152.929999999993</v>
      </c>
      <c r="K1857" s="8"/>
    </row>
    <row r="1858" spans="1:11">
      <c r="A1858">
        <v>300001857</v>
      </c>
      <c r="B1858" t="s">
        <v>30</v>
      </c>
      <c r="C1858" t="s">
        <v>136</v>
      </c>
      <c r="D1858" t="s">
        <v>16</v>
      </c>
      <c r="E1858" s="9">
        <v>47</v>
      </c>
      <c r="F1858" t="s">
        <v>23</v>
      </c>
      <c r="G1858" t="s">
        <v>13</v>
      </c>
      <c r="H1858" s="7">
        <v>42246</v>
      </c>
      <c r="I1858">
        <v>3840.53</v>
      </c>
      <c r="K1858" s="7"/>
    </row>
    <row r="1859" spans="1:11">
      <c r="A1859">
        <v>300001858</v>
      </c>
      <c r="B1859" t="s">
        <v>101</v>
      </c>
      <c r="C1859" t="s">
        <v>274</v>
      </c>
      <c r="D1859" t="s">
        <v>11</v>
      </c>
      <c r="E1859" s="9">
        <v>57</v>
      </c>
      <c r="F1859" t="s">
        <v>23</v>
      </c>
      <c r="G1859" t="s">
        <v>33</v>
      </c>
      <c r="H1859" s="8">
        <v>42246</v>
      </c>
      <c r="I1859">
        <v>69281.64</v>
      </c>
      <c r="K1859" s="8"/>
    </row>
    <row r="1860" spans="1:11">
      <c r="A1860">
        <v>100001859</v>
      </c>
      <c r="B1860" t="s">
        <v>194</v>
      </c>
      <c r="C1860" t="s">
        <v>69</v>
      </c>
      <c r="D1860" t="s">
        <v>16</v>
      </c>
      <c r="E1860" s="9">
        <v>35</v>
      </c>
      <c r="F1860" t="s">
        <v>12</v>
      </c>
      <c r="G1860" t="s">
        <v>13</v>
      </c>
      <c r="H1860" s="7">
        <v>42247</v>
      </c>
      <c r="I1860">
        <v>4750.24</v>
      </c>
      <c r="K1860" s="7"/>
    </row>
    <row r="1861" spans="1:11">
      <c r="A1861">
        <v>100001860</v>
      </c>
      <c r="B1861" t="s">
        <v>46</v>
      </c>
      <c r="C1861" t="s">
        <v>290</v>
      </c>
      <c r="D1861" t="s">
        <v>11</v>
      </c>
      <c r="E1861" s="9">
        <v>40</v>
      </c>
      <c r="F1861" t="s">
        <v>12</v>
      </c>
      <c r="G1861" t="s">
        <v>13</v>
      </c>
      <c r="H1861" s="8">
        <v>42247</v>
      </c>
      <c r="I1861">
        <v>82664.039999999994</v>
      </c>
      <c r="K1861" s="8"/>
    </row>
    <row r="1862" spans="1:11">
      <c r="A1862">
        <v>100001861</v>
      </c>
      <c r="B1862" t="s">
        <v>264</v>
      </c>
      <c r="C1862" t="s">
        <v>71</v>
      </c>
      <c r="D1862" t="s">
        <v>11</v>
      </c>
      <c r="E1862" s="9">
        <v>26</v>
      </c>
      <c r="F1862" t="s">
        <v>12</v>
      </c>
      <c r="G1862" t="s">
        <v>33</v>
      </c>
      <c r="H1862" s="7">
        <v>42247</v>
      </c>
      <c r="I1862">
        <v>57623.58</v>
      </c>
      <c r="K1862" s="7"/>
    </row>
    <row r="1863" spans="1:11">
      <c r="A1863">
        <v>100001862</v>
      </c>
      <c r="B1863" t="s">
        <v>311</v>
      </c>
      <c r="C1863" t="s">
        <v>136</v>
      </c>
      <c r="D1863" t="s">
        <v>11</v>
      </c>
      <c r="E1863" s="9">
        <v>35</v>
      </c>
      <c r="F1863" t="s">
        <v>12</v>
      </c>
      <c r="G1863" t="s">
        <v>13</v>
      </c>
      <c r="H1863" s="8">
        <v>42247</v>
      </c>
      <c r="I1863">
        <v>19680.669999999998</v>
      </c>
      <c r="K1863" s="8"/>
    </row>
    <row r="1864" spans="1:11">
      <c r="A1864">
        <v>100001863</v>
      </c>
      <c r="B1864" t="s">
        <v>265</v>
      </c>
      <c r="C1864" t="s">
        <v>295</v>
      </c>
      <c r="D1864" t="s">
        <v>16</v>
      </c>
      <c r="E1864" s="9">
        <v>36</v>
      </c>
      <c r="F1864" t="s">
        <v>12</v>
      </c>
      <c r="G1864" t="s">
        <v>13</v>
      </c>
      <c r="H1864" s="7">
        <v>42247</v>
      </c>
      <c r="I1864">
        <v>2566.77</v>
      </c>
      <c r="K1864" s="7"/>
    </row>
    <row r="1865" spans="1:11">
      <c r="A1865">
        <v>100001864</v>
      </c>
      <c r="B1865" t="s">
        <v>119</v>
      </c>
      <c r="C1865" t="s">
        <v>315</v>
      </c>
      <c r="D1865" t="s">
        <v>16</v>
      </c>
      <c r="E1865" s="9">
        <v>28</v>
      </c>
      <c r="F1865" t="s">
        <v>12</v>
      </c>
      <c r="G1865" t="s">
        <v>13</v>
      </c>
      <c r="H1865" s="8">
        <v>42247</v>
      </c>
      <c r="I1865">
        <v>20894.82</v>
      </c>
      <c r="K1865" s="8"/>
    </row>
    <row r="1866" spans="1:11">
      <c r="A1866">
        <v>100001865</v>
      </c>
      <c r="B1866" t="s">
        <v>171</v>
      </c>
      <c r="C1866" t="s">
        <v>164</v>
      </c>
      <c r="D1866" t="s">
        <v>16</v>
      </c>
      <c r="E1866" s="9">
        <v>36</v>
      </c>
      <c r="F1866" t="s">
        <v>12</v>
      </c>
      <c r="G1866" t="s">
        <v>13</v>
      </c>
      <c r="H1866" s="7">
        <v>42247</v>
      </c>
      <c r="I1866">
        <v>61324.68</v>
      </c>
      <c r="K1866" s="7"/>
    </row>
    <row r="1867" spans="1:11">
      <c r="A1867">
        <v>200001866</v>
      </c>
      <c r="B1867" t="s">
        <v>57</v>
      </c>
      <c r="C1867" t="s">
        <v>259</v>
      </c>
      <c r="D1867" t="s">
        <v>11</v>
      </c>
      <c r="E1867" s="9">
        <v>40</v>
      </c>
      <c r="F1867" t="s">
        <v>32</v>
      </c>
      <c r="G1867" t="s">
        <v>18</v>
      </c>
      <c r="H1867" s="8">
        <v>42247</v>
      </c>
      <c r="I1867">
        <v>99604.38</v>
      </c>
      <c r="K1867" s="8"/>
    </row>
    <row r="1868" spans="1:11">
      <c r="A1868">
        <v>200001867</v>
      </c>
      <c r="B1868" t="s">
        <v>273</v>
      </c>
      <c r="C1868" t="s">
        <v>281</v>
      </c>
      <c r="D1868" t="s">
        <v>11</v>
      </c>
      <c r="E1868" s="9">
        <v>48</v>
      </c>
      <c r="F1868" t="s">
        <v>32</v>
      </c>
      <c r="G1868" t="s">
        <v>13</v>
      </c>
      <c r="H1868" s="7">
        <v>42247</v>
      </c>
      <c r="I1868">
        <v>55410.06</v>
      </c>
      <c r="K1868" s="7"/>
    </row>
    <row r="1869" spans="1:11">
      <c r="A1869">
        <v>200001868</v>
      </c>
      <c r="B1869" t="s">
        <v>324</v>
      </c>
      <c r="C1869" t="s">
        <v>275</v>
      </c>
      <c r="D1869" t="s">
        <v>16</v>
      </c>
      <c r="E1869" s="9">
        <v>48</v>
      </c>
      <c r="F1869" t="s">
        <v>32</v>
      </c>
      <c r="G1869" t="s">
        <v>33</v>
      </c>
      <c r="H1869" s="8">
        <v>42247</v>
      </c>
      <c r="I1869">
        <v>39884.78</v>
      </c>
      <c r="K1869" s="8"/>
    </row>
    <row r="1870" spans="1:11">
      <c r="A1870">
        <v>200001869</v>
      </c>
      <c r="B1870" t="s">
        <v>204</v>
      </c>
      <c r="C1870" t="s">
        <v>272</v>
      </c>
      <c r="D1870" t="s">
        <v>11</v>
      </c>
      <c r="E1870" s="9">
        <v>59</v>
      </c>
      <c r="F1870" t="s">
        <v>32</v>
      </c>
      <c r="G1870" t="s">
        <v>33</v>
      </c>
      <c r="H1870" s="7">
        <v>42247</v>
      </c>
      <c r="I1870">
        <v>50189.26</v>
      </c>
      <c r="K1870" s="7"/>
    </row>
    <row r="1871" spans="1:11">
      <c r="A1871">
        <v>200001870</v>
      </c>
      <c r="B1871" t="s">
        <v>60</v>
      </c>
      <c r="C1871" t="s">
        <v>238</v>
      </c>
      <c r="D1871" t="s">
        <v>11</v>
      </c>
      <c r="E1871" s="9">
        <v>55</v>
      </c>
      <c r="F1871" t="s">
        <v>32</v>
      </c>
      <c r="G1871" t="s">
        <v>18</v>
      </c>
      <c r="H1871" s="8">
        <v>42247</v>
      </c>
      <c r="I1871">
        <v>71796.679999999993</v>
      </c>
      <c r="K1871" s="8"/>
    </row>
    <row r="1872" spans="1:11">
      <c r="A1872">
        <v>200001871</v>
      </c>
      <c r="B1872" t="s">
        <v>129</v>
      </c>
      <c r="C1872" t="s">
        <v>282</v>
      </c>
      <c r="D1872" t="s">
        <v>11</v>
      </c>
      <c r="E1872" s="9">
        <v>46</v>
      </c>
      <c r="F1872" t="s">
        <v>32</v>
      </c>
      <c r="G1872" t="s">
        <v>33</v>
      </c>
      <c r="H1872" s="7">
        <v>42247</v>
      </c>
      <c r="I1872">
        <v>16842.71</v>
      </c>
      <c r="K1872" s="7"/>
    </row>
    <row r="1873" spans="1:11">
      <c r="A1873">
        <v>300001872</v>
      </c>
      <c r="B1873" t="s">
        <v>218</v>
      </c>
      <c r="C1873" t="s">
        <v>82</v>
      </c>
      <c r="D1873" t="s">
        <v>11</v>
      </c>
      <c r="E1873" s="9">
        <v>23</v>
      </c>
      <c r="F1873" t="s">
        <v>23</v>
      </c>
      <c r="G1873" t="s">
        <v>18</v>
      </c>
      <c r="H1873" s="8">
        <v>42247</v>
      </c>
      <c r="I1873">
        <v>68184.25</v>
      </c>
      <c r="K1873" s="8"/>
    </row>
    <row r="1874" spans="1:11">
      <c r="A1874">
        <v>300001873</v>
      </c>
      <c r="B1874" t="s">
        <v>287</v>
      </c>
      <c r="C1874" t="s">
        <v>242</v>
      </c>
      <c r="D1874" t="s">
        <v>16</v>
      </c>
      <c r="E1874" s="9">
        <v>26</v>
      </c>
      <c r="F1874" t="s">
        <v>23</v>
      </c>
      <c r="G1874" t="s">
        <v>33</v>
      </c>
      <c r="H1874" s="7">
        <v>42247</v>
      </c>
      <c r="I1874">
        <v>31028.36</v>
      </c>
      <c r="K1874" s="7"/>
    </row>
    <row r="1875" spans="1:11">
      <c r="A1875">
        <v>300001874</v>
      </c>
      <c r="B1875" t="s">
        <v>57</v>
      </c>
      <c r="C1875" t="s">
        <v>136</v>
      </c>
      <c r="D1875" t="s">
        <v>11</v>
      </c>
      <c r="E1875" s="9">
        <v>42</v>
      </c>
      <c r="F1875" t="s">
        <v>23</v>
      </c>
      <c r="G1875" t="s">
        <v>13</v>
      </c>
      <c r="H1875" s="8">
        <v>42247</v>
      </c>
      <c r="I1875">
        <v>80922.09</v>
      </c>
      <c r="K1875" s="8"/>
    </row>
    <row r="1876" spans="1:11">
      <c r="A1876">
        <v>100001875</v>
      </c>
      <c r="B1876" t="s">
        <v>312</v>
      </c>
      <c r="C1876" t="s">
        <v>179</v>
      </c>
      <c r="D1876" t="s">
        <v>11</v>
      </c>
      <c r="E1876" s="9">
        <v>40</v>
      </c>
      <c r="F1876" t="s">
        <v>12</v>
      </c>
      <c r="G1876" t="s">
        <v>18</v>
      </c>
      <c r="H1876" s="7">
        <v>42248</v>
      </c>
      <c r="I1876">
        <v>37812.730000000003</v>
      </c>
      <c r="K1876" s="7"/>
    </row>
    <row r="1877" spans="1:11">
      <c r="A1877">
        <v>100001876</v>
      </c>
      <c r="B1877" t="s">
        <v>296</v>
      </c>
      <c r="C1877" t="s">
        <v>80</v>
      </c>
      <c r="D1877" t="s">
        <v>11</v>
      </c>
      <c r="E1877" s="9">
        <v>46</v>
      </c>
      <c r="F1877" t="s">
        <v>12</v>
      </c>
      <c r="G1877" t="s">
        <v>13</v>
      </c>
      <c r="H1877" s="8">
        <v>42248</v>
      </c>
      <c r="I1877">
        <v>47359.83</v>
      </c>
      <c r="K1877" s="8"/>
    </row>
    <row r="1878" spans="1:11">
      <c r="A1878">
        <v>100001877</v>
      </c>
      <c r="B1878" t="s">
        <v>34</v>
      </c>
      <c r="C1878" t="s">
        <v>310</v>
      </c>
      <c r="D1878" t="s">
        <v>16</v>
      </c>
      <c r="E1878" s="9">
        <v>41</v>
      </c>
      <c r="F1878" t="s">
        <v>12</v>
      </c>
      <c r="G1878" t="s">
        <v>13</v>
      </c>
      <c r="H1878" s="7">
        <v>42248</v>
      </c>
      <c r="I1878">
        <v>24927.19</v>
      </c>
      <c r="K1878" s="7"/>
    </row>
    <row r="1879" spans="1:11">
      <c r="A1879">
        <v>100001878</v>
      </c>
      <c r="B1879" t="s">
        <v>256</v>
      </c>
      <c r="C1879" t="s">
        <v>172</v>
      </c>
      <c r="D1879" t="s">
        <v>16</v>
      </c>
      <c r="E1879" s="9">
        <v>31</v>
      </c>
      <c r="F1879" t="s">
        <v>12</v>
      </c>
      <c r="G1879" t="s">
        <v>18</v>
      </c>
      <c r="H1879" s="8">
        <v>42248</v>
      </c>
      <c r="I1879">
        <v>38379.599999999999</v>
      </c>
      <c r="K1879" s="8"/>
    </row>
    <row r="1880" spans="1:11">
      <c r="A1880">
        <v>100001879</v>
      </c>
      <c r="B1880" t="s">
        <v>81</v>
      </c>
      <c r="C1880" t="s">
        <v>43</v>
      </c>
      <c r="D1880" t="s">
        <v>16</v>
      </c>
      <c r="E1880" s="9">
        <v>37</v>
      </c>
      <c r="F1880" t="s">
        <v>12</v>
      </c>
      <c r="G1880" t="s">
        <v>18</v>
      </c>
      <c r="H1880" s="7">
        <v>42248</v>
      </c>
      <c r="I1880">
        <v>74238.83</v>
      </c>
      <c r="K1880" s="7"/>
    </row>
    <row r="1881" spans="1:11">
      <c r="A1881">
        <v>100001880</v>
      </c>
      <c r="B1881" t="s">
        <v>188</v>
      </c>
      <c r="C1881" t="s">
        <v>167</v>
      </c>
      <c r="D1881" t="s">
        <v>11</v>
      </c>
      <c r="E1881" s="9">
        <v>36</v>
      </c>
      <c r="F1881" t="s">
        <v>12</v>
      </c>
      <c r="G1881" t="s">
        <v>13</v>
      </c>
      <c r="H1881" s="8">
        <v>42248</v>
      </c>
      <c r="I1881">
        <v>14699.68</v>
      </c>
      <c r="K1881" s="8"/>
    </row>
    <row r="1882" spans="1:11">
      <c r="A1882">
        <v>100001881</v>
      </c>
      <c r="B1882" t="s">
        <v>154</v>
      </c>
      <c r="C1882" t="s">
        <v>187</v>
      </c>
      <c r="D1882" t="s">
        <v>16</v>
      </c>
      <c r="E1882" s="9">
        <v>44</v>
      </c>
      <c r="F1882" t="s">
        <v>12</v>
      </c>
      <c r="G1882" t="s">
        <v>33</v>
      </c>
      <c r="H1882" s="7">
        <v>42248</v>
      </c>
      <c r="I1882">
        <v>52619.82</v>
      </c>
      <c r="K1882" s="7"/>
    </row>
    <row r="1883" spans="1:11">
      <c r="A1883">
        <v>100001882</v>
      </c>
      <c r="B1883" t="s">
        <v>191</v>
      </c>
      <c r="C1883" t="s">
        <v>201</v>
      </c>
      <c r="D1883" t="s">
        <v>11</v>
      </c>
      <c r="E1883" s="9">
        <v>19</v>
      </c>
      <c r="F1883" t="s">
        <v>12</v>
      </c>
      <c r="G1883" t="s">
        <v>13</v>
      </c>
      <c r="H1883" s="8">
        <v>42248</v>
      </c>
      <c r="I1883">
        <v>75913.850000000006</v>
      </c>
      <c r="K1883" s="8"/>
    </row>
    <row r="1884" spans="1:11">
      <c r="A1884">
        <v>100001883</v>
      </c>
      <c r="B1884" t="s">
        <v>283</v>
      </c>
      <c r="C1884" t="s">
        <v>29</v>
      </c>
      <c r="D1884" t="s">
        <v>11</v>
      </c>
      <c r="E1884" s="9">
        <v>25</v>
      </c>
      <c r="F1884" t="s">
        <v>12</v>
      </c>
      <c r="G1884" t="s">
        <v>13</v>
      </c>
      <c r="H1884" s="7">
        <v>42248</v>
      </c>
      <c r="I1884">
        <v>78020.289999999994</v>
      </c>
      <c r="K1884" s="7"/>
    </row>
    <row r="1885" spans="1:11">
      <c r="A1885">
        <v>200001884</v>
      </c>
      <c r="B1885" t="s">
        <v>250</v>
      </c>
      <c r="C1885" t="s">
        <v>247</v>
      </c>
      <c r="D1885" t="s">
        <v>16</v>
      </c>
      <c r="E1885" s="9">
        <v>44</v>
      </c>
      <c r="F1885" t="s">
        <v>32</v>
      </c>
      <c r="G1885" t="s">
        <v>33</v>
      </c>
      <c r="H1885" s="8">
        <v>42248</v>
      </c>
      <c r="I1885">
        <v>2799.27</v>
      </c>
      <c r="K1885" s="8"/>
    </row>
    <row r="1886" spans="1:11">
      <c r="A1886">
        <v>300001885</v>
      </c>
      <c r="B1886" t="s">
        <v>283</v>
      </c>
      <c r="C1886" t="s">
        <v>77</v>
      </c>
      <c r="D1886" t="s">
        <v>11</v>
      </c>
      <c r="E1886" s="9">
        <v>32</v>
      </c>
      <c r="F1886" t="s">
        <v>23</v>
      </c>
      <c r="G1886" t="s">
        <v>13</v>
      </c>
      <c r="H1886" s="7">
        <v>42248</v>
      </c>
      <c r="I1886">
        <v>10728.12</v>
      </c>
      <c r="K1886" s="7"/>
    </row>
    <row r="1887" spans="1:11">
      <c r="A1887">
        <v>300001886</v>
      </c>
      <c r="B1887" t="s">
        <v>30</v>
      </c>
      <c r="C1887" t="s">
        <v>233</v>
      </c>
      <c r="D1887" t="s">
        <v>16</v>
      </c>
      <c r="E1887" s="9">
        <v>34</v>
      </c>
      <c r="F1887" t="s">
        <v>23</v>
      </c>
      <c r="G1887" t="s">
        <v>13</v>
      </c>
      <c r="H1887" s="8">
        <v>42248</v>
      </c>
      <c r="I1887">
        <v>49859.68</v>
      </c>
      <c r="K1887" s="8"/>
    </row>
    <row r="1888" spans="1:11">
      <c r="A1888">
        <v>100001887</v>
      </c>
      <c r="B1888" t="s">
        <v>19</v>
      </c>
      <c r="C1888" t="s">
        <v>227</v>
      </c>
      <c r="D1888" t="s">
        <v>11</v>
      </c>
      <c r="E1888" s="9">
        <v>40</v>
      </c>
      <c r="F1888" t="s">
        <v>12</v>
      </c>
      <c r="G1888" t="s">
        <v>13</v>
      </c>
      <c r="H1888" s="7">
        <v>42249</v>
      </c>
      <c r="I1888">
        <v>107130.48</v>
      </c>
      <c r="K1888" s="7"/>
    </row>
    <row r="1889" spans="1:11">
      <c r="A1889">
        <v>100001888</v>
      </c>
      <c r="B1889" t="s">
        <v>149</v>
      </c>
      <c r="C1889" t="s">
        <v>109</v>
      </c>
      <c r="D1889" t="s">
        <v>16</v>
      </c>
      <c r="E1889" s="9">
        <v>33</v>
      </c>
      <c r="F1889" t="s">
        <v>12</v>
      </c>
      <c r="G1889" t="s">
        <v>13</v>
      </c>
      <c r="H1889" s="8">
        <v>42249</v>
      </c>
      <c r="I1889">
        <v>14301.43</v>
      </c>
      <c r="K1889" s="8"/>
    </row>
    <row r="1890" spans="1:11">
      <c r="A1890">
        <v>100001889</v>
      </c>
      <c r="B1890" t="s">
        <v>300</v>
      </c>
      <c r="C1890" t="s">
        <v>325</v>
      </c>
      <c r="D1890" t="s">
        <v>16</v>
      </c>
      <c r="E1890" s="9">
        <v>34</v>
      </c>
      <c r="F1890" t="s">
        <v>12</v>
      </c>
      <c r="G1890" t="s">
        <v>13</v>
      </c>
      <c r="H1890" s="7">
        <v>42249</v>
      </c>
      <c r="I1890">
        <v>107351.49</v>
      </c>
      <c r="K1890" s="7"/>
    </row>
    <row r="1891" spans="1:11">
      <c r="A1891">
        <v>200001890</v>
      </c>
      <c r="B1891" t="s">
        <v>139</v>
      </c>
      <c r="C1891" t="s">
        <v>239</v>
      </c>
      <c r="D1891" t="s">
        <v>16</v>
      </c>
      <c r="E1891" s="9">
        <v>62</v>
      </c>
      <c r="F1891" t="s">
        <v>32</v>
      </c>
      <c r="G1891" t="s">
        <v>33</v>
      </c>
      <c r="H1891" s="8">
        <v>42249</v>
      </c>
      <c r="I1891">
        <v>86610.74</v>
      </c>
      <c r="K1891" s="8"/>
    </row>
    <row r="1892" spans="1:11">
      <c r="A1892">
        <v>200001891</v>
      </c>
      <c r="B1892" t="s">
        <v>175</v>
      </c>
      <c r="C1892" t="s">
        <v>45</v>
      </c>
      <c r="D1892" t="s">
        <v>11</v>
      </c>
      <c r="E1892" s="9">
        <v>47</v>
      </c>
      <c r="F1892" t="s">
        <v>32</v>
      </c>
      <c r="G1892" t="s">
        <v>18</v>
      </c>
      <c r="H1892" s="7">
        <v>42249</v>
      </c>
      <c r="I1892">
        <v>59561.46</v>
      </c>
      <c r="K1892" s="7"/>
    </row>
    <row r="1893" spans="1:11">
      <c r="A1893">
        <v>200001892</v>
      </c>
      <c r="B1893" t="s">
        <v>164</v>
      </c>
      <c r="C1893" t="s">
        <v>49</v>
      </c>
      <c r="D1893" t="s">
        <v>11</v>
      </c>
      <c r="E1893" s="9">
        <v>41</v>
      </c>
      <c r="F1893" t="s">
        <v>32</v>
      </c>
      <c r="G1893" t="s">
        <v>18</v>
      </c>
      <c r="H1893" s="8">
        <v>42249</v>
      </c>
      <c r="I1893">
        <v>34985.760000000002</v>
      </c>
      <c r="K1893" s="8"/>
    </row>
    <row r="1894" spans="1:11">
      <c r="A1894">
        <v>300001893</v>
      </c>
      <c r="B1894" t="s">
        <v>97</v>
      </c>
      <c r="C1894" t="s">
        <v>227</v>
      </c>
      <c r="D1894" t="s">
        <v>16</v>
      </c>
      <c r="E1894" s="9">
        <v>35</v>
      </c>
      <c r="F1894" t="s">
        <v>23</v>
      </c>
      <c r="G1894" t="s">
        <v>18</v>
      </c>
      <c r="H1894" s="7">
        <v>42249</v>
      </c>
      <c r="I1894">
        <v>41917.78</v>
      </c>
      <c r="K1894" s="7"/>
    </row>
    <row r="1895" spans="1:11">
      <c r="A1895">
        <v>100001894</v>
      </c>
      <c r="B1895" t="s">
        <v>308</v>
      </c>
      <c r="C1895" t="s">
        <v>212</v>
      </c>
      <c r="D1895" t="s">
        <v>16</v>
      </c>
      <c r="E1895" s="9">
        <v>34</v>
      </c>
      <c r="F1895" t="s">
        <v>12</v>
      </c>
      <c r="G1895" t="s">
        <v>13</v>
      </c>
      <c r="H1895" s="8">
        <v>42250</v>
      </c>
      <c r="I1895">
        <v>95423</v>
      </c>
      <c r="K1895" s="8"/>
    </row>
    <row r="1896" spans="1:11">
      <c r="A1896">
        <v>100001895</v>
      </c>
      <c r="B1896" t="s">
        <v>149</v>
      </c>
      <c r="C1896" t="s">
        <v>281</v>
      </c>
      <c r="D1896" t="s">
        <v>16</v>
      </c>
      <c r="E1896" s="9">
        <v>39</v>
      </c>
      <c r="F1896" t="s">
        <v>12</v>
      </c>
      <c r="G1896" t="s">
        <v>18</v>
      </c>
      <c r="H1896" s="7">
        <v>42250</v>
      </c>
      <c r="I1896">
        <v>54045.93</v>
      </c>
      <c r="K1896" s="7"/>
    </row>
    <row r="1897" spans="1:11">
      <c r="A1897">
        <v>100001896</v>
      </c>
      <c r="B1897" t="s">
        <v>311</v>
      </c>
      <c r="C1897" t="s">
        <v>162</v>
      </c>
      <c r="D1897" t="s">
        <v>11</v>
      </c>
      <c r="E1897" s="9">
        <v>33</v>
      </c>
      <c r="F1897" t="s">
        <v>12</v>
      </c>
      <c r="G1897" t="s">
        <v>13</v>
      </c>
      <c r="H1897" s="8">
        <v>42250</v>
      </c>
      <c r="I1897">
        <v>24025.119999999999</v>
      </c>
      <c r="K1897" s="8"/>
    </row>
    <row r="1898" spans="1:11">
      <c r="A1898">
        <v>100001897</v>
      </c>
      <c r="B1898" t="s">
        <v>103</v>
      </c>
      <c r="C1898" t="s">
        <v>73</v>
      </c>
      <c r="D1898" t="s">
        <v>11</v>
      </c>
      <c r="E1898" s="9">
        <v>36</v>
      </c>
      <c r="F1898" t="s">
        <v>12</v>
      </c>
      <c r="G1898" t="s">
        <v>13</v>
      </c>
      <c r="H1898" s="7">
        <v>42250</v>
      </c>
      <c r="I1898">
        <v>9780.7900000000009</v>
      </c>
      <c r="K1898" s="7"/>
    </row>
    <row r="1899" spans="1:11">
      <c r="A1899">
        <v>100001898</v>
      </c>
      <c r="B1899" t="s">
        <v>280</v>
      </c>
      <c r="C1899" t="s">
        <v>196</v>
      </c>
      <c r="D1899" t="s">
        <v>11</v>
      </c>
      <c r="E1899" s="9">
        <v>32</v>
      </c>
      <c r="F1899" t="s">
        <v>12</v>
      </c>
      <c r="G1899" t="s">
        <v>13</v>
      </c>
      <c r="H1899" s="8">
        <v>42250</v>
      </c>
      <c r="I1899">
        <v>31681.14</v>
      </c>
      <c r="K1899" s="8"/>
    </row>
    <row r="1900" spans="1:11">
      <c r="A1900">
        <v>100001899</v>
      </c>
      <c r="B1900" t="s">
        <v>30</v>
      </c>
      <c r="C1900" t="s">
        <v>295</v>
      </c>
      <c r="D1900" t="s">
        <v>16</v>
      </c>
      <c r="E1900" s="9">
        <v>24</v>
      </c>
      <c r="F1900" t="s">
        <v>12</v>
      </c>
      <c r="G1900" t="s">
        <v>13</v>
      </c>
      <c r="H1900" s="7">
        <v>42250</v>
      </c>
      <c r="I1900">
        <v>71148.77</v>
      </c>
      <c r="K1900" s="7"/>
    </row>
    <row r="1901" spans="1:11">
      <c r="A1901">
        <v>200001900</v>
      </c>
      <c r="B1901" t="s">
        <v>111</v>
      </c>
      <c r="C1901" t="s">
        <v>29</v>
      </c>
      <c r="D1901" t="s">
        <v>11</v>
      </c>
      <c r="E1901" s="9">
        <v>50</v>
      </c>
      <c r="F1901" t="s">
        <v>32</v>
      </c>
      <c r="G1901" t="s">
        <v>33</v>
      </c>
      <c r="H1901" s="8">
        <v>42250</v>
      </c>
      <c r="I1901">
        <v>67946.539999999994</v>
      </c>
      <c r="K1901" s="8"/>
    </row>
    <row r="1902" spans="1:11">
      <c r="A1902">
        <v>200001901</v>
      </c>
      <c r="B1902" t="s">
        <v>197</v>
      </c>
      <c r="C1902" t="s">
        <v>233</v>
      </c>
      <c r="D1902" t="s">
        <v>11</v>
      </c>
      <c r="E1902" s="9">
        <v>50</v>
      </c>
      <c r="F1902" t="s">
        <v>32</v>
      </c>
      <c r="G1902" t="s">
        <v>33</v>
      </c>
      <c r="H1902" s="7">
        <v>42250</v>
      </c>
      <c r="I1902">
        <v>6400.76</v>
      </c>
      <c r="K1902" s="7"/>
    </row>
    <row r="1903" spans="1:11">
      <c r="A1903">
        <v>200001902</v>
      </c>
      <c r="B1903" t="s">
        <v>202</v>
      </c>
      <c r="C1903" t="s">
        <v>294</v>
      </c>
      <c r="D1903" t="s">
        <v>11</v>
      </c>
      <c r="E1903" s="9">
        <v>60</v>
      </c>
      <c r="F1903" t="s">
        <v>32</v>
      </c>
      <c r="G1903" t="s">
        <v>18</v>
      </c>
      <c r="H1903" s="8">
        <v>42250</v>
      </c>
      <c r="I1903">
        <v>6961.67</v>
      </c>
      <c r="K1903" s="8"/>
    </row>
    <row r="1904" spans="1:11">
      <c r="A1904">
        <v>200001903</v>
      </c>
      <c r="B1904" t="s">
        <v>197</v>
      </c>
      <c r="C1904" t="s">
        <v>88</v>
      </c>
      <c r="D1904" t="s">
        <v>11</v>
      </c>
      <c r="E1904" s="9">
        <v>43</v>
      </c>
      <c r="F1904" t="s">
        <v>32</v>
      </c>
      <c r="G1904" t="s">
        <v>18</v>
      </c>
      <c r="H1904" s="7">
        <v>42250</v>
      </c>
      <c r="I1904">
        <v>83943.55</v>
      </c>
      <c r="K1904" s="7"/>
    </row>
    <row r="1905" spans="1:11">
      <c r="A1905">
        <v>200001904</v>
      </c>
      <c r="B1905" t="s">
        <v>92</v>
      </c>
      <c r="C1905" t="s">
        <v>275</v>
      </c>
      <c r="D1905" t="s">
        <v>16</v>
      </c>
      <c r="E1905" s="9">
        <v>50</v>
      </c>
      <c r="F1905" t="s">
        <v>32</v>
      </c>
      <c r="G1905" t="s">
        <v>33</v>
      </c>
      <c r="H1905" s="8">
        <v>42250</v>
      </c>
      <c r="I1905">
        <v>48266.76</v>
      </c>
      <c r="K1905" s="8"/>
    </row>
    <row r="1906" spans="1:11">
      <c r="A1906">
        <v>200001905</v>
      </c>
      <c r="B1906" t="s">
        <v>139</v>
      </c>
      <c r="C1906" t="s">
        <v>160</v>
      </c>
      <c r="D1906" t="s">
        <v>16</v>
      </c>
      <c r="E1906" s="9">
        <v>59</v>
      </c>
      <c r="F1906" t="s">
        <v>32</v>
      </c>
      <c r="G1906" t="s">
        <v>33</v>
      </c>
      <c r="H1906" s="7">
        <v>42250</v>
      </c>
      <c r="I1906">
        <v>99970.31</v>
      </c>
      <c r="K1906" s="7"/>
    </row>
    <row r="1907" spans="1:11">
      <c r="A1907">
        <v>400001906</v>
      </c>
      <c r="B1907" t="s">
        <v>68</v>
      </c>
      <c r="C1907" t="s">
        <v>106</v>
      </c>
      <c r="D1907" t="s">
        <v>16</v>
      </c>
      <c r="E1907" s="9">
        <v>28</v>
      </c>
      <c r="F1907" t="s">
        <v>17</v>
      </c>
      <c r="G1907" t="s">
        <v>33</v>
      </c>
      <c r="H1907" s="8">
        <v>42250</v>
      </c>
      <c r="I1907">
        <v>31153.14</v>
      </c>
      <c r="K1907" s="8"/>
    </row>
    <row r="1908" spans="1:11">
      <c r="A1908">
        <v>100001907</v>
      </c>
      <c r="B1908" t="s">
        <v>206</v>
      </c>
      <c r="C1908" t="s">
        <v>108</v>
      </c>
      <c r="D1908" t="s">
        <v>11</v>
      </c>
      <c r="E1908" s="9">
        <v>43</v>
      </c>
      <c r="F1908" t="s">
        <v>12</v>
      </c>
      <c r="G1908" t="s">
        <v>13</v>
      </c>
      <c r="H1908" s="7">
        <v>42251</v>
      </c>
      <c r="I1908">
        <v>6525.63</v>
      </c>
      <c r="K1908" s="7"/>
    </row>
    <row r="1909" spans="1:11">
      <c r="A1909">
        <v>100001908</v>
      </c>
      <c r="B1909" t="s">
        <v>9</v>
      </c>
      <c r="C1909" t="s">
        <v>45</v>
      </c>
      <c r="D1909" t="s">
        <v>11</v>
      </c>
      <c r="E1909" s="9">
        <v>33</v>
      </c>
      <c r="F1909" t="s">
        <v>12</v>
      </c>
      <c r="G1909" t="s">
        <v>13</v>
      </c>
      <c r="H1909" s="8">
        <v>42251</v>
      </c>
      <c r="I1909">
        <v>682.97</v>
      </c>
      <c r="K1909" s="8"/>
    </row>
    <row r="1910" spans="1:11">
      <c r="A1910">
        <v>100001909</v>
      </c>
      <c r="B1910" t="s">
        <v>166</v>
      </c>
      <c r="C1910" t="s">
        <v>163</v>
      </c>
      <c r="D1910" t="s">
        <v>16</v>
      </c>
      <c r="E1910" s="9">
        <v>36</v>
      </c>
      <c r="F1910" t="s">
        <v>12</v>
      </c>
      <c r="G1910" t="s">
        <v>13</v>
      </c>
      <c r="H1910" s="7">
        <v>42251</v>
      </c>
      <c r="I1910">
        <v>23749.79</v>
      </c>
      <c r="K1910" s="7"/>
    </row>
    <row r="1911" spans="1:11">
      <c r="A1911">
        <v>100001910</v>
      </c>
      <c r="B1911" t="s">
        <v>154</v>
      </c>
      <c r="C1911" t="s">
        <v>295</v>
      </c>
      <c r="D1911" t="s">
        <v>16</v>
      </c>
      <c r="E1911" s="9">
        <v>38</v>
      </c>
      <c r="F1911" t="s">
        <v>12</v>
      </c>
      <c r="G1911" t="s">
        <v>13</v>
      </c>
      <c r="H1911" s="8">
        <v>42251</v>
      </c>
      <c r="I1911">
        <v>31921.61</v>
      </c>
      <c r="K1911" s="8"/>
    </row>
    <row r="1912" spans="1:11">
      <c r="A1912">
        <v>200001911</v>
      </c>
      <c r="B1912" t="s">
        <v>99</v>
      </c>
      <c r="C1912" t="s">
        <v>211</v>
      </c>
      <c r="D1912" t="s">
        <v>16</v>
      </c>
      <c r="E1912" s="9">
        <v>55</v>
      </c>
      <c r="F1912" t="s">
        <v>32</v>
      </c>
      <c r="G1912" t="s">
        <v>33</v>
      </c>
      <c r="H1912" s="7">
        <v>42251</v>
      </c>
      <c r="I1912">
        <v>68864.13</v>
      </c>
      <c r="K1912" s="7"/>
    </row>
    <row r="1913" spans="1:11">
      <c r="A1913">
        <v>200001912</v>
      </c>
      <c r="B1913" t="s">
        <v>168</v>
      </c>
      <c r="C1913" t="s">
        <v>183</v>
      </c>
      <c r="D1913" t="s">
        <v>16</v>
      </c>
      <c r="E1913" s="9">
        <v>49</v>
      </c>
      <c r="F1913" t="s">
        <v>32</v>
      </c>
      <c r="G1913" t="s">
        <v>33</v>
      </c>
      <c r="H1913" s="8">
        <v>42251</v>
      </c>
      <c r="I1913">
        <v>31505.8</v>
      </c>
      <c r="K1913" s="8"/>
    </row>
    <row r="1914" spans="1:11">
      <c r="A1914">
        <v>300001913</v>
      </c>
      <c r="B1914" t="s">
        <v>184</v>
      </c>
      <c r="C1914" t="s">
        <v>195</v>
      </c>
      <c r="D1914" t="s">
        <v>16</v>
      </c>
      <c r="E1914" s="9">
        <v>33</v>
      </c>
      <c r="F1914" t="s">
        <v>23</v>
      </c>
      <c r="G1914" t="s">
        <v>13</v>
      </c>
      <c r="H1914" s="7">
        <v>42251</v>
      </c>
      <c r="I1914">
        <v>22274.84</v>
      </c>
      <c r="K1914" s="7"/>
    </row>
    <row r="1915" spans="1:11">
      <c r="A1915">
        <v>100001914</v>
      </c>
      <c r="B1915" t="s">
        <v>181</v>
      </c>
      <c r="C1915" t="s">
        <v>103</v>
      </c>
      <c r="D1915" t="s">
        <v>11</v>
      </c>
      <c r="E1915" s="9">
        <v>23</v>
      </c>
      <c r="F1915" t="s">
        <v>12</v>
      </c>
      <c r="G1915" t="s">
        <v>13</v>
      </c>
      <c r="H1915" s="8">
        <v>42252</v>
      </c>
      <c r="I1915">
        <v>38866.870000000003</v>
      </c>
      <c r="K1915" s="8"/>
    </row>
    <row r="1916" spans="1:11">
      <c r="A1916">
        <v>100001915</v>
      </c>
      <c r="B1916" t="s">
        <v>150</v>
      </c>
      <c r="C1916" t="s">
        <v>87</v>
      </c>
      <c r="D1916" t="s">
        <v>16</v>
      </c>
      <c r="E1916" s="9">
        <v>24</v>
      </c>
      <c r="F1916" t="s">
        <v>12</v>
      </c>
      <c r="G1916" t="s">
        <v>33</v>
      </c>
      <c r="H1916" s="7">
        <v>42252</v>
      </c>
      <c r="I1916">
        <v>3140.85</v>
      </c>
      <c r="K1916" s="7"/>
    </row>
    <row r="1917" spans="1:11">
      <c r="A1917">
        <v>100001916</v>
      </c>
      <c r="B1917" t="s">
        <v>133</v>
      </c>
      <c r="C1917" t="s">
        <v>87</v>
      </c>
      <c r="D1917" t="s">
        <v>11</v>
      </c>
      <c r="E1917" s="9">
        <v>37</v>
      </c>
      <c r="F1917" t="s">
        <v>12</v>
      </c>
      <c r="G1917" t="s">
        <v>13</v>
      </c>
      <c r="H1917" s="8">
        <v>42252</v>
      </c>
      <c r="I1917">
        <v>33744.120000000003</v>
      </c>
      <c r="K1917" s="8"/>
    </row>
    <row r="1918" spans="1:11">
      <c r="A1918">
        <v>100001917</v>
      </c>
      <c r="B1918" t="s">
        <v>111</v>
      </c>
      <c r="C1918" t="s">
        <v>65</v>
      </c>
      <c r="D1918" t="s">
        <v>11</v>
      </c>
      <c r="E1918" s="9">
        <v>22</v>
      </c>
      <c r="F1918" t="s">
        <v>12</v>
      </c>
      <c r="G1918" t="s">
        <v>18</v>
      </c>
      <c r="H1918" s="7">
        <v>42252</v>
      </c>
      <c r="I1918">
        <v>36867.33</v>
      </c>
      <c r="K1918" s="7"/>
    </row>
    <row r="1919" spans="1:11">
      <c r="A1919">
        <v>100001918</v>
      </c>
      <c r="B1919" t="s">
        <v>90</v>
      </c>
      <c r="C1919" t="s">
        <v>294</v>
      </c>
      <c r="D1919" t="s">
        <v>11</v>
      </c>
      <c r="E1919" s="9">
        <v>32</v>
      </c>
      <c r="F1919" t="s">
        <v>12</v>
      </c>
      <c r="G1919" t="s">
        <v>13</v>
      </c>
      <c r="H1919" s="8">
        <v>42252</v>
      </c>
      <c r="I1919">
        <v>19407.16</v>
      </c>
      <c r="K1919" s="8"/>
    </row>
    <row r="1920" spans="1:11">
      <c r="A1920">
        <v>100001919</v>
      </c>
      <c r="B1920" t="s">
        <v>83</v>
      </c>
      <c r="C1920" t="s">
        <v>88</v>
      </c>
      <c r="D1920" t="s">
        <v>16</v>
      </c>
      <c r="E1920" s="9">
        <v>29</v>
      </c>
      <c r="F1920" t="s">
        <v>12</v>
      </c>
      <c r="G1920" t="s">
        <v>13</v>
      </c>
      <c r="H1920" s="7">
        <v>42252</v>
      </c>
      <c r="I1920">
        <v>40307.9</v>
      </c>
      <c r="K1920" s="7"/>
    </row>
    <row r="1921" spans="1:11">
      <c r="A1921">
        <v>100001920</v>
      </c>
      <c r="B1921" t="s">
        <v>202</v>
      </c>
      <c r="C1921" t="s">
        <v>95</v>
      </c>
      <c r="D1921" t="s">
        <v>11</v>
      </c>
      <c r="E1921" s="9">
        <v>39</v>
      </c>
      <c r="F1921" t="s">
        <v>12</v>
      </c>
      <c r="G1921" t="s">
        <v>18</v>
      </c>
      <c r="H1921" s="8">
        <v>42252</v>
      </c>
      <c r="I1921">
        <v>77764.13</v>
      </c>
      <c r="K1921" s="8"/>
    </row>
    <row r="1922" spans="1:11">
      <c r="A1922">
        <v>100001921</v>
      </c>
      <c r="B1922" t="s">
        <v>110</v>
      </c>
      <c r="C1922" t="s">
        <v>45</v>
      </c>
      <c r="D1922" t="s">
        <v>16</v>
      </c>
      <c r="E1922" s="9">
        <v>31</v>
      </c>
      <c r="F1922" t="s">
        <v>12</v>
      </c>
      <c r="G1922" t="s">
        <v>13</v>
      </c>
      <c r="H1922" s="7">
        <v>42252</v>
      </c>
      <c r="I1922">
        <v>16392.78</v>
      </c>
      <c r="K1922" s="7"/>
    </row>
    <row r="1923" spans="1:11">
      <c r="A1923">
        <v>100001922</v>
      </c>
      <c r="B1923" t="s">
        <v>64</v>
      </c>
      <c r="C1923" t="s">
        <v>63</v>
      </c>
      <c r="D1923" t="s">
        <v>11</v>
      </c>
      <c r="E1923" s="9">
        <v>33</v>
      </c>
      <c r="F1923" t="s">
        <v>12</v>
      </c>
      <c r="G1923" t="s">
        <v>18</v>
      </c>
      <c r="H1923" s="8">
        <v>42252</v>
      </c>
      <c r="I1923">
        <v>50905.81</v>
      </c>
      <c r="K1923" s="8"/>
    </row>
    <row r="1924" spans="1:11">
      <c r="A1924">
        <v>100001923</v>
      </c>
      <c r="B1924" t="s">
        <v>99</v>
      </c>
      <c r="C1924" t="s">
        <v>56</v>
      </c>
      <c r="D1924" t="s">
        <v>16</v>
      </c>
      <c r="E1924" s="9">
        <v>44</v>
      </c>
      <c r="F1924" t="s">
        <v>12</v>
      </c>
      <c r="G1924" t="s">
        <v>13</v>
      </c>
      <c r="H1924" s="7">
        <v>42252</v>
      </c>
      <c r="I1924">
        <v>1607.63</v>
      </c>
      <c r="K1924" s="7"/>
    </row>
    <row r="1925" spans="1:11">
      <c r="A1925">
        <v>200001924</v>
      </c>
      <c r="B1925" t="s">
        <v>321</v>
      </c>
      <c r="C1925" t="s">
        <v>219</v>
      </c>
      <c r="D1925" t="s">
        <v>16</v>
      </c>
      <c r="E1925" s="9">
        <v>57</v>
      </c>
      <c r="F1925" t="s">
        <v>32</v>
      </c>
      <c r="G1925" t="s">
        <v>33</v>
      </c>
      <c r="H1925" s="8">
        <v>42252</v>
      </c>
      <c r="I1925">
        <v>20516.919999999998</v>
      </c>
      <c r="K1925" s="8"/>
    </row>
    <row r="1926" spans="1:11">
      <c r="A1926">
        <v>300001925</v>
      </c>
      <c r="B1926" t="s">
        <v>243</v>
      </c>
      <c r="C1926" t="s">
        <v>125</v>
      </c>
      <c r="D1926" t="s">
        <v>16</v>
      </c>
      <c r="E1926" s="9">
        <v>31</v>
      </c>
      <c r="F1926" t="s">
        <v>23</v>
      </c>
      <c r="G1926" t="s">
        <v>33</v>
      </c>
      <c r="H1926" s="7">
        <v>42252</v>
      </c>
      <c r="I1926">
        <v>7541.33</v>
      </c>
      <c r="K1926" s="7"/>
    </row>
    <row r="1927" spans="1:11">
      <c r="A1927">
        <v>300001926</v>
      </c>
      <c r="B1927" t="s">
        <v>207</v>
      </c>
      <c r="C1927" t="s">
        <v>172</v>
      </c>
      <c r="D1927" t="s">
        <v>11</v>
      </c>
      <c r="E1927" s="9">
        <v>41</v>
      </c>
      <c r="F1927" t="s">
        <v>23</v>
      </c>
      <c r="G1927" t="s">
        <v>13</v>
      </c>
      <c r="H1927" s="8">
        <v>42252</v>
      </c>
      <c r="I1927">
        <v>27629.86</v>
      </c>
      <c r="K1927" s="8"/>
    </row>
    <row r="1928" spans="1:11">
      <c r="A1928">
        <v>400001927</v>
      </c>
      <c r="B1928" t="s">
        <v>320</v>
      </c>
      <c r="C1928" t="s">
        <v>121</v>
      </c>
      <c r="D1928" t="s">
        <v>16</v>
      </c>
      <c r="E1928" s="9">
        <v>32</v>
      </c>
      <c r="F1928" t="s">
        <v>17</v>
      </c>
      <c r="G1928" t="s">
        <v>33</v>
      </c>
      <c r="H1928" s="7">
        <v>42252</v>
      </c>
      <c r="I1928">
        <v>48145.5</v>
      </c>
      <c r="K1928" s="7"/>
    </row>
    <row r="1929" spans="1:11">
      <c r="A1929">
        <v>100001928</v>
      </c>
      <c r="B1929" t="s">
        <v>316</v>
      </c>
      <c r="C1929" t="s">
        <v>136</v>
      </c>
      <c r="D1929" t="s">
        <v>16</v>
      </c>
      <c r="E1929" s="9">
        <v>35</v>
      </c>
      <c r="F1929" t="s">
        <v>12</v>
      </c>
      <c r="G1929" t="s">
        <v>13</v>
      </c>
      <c r="H1929" s="8">
        <v>42253</v>
      </c>
      <c r="I1929">
        <v>45139.58</v>
      </c>
      <c r="K1929" s="8"/>
    </row>
    <row r="1930" spans="1:11">
      <c r="A1930">
        <v>100001929</v>
      </c>
      <c r="B1930" t="s">
        <v>229</v>
      </c>
      <c r="C1930" t="s">
        <v>142</v>
      </c>
      <c r="D1930" t="s">
        <v>16</v>
      </c>
      <c r="E1930" s="9">
        <v>37</v>
      </c>
      <c r="F1930" t="s">
        <v>12</v>
      </c>
      <c r="G1930" t="s">
        <v>13</v>
      </c>
      <c r="H1930" s="7">
        <v>42253</v>
      </c>
      <c r="I1930">
        <v>47072.67</v>
      </c>
      <c r="K1930" s="7"/>
    </row>
    <row r="1931" spans="1:11">
      <c r="A1931">
        <v>100001930</v>
      </c>
      <c r="B1931" t="s">
        <v>255</v>
      </c>
      <c r="C1931" t="s">
        <v>253</v>
      </c>
      <c r="D1931" t="s">
        <v>11</v>
      </c>
      <c r="E1931" s="9">
        <v>38</v>
      </c>
      <c r="F1931" t="s">
        <v>12</v>
      </c>
      <c r="G1931" t="s">
        <v>13</v>
      </c>
      <c r="H1931" s="8">
        <v>42253</v>
      </c>
      <c r="I1931">
        <v>21765.279999999999</v>
      </c>
      <c r="K1931" s="8"/>
    </row>
    <row r="1932" spans="1:11">
      <c r="A1932">
        <v>100001931</v>
      </c>
      <c r="B1932" t="s">
        <v>14</v>
      </c>
      <c r="C1932" t="s">
        <v>295</v>
      </c>
      <c r="D1932" t="s">
        <v>16</v>
      </c>
      <c r="E1932" s="9">
        <v>21</v>
      </c>
      <c r="F1932" t="s">
        <v>12</v>
      </c>
      <c r="G1932" t="s">
        <v>13</v>
      </c>
      <c r="H1932" s="7">
        <v>42253</v>
      </c>
      <c r="I1932">
        <v>25489.13</v>
      </c>
      <c r="K1932" s="7"/>
    </row>
    <row r="1933" spans="1:11">
      <c r="A1933">
        <v>100001932</v>
      </c>
      <c r="B1933" t="s">
        <v>112</v>
      </c>
      <c r="C1933" t="s">
        <v>127</v>
      </c>
      <c r="D1933" t="s">
        <v>11</v>
      </c>
      <c r="E1933" s="9">
        <v>37</v>
      </c>
      <c r="F1933" t="s">
        <v>12</v>
      </c>
      <c r="G1933" t="s">
        <v>33</v>
      </c>
      <c r="H1933" s="8">
        <v>42253</v>
      </c>
      <c r="I1933">
        <v>32063.759999999998</v>
      </c>
      <c r="K1933" s="8"/>
    </row>
    <row r="1934" spans="1:11">
      <c r="A1934">
        <v>100001933</v>
      </c>
      <c r="B1934" t="s">
        <v>245</v>
      </c>
      <c r="C1934" t="s">
        <v>291</v>
      </c>
      <c r="D1934" t="s">
        <v>11</v>
      </c>
      <c r="E1934" s="9">
        <v>33</v>
      </c>
      <c r="F1934" t="s">
        <v>12</v>
      </c>
      <c r="G1934" t="s">
        <v>13</v>
      </c>
      <c r="H1934" s="7">
        <v>42253</v>
      </c>
      <c r="I1934">
        <v>19294.37</v>
      </c>
      <c r="K1934" s="7"/>
    </row>
    <row r="1935" spans="1:11">
      <c r="A1935">
        <v>200001934</v>
      </c>
      <c r="B1935" t="s">
        <v>193</v>
      </c>
      <c r="C1935" t="s">
        <v>230</v>
      </c>
      <c r="D1935" t="s">
        <v>11</v>
      </c>
      <c r="E1935" s="9">
        <v>61</v>
      </c>
      <c r="F1935" t="s">
        <v>32</v>
      </c>
      <c r="G1935" t="s">
        <v>18</v>
      </c>
      <c r="H1935" s="8">
        <v>42253</v>
      </c>
      <c r="I1935">
        <v>56809.26</v>
      </c>
      <c r="K1935" s="8"/>
    </row>
    <row r="1936" spans="1:11">
      <c r="A1936">
        <v>200001935</v>
      </c>
      <c r="B1936" t="s">
        <v>296</v>
      </c>
      <c r="C1936" t="s">
        <v>56</v>
      </c>
      <c r="D1936" t="s">
        <v>11</v>
      </c>
      <c r="E1936" s="9">
        <v>52</v>
      </c>
      <c r="F1936" t="s">
        <v>32</v>
      </c>
      <c r="G1936" t="s">
        <v>33</v>
      </c>
      <c r="H1936" s="7">
        <v>42253</v>
      </c>
      <c r="I1936">
        <v>75743.08</v>
      </c>
      <c r="K1936" s="7"/>
    </row>
    <row r="1937" spans="1:11">
      <c r="A1937">
        <v>200001936</v>
      </c>
      <c r="B1937" t="s">
        <v>131</v>
      </c>
      <c r="C1937" t="s">
        <v>187</v>
      </c>
      <c r="D1937" t="s">
        <v>16</v>
      </c>
      <c r="E1937" s="9">
        <v>49</v>
      </c>
      <c r="F1937" t="s">
        <v>32</v>
      </c>
      <c r="G1937" t="s">
        <v>13</v>
      </c>
      <c r="H1937" s="8">
        <v>42253</v>
      </c>
      <c r="I1937">
        <v>2994.25</v>
      </c>
      <c r="K1937" s="8"/>
    </row>
    <row r="1938" spans="1:11">
      <c r="A1938">
        <v>200001937</v>
      </c>
      <c r="B1938" t="s">
        <v>173</v>
      </c>
      <c r="C1938" t="s">
        <v>134</v>
      </c>
      <c r="D1938" t="s">
        <v>11</v>
      </c>
      <c r="E1938" s="9">
        <v>34</v>
      </c>
      <c r="F1938" t="s">
        <v>32</v>
      </c>
      <c r="G1938" t="s">
        <v>33</v>
      </c>
      <c r="H1938" s="7">
        <v>42253</v>
      </c>
      <c r="I1938">
        <v>68600.899999999994</v>
      </c>
      <c r="K1938" s="7"/>
    </row>
    <row r="1939" spans="1:11">
      <c r="A1939">
        <v>200001938</v>
      </c>
      <c r="B1939" t="s">
        <v>229</v>
      </c>
      <c r="C1939" t="s">
        <v>230</v>
      </c>
      <c r="D1939" t="s">
        <v>16</v>
      </c>
      <c r="E1939" s="9">
        <v>42</v>
      </c>
      <c r="F1939" t="s">
        <v>32</v>
      </c>
      <c r="G1939" t="s">
        <v>33</v>
      </c>
      <c r="H1939" s="8">
        <v>42253</v>
      </c>
      <c r="I1939">
        <v>38905.96</v>
      </c>
      <c r="K1939" s="8"/>
    </row>
    <row r="1940" spans="1:11">
      <c r="A1940">
        <v>400001939</v>
      </c>
      <c r="B1940" t="s">
        <v>64</v>
      </c>
      <c r="C1940" t="s">
        <v>132</v>
      </c>
      <c r="D1940" t="s">
        <v>11</v>
      </c>
      <c r="E1940" s="9">
        <v>21</v>
      </c>
      <c r="F1940" t="s">
        <v>17</v>
      </c>
      <c r="G1940" t="s">
        <v>13</v>
      </c>
      <c r="H1940" s="7">
        <v>42253</v>
      </c>
      <c r="I1940">
        <v>10248.59</v>
      </c>
      <c r="K1940" s="7"/>
    </row>
    <row r="1941" spans="1:11">
      <c r="A1941">
        <v>100001940</v>
      </c>
      <c r="B1941" t="s">
        <v>9</v>
      </c>
      <c r="C1941" t="s">
        <v>277</v>
      </c>
      <c r="D1941" t="s">
        <v>11</v>
      </c>
      <c r="E1941" s="9">
        <v>31</v>
      </c>
      <c r="F1941" t="s">
        <v>12</v>
      </c>
      <c r="G1941" t="s">
        <v>13</v>
      </c>
      <c r="H1941" s="8">
        <v>42254</v>
      </c>
      <c r="I1941">
        <v>17395.93</v>
      </c>
      <c r="K1941" s="8"/>
    </row>
    <row r="1942" spans="1:11">
      <c r="A1942">
        <v>100001941</v>
      </c>
      <c r="B1942" t="s">
        <v>298</v>
      </c>
      <c r="C1942" t="s">
        <v>80</v>
      </c>
      <c r="D1942" t="s">
        <v>16</v>
      </c>
      <c r="E1942" s="9">
        <v>41</v>
      </c>
      <c r="F1942" t="s">
        <v>12</v>
      </c>
      <c r="G1942" t="s">
        <v>13</v>
      </c>
      <c r="H1942" s="7">
        <v>42254</v>
      </c>
      <c r="I1942">
        <v>60069.88</v>
      </c>
      <c r="K1942" s="7"/>
    </row>
    <row r="1943" spans="1:11">
      <c r="A1943">
        <v>100001942</v>
      </c>
      <c r="B1943" t="s">
        <v>280</v>
      </c>
      <c r="C1943" t="s">
        <v>187</v>
      </c>
      <c r="D1943" t="s">
        <v>11</v>
      </c>
      <c r="E1943" s="9">
        <v>50</v>
      </c>
      <c r="F1943" t="s">
        <v>12</v>
      </c>
      <c r="G1943" t="s">
        <v>13</v>
      </c>
      <c r="H1943" s="8">
        <v>42254</v>
      </c>
      <c r="I1943">
        <v>2470.52</v>
      </c>
      <c r="K1943" s="8"/>
    </row>
    <row r="1944" spans="1:11">
      <c r="A1944">
        <v>100001943</v>
      </c>
      <c r="B1944" t="s">
        <v>191</v>
      </c>
      <c r="C1944" t="s">
        <v>20</v>
      </c>
      <c r="D1944" t="s">
        <v>11</v>
      </c>
      <c r="E1944" s="9">
        <v>36</v>
      </c>
      <c r="F1944" t="s">
        <v>12</v>
      </c>
      <c r="G1944" t="s">
        <v>13</v>
      </c>
      <c r="H1944" s="7">
        <v>42254</v>
      </c>
      <c r="I1944">
        <v>8335.9699999999993</v>
      </c>
      <c r="K1944" s="7"/>
    </row>
    <row r="1945" spans="1:11">
      <c r="A1945">
        <v>100001944</v>
      </c>
      <c r="B1945" t="s">
        <v>250</v>
      </c>
      <c r="C1945" t="s">
        <v>225</v>
      </c>
      <c r="D1945" t="s">
        <v>16</v>
      </c>
      <c r="E1945" s="9">
        <v>23</v>
      </c>
      <c r="F1945" t="s">
        <v>12</v>
      </c>
      <c r="G1945" t="s">
        <v>13</v>
      </c>
      <c r="H1945" s="8">
        <v>42254</v>
      </c>
      <c r="I1945">
        <v>17247.7</v>
      </c>
      <c r="K1945" s="8"/>
    </row>
    <row r="1946" spans="1:11">
      <c r="A1946">
        <v>100001945</v>
      </c>
      <c r="B1946" t="s">
        <v>137</v>
      </c>
      <c r="C1946" t="s">
        <v>307</v>
      </c>
      <c r="D1946" t="s">
        <v>11</v>
      </c>
      <c r="E1946" s="9">
        <v>41</v>
      </c>
      <c r="F1946" t="s">
        <v>12</v>
      </c>
      <c r="G1946" t="s">
        <v>18</v>
      </c>
      <c r="H1946" s="7">
        <v>42254</v>
      </c>
      <c r="I1946">
        <v>89366.53</v>
      </c>
      <c r="K1946" s="7"/>
    </row>
    <row r="1947" spans="1:11">
      <c r="A1947">
        <v>100001946</v>
      </c>
      <c r="B1947" t="s">
        <v>173</v>
      </c>
      <c r="C1947" t="s">
        <v>227</v>
      </c>
      <c r="D1947" t="s">
        <v>11</v>
      </c>
      <c r="E1947" s="9">
        <v>40</v>
      </c>
      <c r="F1947" t="s">
        <v>12</v>
      </c>
      <c r="G1947" t="s">
        <v>18</v>
      </c>
      <c r="H1947" s="8">
        <v>42254</v>
      </c>
      <c r="I1947">
        <v>5106.8599999999997</v>
      </c>
      <c r="K1947" s="8"/>
    </row>
    <row r="1948" spans="1:11">
      <c r="A1948">
        <v>100001947</v>
      </c>
      <c r="B1948" t="s">
        <v>99</v>
      </c>
      <c r="C1948" t="s">
        <v>288</v>
      </c>
      <c r="D1948" t="s">
        <v>16</v>
      </c>
      <c r="E1948" s="9">
        <v>37</v>
      </c>
      <c r="F1948" t="s">
        <v>12</v>
      </c>
      <c r="G1948" t="s">
        <v>13</v>
      </c>
      <c r="H1948" s="7">
        <v>42254</v>
      </c>
      <c r="I1948">
        <v>42737.83</v>
      </c>
      <c r="K1948" s="7"/>
    </row>
    <row r="1949" spans="1:11">
      <c r="A1949">
        <v>100001948</v>
      </c>
      <c r="B1949" t="s">
        <v>19</v>
      </c>
      <c r="C1949" t="s">
        <v>63</v>
      </c>
      <c r="D1949" t="s">
        <v>11</v>
      </c>
      <c r="E1949" s="9">
        <v>31</v>
      </c>
      <c r="F1949" t="s">
        <v>12</v>
      </c>
      <c r="G1949" t="s">
        <v>13</v>
      </c>
      <c r="H1949" s="8">
        <v>42254</v>
      </c>
      <c r="I1949">
        <v>70156.160000000003</v>
      </c>
      <c r="K1949" s="8"/>
    </row>
    <row r="1950" spans="1:11">
      <c r="A1950">
        <v>100001949</v>
      </c>
      <c r="B1950" t="s">
        <v>21</v>
      </c>
      <c r="C1950" t="s">
        <v>163</v>
      </c>
      <c r="D1950" t="s">
        <v>11</v>
      </c>
      <c r="E1950" s="9">
        <v>29</v>
      </c>
      <c r="F1950" t="s">
        <v>12</v>
      </c>
      <c r="G1950" t="s">
        <v>13</v>
      </c>
      <c r="H1950" s="7">
        <v>42254</v>
      </c>
      <c r="I1950">
        <v>38139.699999999997</v>
      </c>
      <c r="K1950" s="7"/>
    </row>
    <row r="1951" spans="1:11">
      <c r="A1951">
        <v>200001950</v>
      </c>
      <c r="B1951" t="s">
        <v>55</v>
      </c>
      <c r="C1951" t="s">
        <v>59</v>
      </c>
      <c r="D1951" t="s">
        <v>11</v>
      </c>
      <c r="E1951" s="9">
        <v>37</v>
      </c>
      <c r="F1951" t="s">
        <v>32</v>
      </c>
      <c r="G1951" t="s">
        <v>18</v>
      </c>
      <c r="H1951" s="8">
        <v>42254</v>
      </c>
      <c r="I1951">
        <v>18231.400000000001</v>
      </c>
      <c r="K1951" s="8"/>
    </row>
    <row r="1952" spans="1:11">
      <c r="A1952">
        <v>200001951</v>
      </c>
      <c r="B1952" t="s">
        <v>218</v>
      </c>
      <c r="C1952" t="s">
        <v>282</v>
      </c>
      <c r="D1952" t="s">
        <v>11</v>
      </c>
      <c r="E1952" s="9">
        <v>54</v>
      </c>
      <c r="F1952" t="s">
        <v>32</v>
      </c>
      <c r="G1952" t="s">
        <v>18</v>
      </c>
      <c r="H1952" s="7">
        <v>42254</v>
      </c>
      <c r="I1952">
        <v>11561.43</v>
      </c>
      <c r="K1952" s="7"/>
    </row>
    <row r="1953" spans="1:11">
      <c r="A1953">
        <v>300001952</v>
      </c>
      <c r="B1953" t="s">
        <v>14</v>
      </c>
      <c r="C1953" t="s">
        <v>27</v>
      </c>
      <c r="D1953" t="s">
        <v>16</v>
      </c>
      <c r="E1953" s="9">
        <v>33</v>
      </c>
      <c r="F1953" t="s">
        <v>23</v>
      </c>
      <c r="G1953" t="s">
        <v>13</v>
      </c>
      <c r="H1953" s="8">
        <v>42254</v>
      </c>
      <c r="I1953">
        <v>32106.880000000001</v>
      </c>
      <c r="K1953" s="8"/>
    </row>
    <row r="1954" spans="1:11">
      <c r="A1954">
        <v>300001953</v>
      </c>
      <c r="B1954" t="s">
        <v>182</v>
      </c>
      <c r="C1954" t="s">
        <v>282</v>
      </c>
      <c r="D1954" t="s">
        <v>16</v>
      </c>
      <c r="E1954" s="9">
        <v>43</v>
      </c>
      <c r="F1954" t="s">
        <v>23</v>
      </c>
      <c r="G1954" t="s">
        <v>13</v>
      </c>
      <c r="H1954" s="7">
        <v>42254</v>
      </c>
      <c r="I1954">
        <v>78469.73</v>
      </c>
      <c r="K1954" s="7"/>
    </row>
    <row r="1955" spans="1:11">
      <c r="A1955">
        <v>300001954</v>
      </c>
      <c r="B1955" t="s">
        <v>267</v>
      </c>
      <c r="C1955" t="s">
        <v>295</v>
      </c>
      <c r="D1955" t="s">
        <v>16</v>
      </c>
      <c r="E1955" s="9">
        <v>35</v>
      </c>
      <c r="F1955" t="s">
        <v>23</v>
      </c>
      <c r="G1955" t="s">
        <v>13</v>
      </c>
      <c r="H1955" s="8">
        <v>42254</v>
      </c>
      <c r="I1955">
        <v>44438.94</v>
      </c>
      <c r="K1955" s="8"/>
    </row>
    <row r="1956" spans="1:11">
      <c r="A1956">
        <v>300001955</v>
      </c>
      <c r="B1956" t="s">
        <v>200</v>
      </c>
      <c r="C1956" t="s">
        <v>305</v>
      </c>
      <c r="D1956" t="s">
        <v>16</v>
      </c>
      <c r="E1956" s="9">
        <v>41</v>
      </c>
      <c r="F1956" t="s">
        <v>23</v>
      </c>
      <c r="G1956" t="s">
        <v>18</v>
      </c>
      <c r="H1956" s="7">
        <v>42254</v>
      </c>
      <c r="I1956">
        <v>30822.55</v>
      </c>
      <c r="K1956" s="7"/>
    </row>
    <row r="1957" spans="1:11">
      <c r="A1957">
        <v>300001956</v>
      </c>
      <c r="B1957" t="s">
        <v>115</v>
      </c>
      <c r="C1957" t="s">
        <v>124</v>
      </c>
      <c r="D1957" t="s">
        <v>16</v>
      </c>
      <c r="E1957" s="9">
        <v>24</v>
      </c>
      <c r="F1957" t="s">
        <v>23</v>
      </c>
      <c r="G1957" t="s">
        <v>13</v>
      </c>
      <c r="H1957" s="8">
        <v>42254</v>
      </c>
      <c r="I1957">
        <v>55926.46</v>
      </c>
      <c r="K1957" s="8"/>
    </row>
    <row r="1958" spans="1:11">
      <c r="A1958">
        <v>400001957</v>
      </c>
      <c r="B1958" t="s">
        <v>9</v>
      </c>
      <c r="C1958" t="s">
        <v>212</v>
      </c>
      <c r="D1958" t="s">
        <v>11</v>
      </c>
      <c r="E1958" s="9">
        <v>33</v>
      </c>
      <c r="F1958" t="s">
        <v>17</v>
      </c>
      <c r="G1958" t="s">
        <v>33</v>
      </c>
      <c r="H1958" s="7">
        <v>42254</v>
      </c>
      <c r="I1958">
        <v>28681.8</v>
      </c>
      <c r="K1958" s="7"/>
    </row>
    <row r="1959" spans="1:11">
      <c r="A1959">
        <v>100001958</v>
      </c>
      <c r="B1959" t="s">
        <v>161</v>
      </c>
      <c r="C1959" t="s">
        <v>160</v>
      </c>
      <c r="D1959" t="s">
        <v>16</v>
      </c>
      <c r="E1959" s="9">
        <v>41</v>
      </c>
      <c r="F1959" t="s">
        <v>12</v>
      </c>
      <c r="G1959" t="s">
        <v>18</v>
      </c>
      <c r="H1959" s="8">
        <v>42255</v>
      </c>
      <c r="I1959">
        <v>105902.66</v>
      </c>
      <c r="K1959" s="8"/>
    </row>
    <row r="1960" spans="1:11">
      <c r="A1960">
        <v>100001959</v>
      </c>
      <c r="B1960" t="s">
        <v>228</v>
      </c>
      <c r="C1960" t="s">
        <v>153</v>
      </c>
      <c r="D1960" t="s">
        <v>11</v>
      </c>
      <c r="E1960" s="9">
        <v>39</v>
      </c>
      <c r="F1960" t="s">
        <v>12</v>
      </c>
      <c r="G1960" t="s">
        <v>33</v>
      </c>
      <c r="H1960" s="7">
        <v>42255</v>
      </c>
      <c r="I1960">
        <v>20388.38</v>
      </c>
      <c r="K1960" s="7"/>
    </row>
    <row r="1961" spans="1:11">
      <c r="A1961">
        <v>100001960</v>
      </c>
      <c r="B1961" t="s">
        <v>131</v>
      </c>
      <c r="C1961" t="s">
        <v>203</v>
      </c>
      <c r="D1961" t="s">
        <v>16</v>
      </c>
      <c r="E1961" s="9">
        <v>31</v>
      </c>
      <c r="F1961" t="s">
        <v>12</v>
      </c>
      <c r="G1961" t="s">
        <v>13</v>
      </c>
      <c r="H1961" s="8">
        <v>42255</v>
      </c>
      <c r="I1961">
        <v>130717.22</v>
      </c>
      <c r="K1961" s="8"/>
    </row>
    <row r="1962" spans="1:11">
      <c r="A1962">
        <v>100001961</v>
      </c>
      <c r="B1962" t="s">
        <v>214</v>
      </c>
      <c r="C1962" t="s">
        <v>252</v>
      </c>
      <c r="D1962" t="s">
        <v>11</v>
      </c>
      <c r="E1962" s="9">
        <v>34</v>
      </c>
      <c r="F1962" t="s">
        <v>12</v>
      </c>
      <c r="G1962" t="s">
        <v>33</v>
      </c>
      <c r="H1962" s="7">
        <v>42255</v>
      </c>
      <c r="I1962">
        <v>7842.61</v>
      </c>
      <c r="K1962" s="7"/>
    </row>
    <row r="1963" spans="1:11">
      <c r="A1963">
        <v>100001962</v>
      </c>
      <c r="B1963" t="s">
        <v>214</v>
      </c>
      <c r="C1963" t="s">
        <v>299</v>
      </c>
      <c r="D1963" t="s">
        <v>11</v>
      </c>
      <c r="E1963" s="9">
        <v>48</v>
      </c>
      <c r="F1963" t="s">
        <v>12</v>
      </c>
      <c r="G1963" t="s">
        <v>13</v>
      </c>
      <c r="H1963" s="8">
        <v>42255</v>
      </c>
      <c r="I1963">
        <v>81684.679999999993</v>
      </c>
      <c r="K1963" s="8"/>
    </row>
    <row r="1964" spans="1:11">
      <c r="A1964">
        <v>200001963</v>
      </c>
      <c r="B1964" t="s">
        <v>159</v>
      </c>
      <c r="C1964" t="s">
        <v>278</v>
      </c>
      <c r="D1964" t="s">
        <v>11</v>
      </c>
      <c r="E1964" s="9">
        <v>53</v>
      </c>
      <c r="F1964" t="s">
        <v>32</v>
      </c>
      <c r="G1964" t="s">
        <v>33</v>
      </c>
      <c r="H1964" s="7">
        <v>42255</v>
      </c>
      <c r="I1964">
        <v>11375.64</v>
      </c>
      <c r="K1964" s="7"/>
    </row>
    <row r="1965" spans="1:11">
      <c r="A1965">
        <v>200001964</v>
      </c>
      <c r="B1965" t="s">
        <v>177</v>
      </c>
      <c r="C1965" t="s">
        <v>164</v>
      </c>
      <c r="D1965" t="s">
        <v>11</v>
      </c>
      <c r="E1965" s="9">
        <v>42</v>
      </c>
      <c r="F1965" t="s">
        <v>32</v>
      </c>
      <c r="G1965" t="s">
        <v>18</v>
      </c>
      <c r="H1965" s="8">
        <v>42255</v>
      </c>
      <c r="I1965">
        <v>43767.15</v>
      </c>
      <c r="K1965" s="8"/>
    </row>
    <row r="1966" spans="1:11">
      <c r="A1966">
        <v>100001965</v>
      </c>
      <c r="B1966" t="s">
        <v>280</v>
      </c>
      <c r="C1966" t="s">
        <v>124</v>
      </c>
      <c r="D1966" t="s">
        <v>11</v>
      </c>
      <c r="E1966" s="9">
        <v>37</v>
      </c>
      <c r="F1966" t="s">
        <v>12</v>
      </c>
      <c r="G1966" t="s">
        <v>13</v>
      </c>
      <c r="H1966" s="7">
        <v>42256</v>
      </c>
      <c r="I1966">
        <v>59940.45</v>
      </c>
      <c r="K1966" s="7"/>
    </row>
    <row r="1967" spans="1:11">
      <c r="A1967">
        <v>100001966</v>
      </c>
      <c r="B1967" t="s">
        <v>101</v>
      </c>
      <c r="C1967" t="s">
        <v>201</v>
      </c>
      <c r="D1967" t="s">
        <v>11</v>
      </c>
      <c r="E1967" s="9">
        <v>37</v>
      </c>
      <c r="F1967" t="s">
        <v>12</v>
      </c>
      <c r="G1967" t="s">
        <v>18</v>
      </c>
      <c r="H1967" s="8">
        <v>42256</v>
      </c>
      <c r="I1967">
        <v>22841.56</v>
      </c>
      <c r="K1967" s="8"/>
    </row>
    <row r="1968" spans="1:11">
      <c r="A1968">
        <v>100001967</v>
      </c>
      <c r="B1968" t="s">
        <v>231</v>
      </c>
      <c r="C1968" t="s">
        <v>107</v>
      </c>
      <c r="D1968" t="s">
        <v>11</v>
      </c>
      <c r="E1968" s="9">
        <v>31</v>
      </c>
      <c r="F1968" t="s">
        <v>12</v>
      </c>
      <c r="G1968" t="s">
        <v>18</v>
      </c>
      <c r="H1968" s="7">
        <v>42256</v>
      </c>
      <c r="I1968">
        <v>24958.04</v>
      </c>
      <c r="K1968" s="7"/>
    </row>
    <row r="1969" spans="1:11">
      <c r="A1969">
        <v>100001968</v>
      </c>
      <c r="B1969" t="s">
        <v>148</v>
      </c>
      <c r="C1969" t="s">
        <v>39</v>
      </c>
      <c r="D1969" t="s">
        <v>11</v>
      </c>
      <c r="E1969" s="9">
        <v>38</v>
      </c>
      <c r="F1969" t="s">
        <v>12</v>
      </c>
      <c r="G1969" t="s">
        <v>13</v>
      </c>
      <c r="H1969" s="8">
        <v>42256</v>
      </c>
      <c r="I1969">
        <v>62279.7</v>
      </c>
      <c r="K1969" s="8"/>
    </row>
    <row r="1970" spans="1:11">
      <c r="A1970">
        <v>100001969</v>
      </c>
      <c r="B1970" t="s">
        <v>296</v>
      </c>
      <c r="C1970" t="s">
        <v>183</v>
      </c>
      <c r="D1970" t="s">
        <v>11</v>
      </c>
      <c r="E1970" s="9">
        <v>35</v>
      </c>
      <c r="F1970" t="s">
        <v>12</v>
      </c>
      <c r="G1970" t="s">
        <v>13</v>
      </c>
      <c r="H1970" s="7">
        <v>42256</v>
      </c>
      <c r="I1970">
        <v>33838.370000000003</v>
      </c>
      <c r="K1970" s="7"/>
    </row>
    <row r="1971" spans="1:11">
      <c r="A1971">
        <v>100001970</v>
      </c>
      <c r="B1971" t="s">
        <v>159</v>
      </c>
      <c r="C1971" t="s">
        <v>37</v>
      </c>
      <c r="D1971" t="s">
        <v>11</v>
      </c>
      <c r="E1971" s="9">
        <v>34</v>
      </c>
      <c r="F1971" t="s">
        <v>12</v>
      </c>
      <c r="G1971" t="s">
        <v>18</v>
      </c>
      <c r="H1971" s="8">
        <v>42256</v>
      </c>
      <c r="I1971">
        <v>36464.31</v>
      </c>
      <c r="K1971" s="8"/>
    </row>
    <row r="1972" spans="1:11">
      <c r="A1972">
        <v>100001971</v>
      </c>
      <c r="B1972" t="s">
        <v>261</v>
      </c>
      <c r="C1972" t="s">
        <v>292</v>
      </c>
      <c r="D1972" t="s">
        <v>11</v>
      </c>
      <c r="E1972" s="9">
        <v>36</v>
      </c>
      <c r="F1972" t="s">
        <v>12</v>
      </c>
      <c r="G1972" t="s">
        <v>13</v>
      </c>
      <c r="H1972" s="7">
        <v>42256</v>
      </c>
      <c r="I1972">
        <v>46758.9</v>
      </c>
      <c r="K1972" s="7"/>
    </row>
    <row r="1973" spans="1:11">
      <c r="A1973">
        <v>100001972</v>
      </c>
      <c r="B1973" t="s">
        <v>262</v>
      </c>
      <c r="C1973" t="s">
        <v>61</v>
      </c>
      <c r="D1973" t="s">
        <v>16</v>
      </c>
      <c r="E1973" s="9">
        <v>39</v>
      </c>
      <c r="F1973" t="s">
        <v>12</v>
      </c>
      <c r="G1973" t="s">
        <v>13</v>
      </c>
      <c r="H1973" s="8">
        <v>42256</v>
      </c>
      <c r="I1973">
        <v>76736.41</v>
      </c>
      <c r="K1973" s="8"/>
    </row>
    <row r="1974" spans="1:11">
      <c r="A1974">
        <v>100001973</v>
      </c>
      <c r="B1974" t="s">
        <v>177</v>
      </c>
      <c r="C1974" t="s">
        <v>52</v>
      </c>
      <c r="D1974" t="s">
        <v>11</v>
      </c>
      <c r="E1974" s="9">
        <v>41</v>
      </c>
      <c r="F1974" t="s">
        <v>12</v>
      </c>
      <c r="G1974" t="s">
        <v>13</v>
      </c>
      <c r="H1974" s="7">
        <v>42256</v>
      </c>
      <c r="I1974">
        <v>24924.42</v>
      </c>
      <c r="K1974" s="7"/>
    </row>
    <row r="1975" spans="1:11">
      <c r="A1975">
        <v>200001974</v>
      </c>
      <c r="B1975" t="s">
        <v>200</v>
      </c>
      <c r="C1975" t="s">
        <v>179</v>
      </c>
      <c r="D1975" t="s">
        <v>16</v>
      </c>
      <c r="E1975" s="9">
        <v>56</v>
      </c>
      <c r="F1975" t="s">
        <v>32</v>
      </c>
      <c r="G1975" t="s">
        <v>33</v>
      </c>
      <c r="H1975" s="8">
        <v>42256</v>
      </c>
      <c r="I1975">
        <v>14418.78</v>
      </c>
      <c r="K1975" s="8"/>
    </row>
    <row r="1976" spans="1:11">
      <c r="A1976">
        <v>200001975</v>
      </c>
      <c r="B1976" t="s">
        <v>148</v>
      </c>
      <c r="C1976" t="s">
        <v>295</v>
      </c>
      <c r="D1976" t="s">
        <v>11</v>
      </c>
      <c r="E1976" s="9">
        <v>43</v>
      </c>
      <c r="F1976" t="s">
        <v>32</v>
      </c>
      <c r="G1976" t="s">
        <v>18</v>
      </c>
      <c r="H1976" s="7">
        <v>42256</v>
      </c>
      <c r="I1976">
        <v>10301.709999999999</v>
      </c>
      <c r="K1976" s="7"/>
    </row>
    <row r="1977" spans="1:11">
      <c r="A1977">
        <v>200001976</v>
      </c>
      <c r="B1977" t="s">
        <v>293</v>
      </c>
      <c r="C1977" t="s">
        <v>27</v>
      </c>
      <c r="D1977" t="s">
        <v>11</v>
      </c>
      <c r="E1977" s="9">
        <v>45</v>
      </c>
      <c r="F1977" t="s">
        <v>32</v>
      </c>
      <c r="G1977" t="s">
        <v>33</v>
      </c>
      <c r="H1977" s="8">
        <v>42256</v>
      </c>
      <c r="I1977">
        <v>3927.15</v>
      </c>
      <c r="K1977" s="8"/>
    </row>
    <row r="1978" spans="1:11">
      <c r="A1978">
        <v>200001977</v>
      </c>
      <c r="B1978" t="s">
        <v>40</v>
      </c>
      <c r="C1978" t="s">
        <v>82</v>
      </c>
      <c r="D1978" t="s">
        <v>11</v>
      </c>
      <c r="E1978" s="9">
        <v>54</v>
      </c>
      <c r="F1978" t="s">
        <v>32</v>
      </c>
      <c r="G1978" t="s">
        <v>33</v>
      </c>
      <c r="H1978" s="7">
        <v>42256</v>
      </c>
      <c r="I1978">
        <v>15269.36</v>
      </c>
      <c r="K1978" s="7"/>
    </row>
    <row r="1979" spans="1:11">
      <c r="A1979">
        <v>300001978</v>
      </c>
      <c r="B1979" t="s">
        <v>283</v>
      </c>
      <c r="C1979" t="s">
        <v>52</v>
      </c>
      <c r="D1979" t="s">
        <v>11</v>
      </c>
      <c r="E1979" s="9">
        <v>28</v>
      </c>
      <c r="F1979" t="s">
        <v>23</v>
      </c>
      <c r="G1979" t="s">
        <v>13</v>
      </c>
      <c r="H1979" s="8">
        <v>42256</v>
      </c>
      <c r="I1979">
        <v>94767.31</v>
      </c>
      <c r="K1979" s="8"/>
    </row>
    <row r="1980" spans="1:11">
      <c r="A1980">
        <v>300001979</v>
      </c>
      <c r="B1980" t="s">
        <v>261</v>
      </c>
      <c r="C1980" t="s">
        <v>82</v>
      </c>
      <c r="D1980" t="s">
        <v>11</v>
      </c>
      <c r="E1980" s="9">
        <v>33</v>
      </c>
      <c r="F1980" t="s">
        <v>23</v>
      </c>
      <c r="G1980" t="s">
        <v>18</v>
      </c>
      <c r="H1980" s="7">
        <v>42256</v>
      </c>
      <c r="I1980">
        <v>121683.14</v>
      </c>
      <c r="K1980" s="7"/>
    </row>
    <row r="1981" spans="1:11">
      <c r="A1981">
        <v>400001980</v>
      </c>
      <c r="B1981" t="s">
        <v>188</v>
      </c>
      <c r="C1981" t="s">
        <v>257</v>
      </c>
      <c r="D1981" t="s">
        <v>11</v>
      </c>
      <c r="E1981" s="9">
        <v>29</v>
      </c>
      <c r="F1981" t="s">
        <v>17</v>
      </c>
      <c r="G1981" t="s">
        <v>18</v>
      </c>
      <c r="H1981" s="8">
        <v>42256</v>
      </c>
      <c r="I1981">
        <v>33615.06</v>
      </c>
      <c r="K1981" s="8"/>
    </row>
    <row r="1982" spans="1:11">
      <c r="A1982">
        <v>400001981</v>
      </c>
      <c r="B1982" t="s">
        <v>229</v>
      </c>
      <c r="C1982" t="s">
        <v>233</v>
      </c>
      <c r="D1982" t="s">
        <v>16</v>
      </c>
      <c r="E1982" s="9">
        <v>39</v>
      </c>
      <c r="F1982" t="s">
        <v>17</v>
      </c>
      <c r="G1982" t="s">
        <v>13</v>
      </c>
      <c r="H1982" s="7">
        <v>42256</v>
      </c>
      <c r="I1982">
        <v>76608.600000000006</v>
      </c>
      <c r="K1982" s="7"/>
    </row>
    <row r="1983" spans="1:11">
      <c r="A1983">
        <v>100001982</v>
      </c>
      <c r="B1983" t="s">
        <v>9</v>
      </c>
      <c r="C1983" t="s">
        <v>124</v>
      </c>
      <c r="D1983" t="s">
        <v>11</v>
      </c>
      <c r="E1983" s="9">
        <v>26</v>
      </c>
      <c r="F1983" t="s">
        <v>12</v>
      </c>
      <c r="G1983" t="s">
        <v>18</v>
      </c>
      <c r="H1983" s="8">
        <v>42257</v>
      </c>
      <c r="I1983">
        <v>15031.01</v>
      </c>
      <c r="K1983" s="8"/>
    </row>
    <row r="1984" spans="1:11">
      <c r="A1984">
        <v>100001983</v>
      </c>
      <c r="B1984" t="s">
        <v>245</v>
      </c>
      <c r="C1984" t="s">
        <v>109</v>
      </c>
      <c r="D1984" t="s">
        <v>11</v>
      </c>
      <c r="E1984" s="9">
        <v>26</v>
      </c>
      <c r="F1984" t="s">
        <v>12</v>
      </c>
      <c r="G1984" t="s">
        <v>13</v>
      </c>
      <c r="H1984" s="7">
        <v>42257</v>
      </c>
      <c r="I1984">
        <v>91847.1</v>
      </c>
      <c r="K1984" s="7"/>
    </row>
    <row r="1985" spans="1:11">
      <c r="A1985">
        <v>100001984</v>
      </c>
      <c r="B1985" t="s">
        <v>149</v>
      </c>
      <c r="C1985" t="s">
        <v>124</v>
      </c>
      <c r="D1985" t="s">
        <v>16</v>
      </c>
      <c r="E1985" s="9">
        <v>39</v>
      </c>
      <c r="F1985" t="s">
        <v>12</v>
      </c>
      <c r="G1985" t="s">
        <v>13</v>
      </c>
      <c r="H1985" s="8">
        <v>42257</v>
      </c>
      <c r="I1985">
        <v>4157.79</v>
      </c>
      <c r="K1985" s="8"/>
    </row>
    <row r="1986" spans="1:11">
      <c r="A1986">
        <v>100001985</v>
      </c>
      <c r="B1986" t="s">
        <v>245</v>
      </c>
      <c r="C1986" t="s">
        <v>292</v>
      </c>
      <c r="D1986" t="s">
        <v>11</v>
      </c>
      <c r="E1986" s="9">
        <v>34</v>
      </c>
      <c r="F1986" t="s">
        <v>12</v>
      </c>
      <c r="G1986" t="s">
        <v>13</v>
      </c>
      <c r="H1986" s="7">
        <v>42257</v>
      </c>
      <c r="I1986">
        <v>7149.43</v>
      </c>
      <c r="K1986" s="7"/>
    </row>
    <row r="1987" spans="1:11">
      <c r="A1987">
        <v>100001986</v>
      </c>
      <c r="B1987" t="s">
        <v>173</v>
      </c>
      <c r="C1987" t="s">
        <v>91</v>
      </c>
      <c r="D1987" t="s">
        <v>11</v>
      </c>
      <c r="E1987" s="9">
        <v>41</v>
      </c>
      <c r="F1987" t="s">
        <v>12</v>
      </c>
      <c r="G1987" t="s">
        <v>13</v>
      </c>
      <c r="H1987" s="8">
        <v>42257</v>
      </c>
      <c r="I1987">
        <v>1423.98</v>
      </c>
      <c r="K1987" s="8"/>
    </row>
    <row r="1988" spans="1:11">
      <c r="A1988">
        <v>100001987</v>
      </c>
      <c r="B1988" t="s">
        <v>208</v>
      </c>
      <c r="C1988" t="s">
        <v>272</v>
      </c>
      <c r="D1988" t="s">
        <v>11</v>
      </c>
      <c r="E1988" s="9">
        <v>27</v>
      </c>
      <c r="F1988" t="s">
        <v>12</v>
      </c>
      <c r="G1988" t="s">
        <v>33</v>
      </c>
      <c r="H1988" s="7">
        <v>42257</v>
      </c>
      <c r="I1988">
        <v>10223.59</v>
      </c>
      <c r="K1988" s="7"/>
    </row>
    <row r="1989" spans="1:11">
      <c r="A1989">
        <v>100001988</v>
      </c>
      <c r="B1989" t="s">
        <v>300</v>
      </c>
      <c r="C1989" t="s">
        <v>114</v>
      </c>
      <c r="D1989" t="s">
        <v>16</v>
      </c>
      <c r="E1989" s="9">
        <v>35</v>
      </c>
      <c r="F1989" t="s">
        <v>12</v>
      </c>
      <c r="G1989" t="s">
        <v>13</v>
      </c>
      <c r="H1989" s="8">
        <v>42257</v>
      </c>
      <c r="I1989">
        <v>46370.97</v>
      </c>
      <c r="K1989" s="8"/>
    </row>
    <row r="1990" spans="1:11">
      <c r="A1990">
        <v>200001989</v>
      </c>
      <c r="B1990" t="s">
        <v>128</v>
      </c>
      <c r="C1990" t="s">
        <v>151</v>
      </c>
      <c r="D1990" t="s">
        <v>16</v>
      </c>
      <c r="E1990" s="9">
        <v>48</v>
      </c>
      <c r="F1990" t="s">
        <v>32</v>
      </c>
      <c r="G1990" t="s">
        <v>33</v>
      </c>
      <c r="H1990" s="7">
        <v>42257</v>
      </c>
      <c r="I1990">
        <v>40137.730000000003</v>
      </c>
      <c r="K1990" s="7"/>
    </row>
    <row r="1991" spans="1:11">
      <c r="A1991">
        <v>200001990</v>
      </c>
      <c r="B1991" t="s">
        <v>312</v>
      </c>
      <c r="C1991" t="s">
        <v>295</v>
      </c>
      <c r="D1991" t="s">
        <v>11</v>
      </c>
      <c r="E1991" s="9">
        <v>51</v>
      </c>
      <c r="F1991" t="s">
        <v>32</v>
      </c>
      <c r="G1991" t="s">
        <v>18</v>
      </c>
      <c r="H1991" s="8">
        <v>42257</v>
      </c>
      <c r="I1991">
        <v>27770.799999999999</v>
      </c>
      <c r="K1991" s="8"/>
    </row>
    <row r="1992" spans="1:11">
      <c r="A1992">
        <v>200001991</v>
      </c>
      <c r="B1992" t="s">
        <v>119</v>
      </c>
      <c r="C1992" t="s">
        <v>275</v>
      </c>
      <c r="D1992" t="s">
        <v>16</v>
      </c>
      <c r="E1992" s="9">
        <v>45</v>
      </c>
      <c r="F1992" t="s">
        <v>32</v>
      </c>
      <c r="G1992" t="s">
        <v>13</v>
      </c>
      <c r="H1992" s="7">
        <v>42257</v>
      </c>
      <c r="I1992">
        <v>42756.92</v>
      </c>
      <c r="K1992" s="7"/>
    </row>
    <row r="1993" spans="1:11">
      <c r="A1993">
        <v>200001992</v>
      </c>
      <c r="B1993" t="s">
        <v>191</v>
      </c>
      <c r="C1993" t="s">
        <v>25</v>
      </c>
      <c r="D1993" t="s">
        <v>11</v>
      </c>
      <c r="E1993" s="9">
        <v>60</v>
      </c>
      <c r="F1993" t="s">
        <v>32</v>
      </c>
      <c r="G1993" t="s">
        <v>33</v>
      </c>
      <c r="H1993" s="8">
        <v>42257</v>
      </c>
      <c r="I1993">
        <v>58058.81</v>
      </c>
      <c r="K1993" s="8"/>
    </row>
    <row r="1994" spans="1:11">
      <c r="A1994">
        <v>200001993</v>
      </c>
      <c r="B1994" t="s">
        <v>255</v>
      </c>
      <c r="C1994" t="s">
        <v>58</v>
      </c>
      <c r="D1994" t="s">
        <v>11</v>
      </c>
      <c r="E1994" s="9">
        <v>63</v>
      </c>
      <c r="F1994" t="s">
        <v>32</v>
      </c>
      <c r="G1994" t="s">
        <v>33</v>
      </c>
      <c r="H1994" s="7">
        <v>42257</v>
      </c>
      <c r="I1994">
        <v>53004.65</v>
      </c>
      <c r="K1994" s="7"/>
    </row>
    <row r="1995" spans="1:11">
      <c r="A1995">
        <v>200001994</v>
      </c>
      <c r="B1995" t="s">
        <v>207</v>
      </c>
      <c r="C1995" t="s">
        <v>20</v>
      </c>
      <c r="D1995" t="s">
        <v>11</v>
      </c>
      <c r="E1995" s="9">
        <v>45</v>
      </c>
      <c r="F1995" t="s">
        <v>32</v>
      </c>
      <c r="G1995" t="s">
        <v>33</v>
      </c>
      <c r="H1995" s="8">
        <v>42257</v>
      </c>
      <c r="I1995">
        <v>10473.26</v>
      </c>
      <c r="K1995" s="8"/>
    </row>
    <row r="1996" spans="1:11">
      <c r="A1996">
        <v>200001995</v>
      </c>
      <c r="B1996" t="s">
        <v>112</v>
      </c>
      <c r="C1996" t="s">
        <v>138</v>
      </c>
      <c r="D1996" t="s">
        <v>11</v>
      </c>
      <c r="E1996" s="9">
        <v>45</v>
      </c>
      <c r="F1996" t="s">
        <v>32</v>
      </c>
      <c r="G1996" t="s">
        <v>18</v>
      </c>
      <c r="H1996" s="7">
        <v>42257</v>
      </c>
      <c r="I1996">
        <v>111961.53</v>
      </c>
      <c r="K1996" s="7"/>
    </row>
    <row r="1997" spans="1:11">
      <c r="A1997">
        <v>300001996</v>
      </c>
      <c r="B1997" t="s">
        <v>197</v>
      </c>
      <c r="C1997" t="s">
        <v>100</v>
      </c>
      <c r="D1997" t="s">
        <v>11</v>
      </c>
      <c r="E1997" s="9">
        <v>41</v>
      </c>
      <c r="F1997" t="s">
        <v>23</v>
      </c>
      <c r="G1997" t="s">
        <v>13</v>
      </c>
      <c r="H1997" s="8">
        <v>42257</v>
      </c>
      <c r="I1997">
        <v>4657.16</v>
      </c>
      <c r="K1997" s="8"/>
    </row>
    <row r="1998" spans="1:11">
      <c r="A1998">
        <v>100001997</v>
      </c>
      <c r="B1998" t="s">
        <v>34</v>
      </c>
      <c r="C1998" t="s">
        <v>45</v>
      </c>
      <c r="D1998" t="s">
        <v>16</v>
      </c>
      <c r="E1998" s="9">
        <v>42</v>
      </c>
      <c r="F1998" t="s">
        <v>12</v>
      </c>
      <c r="G1998" t="s">
        <v>13</v>
      </c>
      <c r="H1998" s="7">
        <v>42258</v>
      </c>
      <c r="I1998">
        <v>73121.320000000007</v>
      </c>
      <c r="K1998" s="7"/>
    </row>
    <row r="1999" spans="1:11">
      <c r="A1999">
        <v>100001998</v>
      </c>
      <c r="B1999" t="s">
        <v>262</v>
      </c>
      <c r="C1999" t="s">
        <v>116</v>
      </c>
      <c r="D1999" t="s">
        <v>16</v>
      </c>
      <c r="E1999" s="9">
        <v>30</v>
      </c>
      <c r="F1999" t="s">
        <v>12</v>
      </c>
      <c r="G1999" t="s">
        <v>13</v>
      </c>
      <c r="H1999" s="8">
        <v>42258</v>
      </c>
      <c r="I1999">
        <v>1839.84</v>
      </c>
      <c r="K1999" s="8"/>
    </row>
    <row r="2000" spans="1:11">
      <c r="A2000">
        <v>100001999</v>
      </c>
      <c r="B2000" t="s">
        <v>173</v>
      </c>
      <c r="C2000" t="s">
        <v>260</v>
      </c>
      <c r="D2000" t="s">
        <v>11</v>
      </c>
      <c r="E2000" s="9">
        <v>26</v>
      </c>
      <c r="F2000" t="s">
        <v>12</v>
      </c>
      <c r="G2000" t="s">
        <v>13</v>
      </c>
      <c r="H2000" s="7">
        <v>42258</v>
      </c>
      <c r="I2000">
        <v>80850.12</v>
      </c>
      <c r="K2000" s="7"/>
    </row>
    <row r="2001" spans="1:11">
      <c r="A2001">
        <v>100002000</v>
      </c>
      <c r="B2001" t="s">
        <v>90</v>
      </c>
      <c r="C2001" t="s">
        <v>163</v>
      </c>
      <c r="D2001" t="s">
        <v>11</v>
      </c>
      <c r="E2001" s="9">
        <v>39</v>
      </c>
      <c r="F2001" t="s">
        <v>12</v>
      </c>
      <c r="G2001" t="s">
        <v>13</v>
      </c>
      <c r="H2001" s="8">
        <v>42258</v>
      </c>
      <c r="I2001">
        <v>30475.64</v>
      </c>
      <c r="K2001" s="8"/>
    </row>
    <row r="2002" spans="1:11">
      <c r="A2002">
        <v>100002001</v>
      </c>
      <c r="B2002" t="s">
        <v>119</v>
      </c>
      <c r="C2002" t="s">
        <v>52</v>
      </c>
      <c r="D2002" t="s">
        <v>16</v>
      </c>
      <c r="E2002" s="9">
        <v>43</v>
      </c>
      <c r="F2002" t="s">
        <v>12</v>
      </c>
      <c r="G2002" t="s">
        <v>13</v>
      </c>
      <c r="H2002" s="7">
        <v>42258</v>
      </c>
      <c r="I2002">
        <v>57739.46</v>
      </c>
      <c r="K2002" s="7"/>
    </row>
    <row r="2003" spans="1:11">
      <c r="A2003">
        <v>100002002</v>
      </c>
      <c r="B2003" t="s">
        <v>308</v>
      </c>
      <c r="C2003" t="s">
        <v>152</v>
      </c>
      <c r="D2003" t="s">
        <v>16</v>
      </c>
      <c r="E2003" s="9">
        <v>30</v>
      </c>
      <c r="F2003" t="s">
        <v>12</v>
      </c>
      <c r="G2003" t="s">
        <v>13</v>
      </c>
      <c r="H2003" s="8">
        <v>42258</v>
      </c>
      <c r="I2003">
        <v>12356.64</v>
      </c>
      <c r="K2003" s="8"/>
    </row>
    <row r="2004" spans="1:11">
      <c r="A2004">
        <v>100002003</v>
      </c>
      <c r="B2004" t="s">
        <v>34</v>
      </c>
      <c r="C2004" t="s">
        <v>295</v>
      </c>
      <c r="D2004" t="s">
        <v>16</v>
      </c>
      <c r="E2004" s="9">
        <v>40</v>
      </c>
      <c r="F2004" t="s">
        <v>12</v>
      </c>
      <c r="G2004" t="s">
        <v>13</v>
      </c>
      <c r="H2004" s="7">
        <v>42258</v>
      </c>
      <c r="I2004">
        <v>50283.03</v>
      </c>
      <c r="K2004" s="7"/>
    </row>
    <row r="2005" spans="1:11">
      <c r="A2005">
        <v>100002004</v>
      </c>
      <c r="B2005" t="s">
        <v>120</v>
      </c>
      <c r="C2005" t="s">
        <v>242</v>
      </c>
      <c r="D2005" t="s">
        <v>16</v>
      </c>
      <c r="E2005" s="9">
        <v>28</v>
      </c>
      <c r="F2005" t="s">
        <v>12</v>
      </c>
      <c r="G2005" t="s">
        <v>13</v>
      </c>
      <c r="H2005" s="8">
        <v>42258</v>
      </c>
      <c r="I2005">
        <v>39275.120000000003</v>
      </c>
      <c r="K2005" s="8"/>
    </row>
    <row r="2006" spans="1:11">
      <c r="A2006">
        <v>100002005</v>
      </c>
      <c r="B2006" t="s">
        <v>24</v>
      </c>
      <c r="C2006" t="s">
        <v>290</v>
      </c>
      <c r="D2006" t="s">
        <v>16</v>
      </c>
      <c r="E2006" s="9">
        <v>49</v>
      </c>
      <c r="F2006" t="s">
        <v>12</v>
      </c>
      <c r="G2006" t="s">
        <v>13</v>
      </c>
      <c r="H2006" s="7">
        <v>42258</v>
      </c>
      <c r="I2006">
        <v>1602.81</v>
      </c>
      <c r="K2006" s="7"/>
    </row>
    <row r="2007" spans="1:11">
      <c r="A2007">
        <v>100002006</v>
      </c>
      <c r="B2007" t="s">
        <v>202</v>
      </c>
      <c r="C2007" t="s">
        <v>80</v>
      </c>
      <c r="D2007" t="s">
        <v>11</v>
      </c>
      <c r="E2007" s="9">
        <v>27</v>
      </c>
      <c r="F2007" t="s">
        <v>12</v>
      </c>
      <c r="G2007" t="s">
        <v>33</v>
      </c>
      <c r="H2007" s="8">
        <v>42258</v>
      </c>
      <c r="I2007">
        <v>36303.300000000003</v>
      </c>
      <c r="K2007" s="8"/>
    </row>
    <row r="2008" spans="1:11">
      <c r="A2008">
        <v>200002007</v>
      </c>
      <c r="B2008" t="s">
        <v>181</v>
      </c>
      <c r="C2008" t="s">
        <v>114</v>
      </c>
      <c r="D2008" t="s">
        <v>11</v>
      </c>
      <c r="E2008" s="9">
        <v>51</v>
      </c>
      <c r="F2008" t="s">
        <v>32</v>
      </c>
      <c r="G2008" t="s">
        <v>33</v>
      </c>
      <c r="H2008" s="7">
        <v>42258</v>
      </c>
      <c r="I2008">
        <v>16192.49</v>
      </c>
      <c r="K2008" s="7"/>
    </row>
    <row r="2009" spans="1:11">
      <c r="A2009">
        <v>200002008</v>
      </c>
      <c r="B2009" t="s">
        <v>171</v>
      </c>
      <c r="C2009" t="s">
        <v>313</v>
      </c>
      <c r="D2009" t="s">
        <v>16</v>
      </c>
      <c r="E2009" s="9">
        <v>49</v>
      </c>
      <c r="F2009" t="s">
        <v>32</v>
      </c>
      <c r="G2009" t="s">
        <v>33</v>
      </c>
      <c r="H2009" s="8">
        <v>42258</v>
      </c>
      <c r="I2009">
        <v>62026.18</v>
      </c>
      <c r="K2009" s="8"/>
    </row>
    <row r="2010" spans="1:11">
      <c r="A2010">
        <v>200002009</v>
      </c>
      <c r="B2010" t="s">
        <v>9</v>
      </c>
      <c r="C2010" t="s">
        <v>318</v>
      </c>
      <c r="D2010" t="s">
        <v>11</v>
      </c>
      <c r="E2010" s="9">
        <v>52</v>
      </c>
      <c r="F2010" t="s">
        <v>32</v>
      </c>
      <c r="G2010" t="s">
        <v>33</v>
      </c>
      <c r="H2010" s="7">
        <v>42258</v>
      </c>
      <c r="I2010">
        <v>35191.56</v>
      </c>
      <c r="K2010" s="7"/>
    </row>
    <row r="2011" spans="1:11">
      <c r="A2011">
        <v>200002010</v>
      </c>
      <c r="B2011" t="s">
        <v>213</v>
      </c>
      <c r="C2011" t="s">
        <v>239</v>
      </c>
      <c r="D2011" t="s">
        <v>11</v>
      </c>
      <c r="E2011" s="9">
        <v>50</v>
      </c>
      <c r="F2011" t="s">
        <v>32</v>
      </c>
      <c r="G2011" t="s">
        <v>33</v>
      </c>
      <c r="H2011" s="8">
        <v>42258</v>
      </c>
      <c r="I2011">
        <v>172085.48</v>
      </c>
      <c r="K2011" s="8"/>
    </row>
    <row r="2012" spans="1:11">
      <c r="A2012">
        <v>200002011</v>
      </c>
      <c r="B2012" t="s">
        <v>128</v>
      </c>
      <c r="C2012" t="s">
        <v>71</v>
      </c>
      <c r="D2012" t="s">
        <v>16</v>
      </c>
      <c r="E2012" s="9">
        <v>53</v>
      </c>
      <c r="F2012" t="s">
        <v>32</v>
      </c>
      <c r="G2012" t="s">
        <v>33</v>
      </c>
      <c r="H2012" s="7">
        <v>42258</v>
      </c>
      <c r="I2012">
        <v>56872.97</v>
      </c>
      <c r="K2012" s="7"/>
    </row>
    <row r="2013" spans="1:11">
      <c r="A2013">
        <v>300002012</v>
      </c>
      <c r="B2013" t="s">
        <v>62</v>
      </c>
      <c r="C2013" t="s">
        <v>315</v>
      </c>
      <c r="D2013" t="s">
        <v>16</v>
      </c>
      <c r="E2013" s="9">
        <v>19</v>
      </c>
      <c r="F2013" t="s">
        <v>23</v>
      </c>
      <c r="G2013" t="s">
        <v>18</v>
      </c>
      <c r="H2013" s="8">
        <v>42258</v>
      </c>
      <c r="I2013">
        <v>71036.740000000005</v>
      </c>
      <c r="K2013" s="8"/>
    </row>
    <row r="2014" spans="1:11">
      <c r="A2014">
        <v>400002013</v>
      </c>
      <c r="B2014" t="s">
        <v>60</v>
      </c>
      <c r="C2014" t="s">
        <v>185</v>
      </c>
      <c r="D2014" t="s">
        <v>11</v>
      </c>
      <c r="E2014" s="9">
        <v>18</v>
      </c>
      <c r="F2014" t="s">
        <v>17</v>
      </c>
      <c r="G2014" t="s">
        <v>13</v>
      </c>
      <c r="H2014" s="7">
        <v>42258</v>
      </c>
      <c r="I2014">
        <v>50457.71</v>
      </c>
      <c r="K2014" s="7"/>
    </row>
    <row r="2015" spans="1:11">
      <c r="A2015">
        <v>400002014</v>
      </c>
      <c r="B2015" t="s">
        <v>180</v>
      </c>
      <c r="C2015" t="s">
        <v>295</v>
      </c>
      <c r="D2015" t="s">
        <v>16</v>
      </c>
      <c r="E2015" s="9">
        <v>31</v>
      </c>
      <c r="F2015" t="s">
        <v>17</v>
      </c>
      <c r="G2015" t="s">
        <v>33</v>
      </c>
      <c r="H2015" s="8">
        <v>42258</v>
      </c>
      <c r="I2015">
        <v>8261.2000000000007</v>
      </c>
      <c r="K2015" s="8"/>
    </row>
    <row r="2016" spans="1:11">
      <c r="A2016">
        <v>400002015</v>
      </c>
      <c r="B2016" t="s">
        <v>83</v>
      </c>
      <c r="C2016" t="s">
        <v>125</v>
      </c>
      <c r="D2016" t="s">
        <v>16</v>
      </c>
      <c r="E2016" s="9">
        <v>55</v>
      </c>
      <c r="F2016" t="s">
        <v>17</v>
      </c>
      <c r="G2016" t="s">
        <v>33</v>
      </c>
      <c r="H2016" s="7">
        <v>42258</v>
      </c>
      <c r="I2016">
        <v>55111.01</v>
      </c>
      <c r="K2016" s="7"/>
    </row>
    <row r="2017" spans="1:11">
      <c r="A2017">
        <v>400002016</v>
      </c>
      <c r="B2017" t="s">
        <v>62</v>
      </c>
      <c r="C2017" t="s">
        <v>47</v>
      </c>
      <c r="D2017" t="s">
        <v>16</v>
      </c>
      <c r="E2017" s="9">
        <v>36</v>
      </c>
      <c r="F2017" t="s">
        <v>17</v>
      </c>
      <c r="G2017" t="s">
        <v>18</v>
      </c>
      <c r="H2017" s="8">
        <v>42258</v>
      </c>
      <c r="I2017">
        <v>19799.419999999998</v>
      </c>
      <c r="K2017" s="8"/>
    </row>
    <row r="2018" spans="1:11">
      <c r="A2018">
        <v>100002017</v>
      </c>
      <c r="B2018" t="s">
        <v>175</v>
      </c>
      <c r="C2018" t="s">
        <v>153</v>
      </c>
      <c r="D2018" t="s">
        <v>11</v>
      </c>
      <c r="E2018" s="9">
        <v>43</v>
      </c>
      <c r="F2018" t="s">
        <v>12</v>
      </c>
      <c r="G2018" t="s">
        <v>13</v>
      </c>
      <c r="H2018" s="7">
        <v>42259</v>
      </c>
      <c r="I2018">
        <v>11880.68</v>
      </c>
      <c r="K2018" s="7"/>
    </row>
    <row r="2019" spans="1:11">
      <c r="A2019">
        <v>100002018</v>
      </c>
      <c r="B2019" t="s">
        <v>141</v>
      </c>
      <c r="C2019" t="s">
        <v>78</v>
      </c>
      <c r="D2019" t="s">
        <v>11</v>
      </c>
      <c r="E2019" s="9">
        <v>31</v>
      </c>
      <c r="F2019" t="s">
        <v>12</v>
      </c>
      <c r="G2019" t="s">
        <v>18</v>
      </c>
      <c r="H2019" s="8">
        <v>42259</v>
      </c>
      <c r="I2019">
        <v>9099.81</v>
      </c>
      <c r="K2019" s="8"/>
    </row>
    <row r="2020" spans="1:11">
      <c r="A2020">
        <v>100002019</v>
      </c>
      <c r="B2020" t="s">
        <v>48</v>
      </c>
      <c r="C2020" t="s">
        <v>163</v>
      </c>
      <c r="D2020" t="s">
        <v>16</v>
      </c>
      <c r="E2020" s="9">
        <v>34</v>
      </c>
      <c r="F2020" t="s">
        <v>12</v>
      </c>
      <c r="G2020" t="s">
        <v>18</v>
      </c>
      <c r="H2020" s="7">
        <v>42259</v>
      </c>
      <c r="I2020">
        <v>3279.7</v>
      </c>
      <c r="K2020" s="7"/>
    </row>
    <row r="2021" spans="1:11">
      <c r="A2021">
        <v>100002020</v>
      </c>
      <c r="B2021" t="s">
        <v>105</v>
      </c>
      <c r="C2021" t="s">
        <v>132</v>
      </c>
      <c r="D2021" t="s">
        <v>16</v>
      </c>
      <c r="E2021" s="9">
        <v>25</v>
      </c>
      <c r="F2021" t="s">
        <v>12</v>
      </c>
      <c r="G2021" t="s">
        <v>13</v>
      </c>
      <c r="H2021" s="8">
        <v>42259</v>
      </c>
      <c r="I2021">
        <v>54930.04</v>
      </c>
      <c r="K2021" s="8"/>
    </row>
    <row r="2022" spans="1:11">
      <c r="A2022">
        <v>100002021</v>
      </c>
      <c r="B2022" t="s">
        <v>48</v>
      </c>
      <c r="C2022" t="s">
        <v>35</v>
      </c>
      <c r="D2022" t="s">
        <v>16</v>
      </c>
      <c r="E2022" s="9">
        <v>38</v>
      </c>
      <c r="F2022" t="s">
        <v>12</v>
      </c>
      <c r="G2022" t="s">
        <v>13</v>
      </c>
      <c r="H2022" s="7">
        <v>42259</v>
      </c>
      <c r="I2022">
        <v>9071.7099999999991</v>
      </c>
      <c r="K2022" s="7"/>
    </row>
    <row r="2023" spans="1:11">
      <c r="A2023">
        <v>100002022</v>
      </c>
      <c r="B2023" t="s">
        <v>129</v>
      </c>
      <c r="C2023" t="s">
        <v>310</v>
      </c>
      <c r="D2023" t="s">
        <v>11</v>
      </c>
      <c r="E2023" s="9">
        <v>37</v>
      </c>
      <c r="F2023" t="s">
        <v>12</v>
      </c>
      <c r="G2023" t="s">
        <v>13</v>
      </c>
      <c r="H2023" s="8">
        <v>42259</v>
      </c>
      <c r="I2023">
        <v>32591.02</v>
      </c>
      <c r="K2023" s="8"/>
    </row>
    <row r="2024" spans="1:11">
      <c r="A2024">
        <v>100002023</v>
      </c>
      <c r="B2024" t="s">
        <v>103</v>
      </c>
      <c r="C2024" t="s">
        <v>125</v>
      </c>
      <c r="D2024" t="s">
        <v>11</v>
      </c>
      <c r="E2024" s="9">
        <v>36</v>
      </c>
      <c r="F2024" t="s">
        <v>12</v>
      </c>
      <c r="G2024" t="s">
        <v>13</v>
      </c>
      <c r="H2024" s="7">
        <v>42259</v>
      </c>
      <c r="I2024">
        <v>45626.720000000001</v>
      </c>
      <c r="K2024" s="7"/>
    </row>
    <row r="2025" spans="1:11">
      <c r="A2025">
        <v>200002024</v>
      </c>
      <c r="B2025" t="s">
        <v>213</v>
      </c>
      <c r="C2025" t="s">
        <v>310</v>
      </c>
      <c r="D2025" t="s">
        <v>11</v>
      </c>
      <c r="E2025" s="9">
        <v>51</v>
      </c>
      <c r="F2025" t="s">
        <v>32</v>
      </c>
      <c r="G2025" t="s">
        <v>18</v>
      </c>
      <c r="H2025" s="8">
        <v>42259</v>
      </c>
      <c r="I2025">
        <v>50629.7</v>
      </c>
      <c r="K2025" s="8"/>
    </row>
    <row r="2026" spans="1:11">
      <c r="A2026">
        <v>200002025</v>
      </c>
      <c r="B2026" t="s">
        <v>122</v>
      </c>
      <c r="C2026" t="s">
        <v>155</v>
      </c>
      <c r="D2026" t="s">
        <v>11</v>
      </c>
      <c r="E2026" s="9">
        <v>58</v>
      </c>
      <c r="F2026" t="s">
        <v>32</v>
      </c>
      <c r="G2026" t="s">
        <v>13</v>
      </c>
      <c r="H2026" s="7">
        <v>42259</v>
      </c>
      <c r="I2026">
        <v>139610.13</v>
      </c>
      <c r="K2026" s="7"/>
    </row>
    <row r="2027" spans="1:11">
      <c r="A2027">
        <v>200002026</v>
      </c>
      <c r="B2027" t="s">
        <v>74</v>
      </c>
      <c r="C2027" t="s">
        <v>225</v>
      </c>
      <c r="D2027" t="s">
        <v>16</v>
      </c>
      <c r="E2027" s="9">
        <v>44</v>
      </c>
      <c r="F2027" t="s">
        <v>32</v>
      </c>
      <c r="G2027" t="s">
        <v>33</v>
      </c>
      <c r="H2027" s="8">
        <v>42259</v>
      </c>
      <c r="I2027">
        <v>19326.71</v>
      </c>
      <c r="K2027" s="8"/>
    </row>
    <row r="2028" spans="1:11">
      <c r="A2028">
        <v>200002027</v>
      </c>
      <c r="B2028" t="s">
        <v>161</v>
      </c>
      <c r="C2028" t="s">
        <v>278</v>
      </c>
      <c r="D2028" t="s">
        <v>16</v>
      </c>
      <c r="E2028" s="9">
        <v>52</v>
      </c>
      <c r="F2028" t="s">
        <v>32</v>
      </c>
      <c r="G2028" t="s">
        <v>18</v>
      </c>
      <c r="H2028" s="7">
        <v>42259</v>
      </c>
      <c r="I2028">
        <v>97609.31</v>
      </c>
      <c r="K2028" s="7"/>
    </row>
    <row r="2029" spans="1:11">
      <c r="A2029">
        <v>200002028</v>
      </c>
      <c r="B2029" t="s">
        <v>186</v>
      </c>
      <c r="C2029" t="s">
        <v>212</v>
      </c>
      <c r="D2029" t="s">
        <v>11</v>
      </c>
      <c r="E2029" s="9">
        <v>50</v>
      </c>
      <c r="F2029" t="s">
        <v>32</v>
      </c>
      <c r="G2029" t="s">
        <v>33</v>
      </c>
      <c r="H2029" s="8">
        <v>42259</v>
      </c>
      <c r="I2029">
        <v>27043.73</v>
      </c>
      <c r="K2029" s="8"/>
    </row>
    <row r="2030" spans="1:11">
      <c r="A2030">
        <v>200002029</v>
      </c>
      <c r="B2030" t="s">
        <v>36</v>
      </c>
      <c r="C2030" t="s">
        <v>82</v>
      </c>
      <c r="D2030" t="s">
        <v>11</v>
      </c>
      <c r="E2030" s="9">
        <v>60</v>
      </c>
      <c r="F2030" t="s">
        <v>32</v>
      </c>
      <c r="G2030" t="s">
        <v>18</v>
      </c>
      <c r="H2030" s="7">
        <v>42259</v>
      </c>
      <c r="I2030">
        <v>59183.23</v>
      </c>
      <c r="K2030" s="7"/>
    </row>
    <row r="2031" spans="1:11">
      <c r="A2031">
        <v>200002030</v>
      </c>
      <c r="B2031" t="s">
        <v>103</v>
      </c>
      <c r="C2031" t="s">
        <v>178</v>
      </c>
      <c r="D2031" t="s">
        <v>11</v>
      </c>
      <c r="E2031" s="9">
        <v>46</v>
      </c>
      <c r="F2031" t="s">
        <v>32</v>
      </c>
      <c r="G2031" t="s">
        <v>18</v>
      </c>
      <c r="H2031" s="8">
        <v>42259</v>
      </c>
      <c r="I2031">
        <v>47720.66</v>
      </c>
      <c r="K2031" s="8"/>
    </row>
    <row r="2032" spans="1:11">
      <c r="A2032">
        <v>300002031</v>
      </c>
      <c r="B2032" t="s">
        <v>111</v>
      </c>
      <c r="C2032" t="s">
        <v>123</v>
      </c>
      <c r="D2032" t="s">
        <v>11</v>
      </c>
      <c r="E2032" s="9">
        <v>22</v>
      </c>
      <c r="F2032" t="s">
        <v>23</v>
      </c>
      <c r="G2032" t="s">
        <v>13</v>
      </c>
      <c r="H2032" s="7">
        <v>42259</v>
      </c>
      <c r="I2032">
        <v>96018.25</v>
      </c>
      <c r="K2032" s="7"/>
    </row>
    <row r="2033" spans="1:11">
      <c r="A2033">
        <v>300002032</v>
      </c>
      <c r="B2033" t="s">
        <v>64</v>
      </c>
      <c r="C2033" t="s">
        <v>93</v>
      </c>
      <c r="D2033" t="s">
        <v>11</v>
      </c>
      <c r="E2033" s="9">
        <v>31</v>
      </c>
      <c r="F2033" t="s">
        <v>23</v>
      </c>
      <c r="G2033" t="s">
        <v>18</v>
      </c>
      <c r="H2033" s="8">
        <v>42259</v>
      </c>
      <c r="I2033">
        <v>29371.32</v>
      </c>
      <c r="K2033" s="8"/>
    </row>
    <row r="2034" spans="1:11">
      <c r="A2034">
        <v>300002033</v>
      </c>
      <c r="B2034" t="s">
        <v>228</v>
      </c>
      <c r="C2034" t="s">
        <v>67</v>
      </c>
      <c r="D2034" t="s">
        <v>11</v>
      </c>
      <c r="E2034" s="9">
        <v>38</v>
      </c>
      <c r="F2034" t="s">
        <v>23</v>
      </c>
      <c r="G2034" t="s">
        <v>13</v>
      </c>
      <c r="H2034" s="7">
        <v>42259</v>
      </c>
      <c r="I2034">
        <v>63211.19</v>
      </c>
      <c r="K2034" s="7"/>
    </row>
    <row r="2035" spans="1:11">
      <c r="A2035">
        <v>100002034</v>
      </c>
      <c r="B2035" t="s">
        <v>254</v>
      </c>
      <c r="C2035" t="s">
        <v>132</v>
      </c>
      <c r="D2035" t="s">
        <v>11</v>
      </c>
      <c r="E2035" s="9">
        <v>43</v>
      </c>
      <c r="F2035" t="s">
        <v>12</v>
      </c>
      <c r="G2035" t="s">
        <v>13</v>
      </c>
      <c r="H2035" s="8">
        <v>42260</v>
      </c>
      <c r="I2035">
        <v>51578.31</v>
      </c>
      <c r="K2035" s="8"/>
    </row>
    <row r="2036" spans="1:11">
      <c r="A2036">
        <v>100002035</v>
      </c>
      <c r="B2036" t="s">
        <v>118</v>
      </c>
      <c r="C2036" t="s">
        <v>259</v>
      </c>
      <c r="D2036" t="s">
        <v>11</v>
      </c>
      <c r="E2036" s="9">
        <v>29</v>
      </c>
      <c r="F2036" t="s">
        <v>12</v>
      </c>
      <c r="G2036" t="s">
        <v>13</v>
      </c>
      <c r="H2036" s="7">
        <v>42260</v>
      </c>
      <c r="I2036">
        <v>12258.48</v>
      </c>
      <c r="K2036" s="7"/>
    </row>
    <row r="2037" spans="1:11">
      <c r="A2037">
        <v>100002036</v>
      </c>
      <c r="B2037" t="s">
        <v>287</v>
      </c>
      <c r="C2037" t="s">
        <v>91</v>
      </c>
      <c r="D2037" t="s">
        <v>16</v>
      </c>
      <c r="E2037" s="9">
        <v>37</v>
      </c>
      <c r="F2037" t="s">
        <v>12</v>
      </c>
      <c r="G2037" t="s">
        <v>33</v>
      </c>
      <c r="H2037" s="8">
        <v>42260</v>
      </c>
      <c r="I2037">
        <v>93845.6</v>
      </c>
      <c r="K2037" s="8"/>
    </row>
    <row r="2038" spans="1:11">
      <c r="A2038">
        <v>100002037</v>
      </c>
      <c r="B2038" t="s">
        <v>147</v>
      </c>
      <c r="C2038" t="s">
        <v>253</v>
      </c>
      <c r="D2038" t="s">
        <v>11</v>
      </c>
      <c r="E2038" s="9">
        <v>31</v>
      </c>
      <c r="F2038" t="s">
        <v>12</v>
      </c>
      <c r="G2038" t="s">
        <v>13</v>
      </c>
      <c r="H2038" s="7">
        <v>42260</v>
      </c>
      <c r="I2038">
        <v>88023.96</v>
      </c>
      <c r="K2038" s="7"/>
    </row>
    <row r="2039" spans="1:11">
      <c r="A2039">
        <v>100002038</v>
      </c>
      <c r="B2039" t="s">
        <v>245</v>
      </c>
      <c r="C2039" t="s">
        <v>58</v>
      </c>
      <c r="D2039" t="s">
        <v>11</v>
      </c>
      <c r="E2039" s="9">
        <v>29</v>
      </c>
      <c r="F2039" t="s">
        <v>12</v>
      </c>
      <c r="G2039" t="s">
        <v>33</v>
      </c>
      <c r="H2039" s="8">
        <v>42260</v>
      </c>
      <c r="I2039">
        <v>70086.820000000007</v>
      </c>
      <c r="K2039" s="8"/>
    </row>
    <row r="2040" spans="1:11">
      <c r="A2040">
        <v>200002039</v>
      </c>
      <c r="B2040" t="s">
        <v>135</v>
      </c>
      <c r="C2040" t="s">
        <v>78</v>
      </c>
      <c r="D2040" t="s">
        <v>11</v>
      </c>
      <c r="E2040" s="9">
        <v>58</v>
      </c>
      <c r="F2040" t="s">
        <v>32</v>
      </c>
      <c r="G2040" t="s">
        <v>18</v>
      </c>
      <c r="H2040" s="7">
        <v>42260</v>
      </c>
      <c r="I2040">
        <v>20162.2</v>
      </c>
      <c r="K2040" s="7"/>
    </row>
    <row r="2041" spans="1:11">
      <c r="A2041">
        <v>200002040</v>
      </c>
      <c r="B2041" t="s">
        <v>207</v>
      </c>
      <c r="C2041" t="s">
        <v>252</v>
      </c>
      <c r="D2041" t="s">
        <v>11</v>
      </c>
      <c r="E2041" s="9">
        <v>40</v>
      </c>
      <c r="F2041" t="s">
        <v>32</v>
      </c>
      <c r="G2041" t="s">
        <v>13</v>
      </c>
      <c r="H2041" s="8">
        <v>42260</v>
      </c>
      <c r="I2041">
        <v>34944.910000000003</v>
      </c>
      <c r="K2041" s="8"/>
    </row>
    <row r="2042" spans="1:11">
      <c r="A2042">
        <v>200002041</v>
      </c>
      <c r="B2042" t="s">
        <v>309</v>
      </c>
      <c r="C2042" t="s">
        <v>65</v>
      </c>
      <c r="D2042" t="s">
        <v>16</v>
      </c>
      <c r="E2042" s="9">
        <v>64</v>
      </c>
      <c r="F2042" t="s">
        <v>32</v>
      </c>
      <c r="G2042" t="s">
        <v>18</v>
      </c>
      <c r="H2042" s="7">
        <v>42260</v>
      </c>
      <c r="I2042">
        <v>24729.53</v>
      </c>
      <c r="K2042" s="7"/>
    </row>
    <row r="2043" spans="1:11">
      <c r="A2043">
        <v>200002042</v>
      </c>
      <c r="B2043" t="s">
        <v>316</v>
      </c>
      <c r="C2043" t="s">
        <v>201</v>
      </c>
      <c r="D2043" t="s">
        <v>16</v>
      </c>
      <c r="E2043" s="9">
        <v>33</v>
      </c>
      <c r="F2043" t="s">
        <v>32</v>
      </c>
      <c r="G2043" t="s">
        <v>33</v>
      </c>
      <c r="H2043" s="8">
        <v>42260</v>
      </c>
      <c r="I2043">
        <v>27833.06</v>
      </c>
      <c r="K2043" s="8"/>
    </row>
    <row r="2044" spans="1:11">
      <c r="A2044">
        <v>200002043</v>
      </c>
      <c r="B2044" t="s">
        <v>175</v>
      </c>
      <c r="C2044" t="s">
        <v>286</v>
      </c>
      <c r="D2044" t="s">
        <v>11</v>
      </c>
      <c r="E2044" s="9">
        <v>56</v>
      </c>
      <c r="F2044" t="s">
        <v>32</v>
      </c>
      <c r="G2044" t="s">
        <v>18</v>
      </c>
      <c r="H2044" s="7">
        <v>42260</v>
      </c>
      <c r="I2044">
        <v>9249.08</v>
      </c>
      <c r="K2044" s="7"/>
    </row>
    <row r="2045" spans="1:11">
      <c r="A2045">
        <v>300002044</v>
      </c>
      <c r="B2045" t="s">
        <v>243</v>
      </c>
      <c r="C2045" t="s">
        <v>212</v>
      </c>
      <c r="D2045" t="s">
        <v>16</v>
      </c>
      <c r="E2045" s="9">
        <v>34</v>
      </c>
      <c r="F2045" t="s">
        <v>23</v>
      </c>
      <c r="G2045" t="s">
        <v>33</v>
      </c>
      <c r="H2045" s="8">
        <v>42260</v>
      </c>
      <c r="I2045">
        <v>55297.13</v>
      </c>
      <c r="K2045" s="8"/>
    </row>
    <row r="2046" spans="1:11">
      <c r="A2046">
        <v>300002045</v>
      </c>
      <c r="B2046" t="s">
        <v>131</v>
      </c>
      <c r="C2046" t="s">
        <v>294</v>
      </c>
      <c r="D2046" t="s">
        <v>16</v>
      </c>
      <c r="E2046" s="9">
        <v>37</v>
      </c>
      <c r="F2046" t="s">
        <v>23</v>
      </c>
      <c r="G2046" t="s">
        <v>13</v>
      </c>
      <c r="H2046" s="7">
        <v>42260</v>
      </c>
      <c r="I2046">
        <v>16581.560000000001</v>
      </c>
      <c r="K2046" s="7"/>
    </row>
    <row r="2047" spans="1:11">
      <c r="A2047">
        <v>400002046</v>
      </c>
      <c r="B2047" t="s">
        <v>74</v>
      </c>
      <c r="C2047" t="s">
        <v>248</v>
      </c>
      <c r="D2047" t="s">
        <v>16</v>
      </c>
      <c r="E2047" s="9">
        <v>19</v>
      </c>
      <c r="F2047" t="s">
        <v>17</v>
      </c>
      <c r="G2047" t="s">
        <v>18</v>
      </c>
      <c r="H2047" s="8">
        <v>42260</v>
      </c>
      <c r="I2047">
        <v>69.78</v>
      </c>
      <c r="K2047" s="8"/>
    </row>
    <row r="2048" spans="1:11">
      <c r="A2048">
        <v>400002047</v>
      </c>
      <c r="B2048" t="s">
        <v>193</v>
      </c>
      <c r="C2048" t="s">
        <v>35</v>
      </c>
      <c r="D2048" t="s">
        <v>11</v>
      </c>
      <c r="E2048" s="9">
        <v>21</v>
      </c>
      <c r="F2048" t="s">
        <v>17</v>
      </c>
      <c r="G2048" t="s">
        <v>18</v>
      </c>
      <c r="H2048" s="7">
        <v>42260</v>
      </c>
      <c r="I2048">
        <v>16696.080000000002</v>
      </c>
      <c r="K2048" s="7"/>
    </row>
    <row r="2049" spans="1:11">
      <c r="A2049">
        <v>100002048</v>
      </c>
      <c r="B2049" t="s">
        <v>200</v>
      </c>
      <c r="C2049" t="s">
        <v>80</v>
      </c>
      <c r="D2049" t="s">
        <v>16</v>
      </c>
      <c r="E2049" s="9">
        <v>37</v>
      </c>
      <c r="F2049" t="s">
        <v>12</v>
      </c>
      <c r="G2049" t="s">
        <v>13</v>
      </c>
      <c r="H2049" s="8">
        <v>42261</v>
      </c>
      <c r="I2049">
        <v>31435.65</v>
      </c>
      <c r="K2049" s="8"/>
    </row>
    <row r="2050" spans="1:11">
      <c r="A2050">
        <v>100002049</v>
      </c>
      <c r="B2050" t="s">
        <v>319</v>
      </c>
      <c r="C2050" t="s">
        <v>47</v>
      </c>
      <c r="D2050" t="s">
        <v>16</v>
      </c>
      <c r="E2050" s="9">
        <v>31</v>
      </c>
      <c r="F2050" t="s">
        <v>12</v>
      </c>
      <c r="G2050" t="s">
        <v>13</v>
      </c>
      <c r="H2050" s="7">
        <v>42261</v>
      </c>
      <c r="I2050">
        <v>70153.14</v>
      </c>
      <c r="K2050" s="7"/>
    </row>
    <row r="2051" spans="1:11">
      <c r="A2051">
        <v>100002050</v>
      </c>
      <c r="B2051" t="s">
        <v>215</v>
      </c>
      <c r="C2051" t="s">
        <v>248</v>
      </c>
      <c r="D2051" t="s">
        <v>16</v>
      </c>
      <c r="E2051" s="9">
        <v>28</v>
      </c>
      <c r="F2051" t="s">
        <v>12</v>
      </c>
      <c r="G2051" t="s">
        <v>13</v>
      </c>
      <c r="H2051" s="8">
        <v>42261</v>
      </c>
      <c r="I2051">
        <v>82638.509999999995</v>
      </c>
      <c r="K2051" s="8"/>
    </row>
    <row r="2052" spans="1:11">
      <c r="A2052">
        <v>100002051</v>
      </c>
      <c r="B2052" t="s">
        <v>254</v>
      </c>
      <c r="C2052" t="s">
        <v>71</v>
      </c>
      <c r="D2052" t="s">
        <v>11</v>
      </c>
      <c r="E2052" s="9">
        <v>40</v>
      </c>
      <c r="F2052" t="s">
        <v>12</v>
      </c>
      <c r="G2052" t="s">
        <v>13</v>
      </c>
      <c r="H2052" s="7">
        <v>42261</v>
      </c>
      <c r="I2052">
        <v>45671.3</v>
      </c>
      <c r="K2052" s="7"/>
    </row>
    <row r="2053" spans="1:11">
      <c r="A2053">
        <v>100002052</v>
      </c>
      <c r="B2053" t="s">
        <v>255</v>
      </c>
      <c r="C2053" t="s">
        <v>47</v>
      </c>
      <c r="D2053" t="s">
        <v>11</v>
      </c>
      <c r="E2053" s="9">
        <v>48</v>
      </c>
      <c r="F2053" t="s">
        <v>12</v>
      </c>
      <c r="G2053" t="s">
        <v>18</v>
      </c>
      <c r="H2053" s="8">
        <v>42261</v>
      </c>
      <c r="I2053">
        <v>62065.37</v>
      </c>
      <c r="K2053" s="8"/>
    </row>
    <row r="2054" spans="1:11">
      <c r="A2054">
        <v>100002053</v>
      </c>
      <c r="B2054" t="s">
        <v>261</v>
      </c>
      <c r="C2054" t="s">
        <v>282</v>
      </c>
      <c r="D2054" t="s">
        <v>11</v>
      </c>
      <c r="E2054" s="9">
        <v>38</v>
      </c>
      <c r="F2054" t="s">
        <v>12</v>
      </c>
      <c r="G2054" t="s">
        <v>13</v>
      </c>
      <c r="H2054" s="7">
        <v>42261</v>
      </c>
      <c r="I2054">
        <v>98022.86</v>
      </c>
      <c r="K2054" s="7"/>
    </row>
    <row r="2055" spans="1:11">
      <c r="A2055">
        <v>100002054</v>
      </c>
      <c r="B2055" t="s">
        <v>158</v>
      </c>
      <c r="C2055" t="s">
        <v>241</v>
      </c>
      <c r="D2055" t="s">
        <v>16</v>
      </c>
      <c r="E2055" s="9">
        <v>34</v>
      </c>
      <c r="F2055" t="s">
        <v>12</v>
      </c>
      <c r="G2055" t="s">
        <v>13</v>
      </c>
      <c r="H2055" s="8">
        <v>42261</v>
      </c>
      <c r="I2055">
        <v>7520</v>
      </c>
      <c r="K2055" s="8"/>
    </row>
    <row r="2056" spans="1:11">
      <c r="A2056">
        <v>100002055</v>
      </c>
      <c r="B2056" t="s">
        <v>146</v>
      </c>
      <c r="C2056" t="s">
        <v>155</v>
      </c>
      <c r="D2056" t="s">
        <v>16</v>
      </c>
      <c r="E2056" s="9">
        <v>26</v>
      </c>
      <c r="F2056" t="s">
        <v>12</v>
      </c>
      <c r="G2056" t="s">
        <v>13</v>
      </c>
      <c r="H2056" s="7">
        <v>42261</v>
      </c>
      <c r="I2056">
        <v>2849.16</v>
      </c>
      <c r="K2056" s="7"/>
    </row>
    <row r="2057" spans="1:11">
      <c r="A2057">
        <v>200002056</v>
      </c>
      <c r="B2057" t="s">
        <v>159</v>
      </c>
      <c r="C2057" t="s">
        <v>286</v>
      </c>
      <c r="D2057" t="s">
        <v>11</v>
      </c>
      <c r="E2057" s="9">
        <v>64</v>
      </c>
      <c r="F2057" t="s">
        <v>32</v>
      </c>
      <c r="G2057" t="s">
        <v>33</v>
      </c>
      <c r="H2057" s="8">
        <v>42261</v>
      </c>
      <c r="I2057">
        <v>14558.13</v>
      </c>
      <c r="K2057" s="8"/>
    </row>
    <row r="2058" spans="1:11">
      <c r="A2058">
        <v>200002057</v>
      </c>
      <c r="B2058" t="s">
        <v>193</v>
      </c>
      <c r="C2058" t="s">
        <v>241</v>
      </c>
      <c r="D2058" t="s">
        <v>11</v>
      </c>
      <c r="E2058" s="9">
        <v>50</v>
      </c>
      <c r="F2058" t="s">
        <v>32</v>
      </c>
      <c r="G2058" t="s">
        <v>18</v>
      </c>
      <c r="H2058" s="7">
        <v>42261</v>
      </c>
      <c r="I2058">
        <v>42830.98</v>
      </c>
      <c r="K2058" s="7"/>
    </row>
    <row r="2059" spans="1:11">
      <c r="A2059">
        <v>200002058</v>
      </c>
      <c r="B2059" t="s">
        <v>9</v>
      </c>
      <c r="C2059" t="s">
        <v>195</v>
      </c>
      <c r="D2059" t="s">
        <v>11</v>
      </c>
      <c r="E2059" s="9">
        <v>47</v>
      </c>
      <c r="F2059" t="s">
        <v>32</v>
      </c>
      <c r="G2059" t="s">
        <v>18</v>
      </c>
      <c r="H2059" s="8">
        <v>42261</v>
      </c>
      <c r="I2059">
        <v>32801</v>
      </c>
      <c r="K2059" s="8"/>
    </row>
    <row r="2060" spans="1:11">
      <c r="A2060">
        <v>200002059</v>
      </c>
      <c r="B2060" t="s">
        <v>177</v>
      </c>
      <c r="C2060" t="s">
        <v>35</v>
      </c>
      <c r="D2060" t="s">
        <v>11</v>
      </c>
      <c r="E2060" s="9">
        <v>47</v>
      </c>
      <c r="F2060" t="s">
        <v>32</v>
      </c>
      <c r="G2060" t="s">
        <v>18</v>
      </c>
      <c r="H2060" s="7">
        <v>42261</v>
      </c>
      <c r="I2060">
        <v>26087.66</v>
      </c>
      <c r="K2060" s="7"/>
    </row>
    <row r="2061" spans="1:11">
      <c r="A2061">
        <v>300002060</v>
      </c>
      <c r="B2061" t="s">
        <v>103</v>
      </c>
      <c r="C2061" t="s">
        <v>278</v>
      </c>
      <c r="D2061" t="s">
        <v>11</v>
      </c>
      <c r="E2061" s="9">
        <v>34</v>
      </c>
      <c r="F2061" t="s">
        <v>23</v>
      </c>
      <c r="G2061" t="s">
        <v>13</v>
      </c>
      <c r="H2061" s="8">
        <v>42261</v>
      </c>
      <c r="I2061">
        <v>59292.42</v>
      </c>
      <c r="K2061" s="8"/>
    </row>
    <row r="2062" spans="1:11">
      <c r="A2062">
        <v>100002061</v>
      </c>
      <c r="B2062" t="s">
        <v>40</v>
      </c>
      <c r="C2062" t="s">
        <v>123</v>
      </c>
      <c r="D2062" t="s">
        <v>11</v>
      </c>
      <c r="E2062" s="9">
        <v>33</v>
      </c>
      <c r="F2062" t="s">
        <v>12</v>
      </c>
      <c r="G2062" t="s">
        <v>18</v>
      </c>
      <c r="H2062" s="7">
        <v>42262</v>
      </c>
      <c r="I2062">
        <v>11150.82</v>
      </c>
      <c r="K2062" s="7"/>
    </row>
    <row r="2063" spans="1:11">
      <c r="A2063">
        <v>100002062</v>
      </c>
      <c r="B2063" t="s">
        <v>42</v>
      </c>
      <c r="C2063" t="s">
        <v>56</v>
      </c>
      <c r="D2063" t="s">
        <v>11</v>
      </c>
      <c r="E2063" s="9">
        <v>36</v>
      </c>
      <c r="F2063" t="s">
        <v>12</v>
      </c>
      <c r="G2063" t="s">
        <v>13</v>
      </c>
      <c r="H2063" s="8">
        <v>42262</v>
      </c>
      <c r="I2063">
        <v>59127.76</v>
      </c>
      <c r="K2063" s="8"/>
    </row>
    <row r="2064" spans="1:11">
      <c r="A2064">
        <v>100002063</v>
      </c>
      <c r="B2064" t="s">
        <v>204</v>
      </c>
      <c r="C2064" t="s">
        <v>286</v>
      </c>
      <c r="D2064" t="s">
        <v>11</v>
      </c>
      <c r="E2064" s="9">
        <v>36</v>
      </c>
      <c r="F2064" t="s">
        <v>12</v>
      </c>
      <c r="G2064" t="s">
        <v>13</v>
      </c>
      <c r="H2064" s="7">
        <v>42262</v>
      </c>
      <c r="I2064">
        <v>27584.04</v>
      </c>
      <c r="K2064" s="7"/>
    </row>
    <row r="2065" spans="1:11">
      <c r="A2065">
        <v>100002064</v>
      </c>
      <c r="B2065" t="s">
        <v>181</v>
      </c>
      <c r="C2065" t="s">
        <v>125</v>
      </c>
      <c r="D2065" t="s">
        <v>11</v>
      </c>
      <c r="E2065" s="9">
        <v>32</v>
      </c>
      <c r="F2065" t="s">
        <v>12</v>
      </c>
      <c r="G2065" t="s">
        <v>33</v>
      </c>
      <c r="H2065" s="8">
        <v>42262</v>
      </c>
      <c r="I2065">
        <v>22126.720000000001</v>
      </c>
      <c r="K2065" s="8"/>
    </row>
    <row r="2066" spans="1:11">
      <c r="A2066">
        <v>100002065</v>
      </c>
      <c r="B2066" t="s">
        <v>317</v>
      </c>
      <c r="C2066" t="s">
        <v>270</v>
      </c>
      <c r="D2066" t="s">
        <v>16</v>
      </c>
      <c r="E2066" s="9">
        <v>29</v>
      </c>
      <c r="F2066" t="s">
        <v>12</v>
      </c>
      <c r="G2066" t="s">
        <v>33</v>
      </c>
      <c r="H2066" s="7">
        <v>42262</v>
      </c>
      <c r="I2066">
        <v>41897.53</v>
      </c>
      <c r="K2066" s="7"/>
    </row>
    <row r="2067" spans="1:11">
      <c r="A2067">
        <v>100002066</v>
      </c>
      <c r="B2067" t="s">
        <v>50</v>
      </c>
      <c r="C2067" t="s">
        <v>25</v>
      </c>
      <c r="D2067" t="s">
        <v>16</v>
      </c>
      <c r="E2067" s="9">
        <v>25</v>
      </c>
      <c r="F2067" t="s">
        <v>12</v>
      </c>
      <c r="G2067" t="s">
        <v>13</v>
      </c>
      <c r="H2067" s="8">
        <v>42262</v>
      </c>
      <c r="I2067">
        <v>21738.25</v>
      </c>
      <c r="K2067" s="8"/>
    </row>
    <row r="2068" spans="1:11">
      <c r="A2068">
        <v>100002067</v>
      </c>
      <c r="B2068" t="s">
        <v>38</v>
      </c>
      <c r="C2068" t="s">
        <v>322</v>
      </c>
      <c r="D2068" t="s">
        <v>11</v>
      </c>
      <c r="E2068" s="9">
        <v>44</v>
      </c>
      <c r="F2068" t="s">
        <v>12</v>
      </c>
      <c r="G2068" t="s">
        <v>13</v>
      </c>
      <c r="H2068" s="7">
        <v>42262</v>
      </c>
      <c r="I2068">
        <v>65544.92</v>
      </c>
      <c r="K2068" s="7"/>
    </row>
    <row r="2069" spans="1:11">
      <c r="A2069">
        <v>200002068</v>
      </c>
      <c r="B2069" t="s">
        <v>255</v>
      </c>
      <c r="C2069" t="s">
        <v>87</v>
      </c>
      <c r="D2069" t="s">
        <v>11</v>
      </c>
      <c r="E2069" s="9">
        <v>51</v>
      </c>
      <c r="F2069" t="s">
        <v>32</v>
      </c>
      <c r="G2069" t="s">
        <v>33</v>
      </c>
      <c r="H2069" s="8">
        <v>42262</v>
      </c>
      <c r="I2069">
        <v>62064.73</v>
      </c>
      <c r="K2069" s="8"/>
    </row>
    <row r="2070" spans="1:11">
      <c r="A2070">
        <v>200002069</v>
      </c>
      <c r="B2070" t="s">
        <v>235</v>
      </c>
      <c r="C2070" t="s">
        <v>136</v>
      </c>
      <c r="D2070" t="s">
        <v>11</v>
      </c>
      <c r="E2070" s="9">
        <v>54</v>
      </c>
      <c r="F2070" t="s">
        <v>32</v>
      </c>
      <c r="G2070" t="s">
        <v>18</v>
      </c>
      <c r="H2070" s="7">
        <v>42262</v>
      </c>
      <c r="I2070">
        <v>41314.33</v>
      </c>
      <c r="K2070" s="7"/>
    </row>
    <row r="2071" spans="1:11">
      <c r="A2071">
        <v>200002070</v>
      </c>
      <c r="B2071" t="s">
        <v>148</v>
      </c>
      <c r="C2071" t="s">
        <v>269</v>
      </c>
      <c r="D2071" t="s">
        <v>11</v>
      </c>
      <c r="E2071" s="9">
        <v>53</v>
      </c>
      <c r="F2071" t="s">
        <v>32</v>
      </c>
      <c r="G2071" t="s">
        <v>18</v>
      </c>
      <c r="H2071" s="8">
        <v>42262</v>
      </c>
      <c r="I2071">
        <v>121801.58</v>
      </c>
      <c r="K2071" s="8"/>
    </row>
    <row r="2072" spans="1:11">
      <c r="A2072">
        <v>200002071</v>
      </c>
      <c r="B2072" t="s">
        <v>168</v>
      </c>
      <c r="C2072" t="s">
        <v>209</v>
      </c>
      <c r="D2072" t="s">
        <v>16</v>
      </c>
      <c r="E2072" s="9">
        <v>51</v>
      </c>
      <c r="F2072" t="s">
        <v>32</v>
      </c>
      <c r="G2072" t="s">
        <v>33</v>
      </c>
      <c r="H2072" s="7">
        <v>42262</v>
      </c>
      <c r="I2072">
        <v>55056.65</v>
      </c>
      <c r="K2072" s="7"/>
    </row>
    <row r="2073" spans="1:11">
      <c r="A2073">
        <v>200002072</v>
      </c>
      <c r="B2073" t="s">
        <v>229</v>
      </c>
      <c r="C2073" t="s">
        <v>187</v>
      </c>
      <c r="D2073" t="s">
        <v>16</v>
      </c>
      <c r="E2073" s="9">
        <v>48</v>
      </c>
      <c r="F2073" t="s">
        <v>32</v>
      </c>
      <c r="G2073" t="s">
        <v>33</v>
      </c>
      <c r="H2073" s="8">
        <v>42262</v>
      </c>
      <c r="I2073">
        <v>73328.320000000007</v>
      </c>
      <c r="K2073" s="8"/>
    </row>
    <row r="2074" spans="1:11">
      <c r="A2074">
        <v>300002073</v>
      </c>
      <c r="B2074" t="s">
        <v>194</v>
      </c>
      <c r="C2074" t="s">
        <v>116</v>
      </c>
      <c r="D2074" t="s">
        <v>16</v>
      </c>
      <c r="E2074" s="9">
        <v>34</v>
      </c>
      <c r="F2074" t="s">
        <v>23</v>
      </c>
      <c r="G2074" t="s">
        <v>13</v>
      </c>
      <c r="H2074" s="7">
        <v>42262</v>
      </c>
      <c r="I2074">
        <v>22490.5</v>
      </c>
      <c r="K2074" s="7"/>
    </row>
    <row r="2075" spans="1:11">
      <c r="A2075">
        <v>300002074</v>
      </c>
      <c r="B2075" t="s">
        <v>117</v>
      </c>
      <c r="C2075" t="s">
        <v>196</v>
      </c>
      <c r="D2075" t="s">
        <v>16</v>
      </c>
      <c r="E2075" s="9">
        <v>38</v>
      </c>
      <c r="F2075" t="s">
        <v>23</v>
      </c>
      <c r="G2075" t="s">
        <v>13</v>
      </c>
      <c r="H2075" s="8">
        <v>42262</v>
      </c>
      <c r="I2075">
        <v>86892.69</v>
      </c>
      <c r="K2075" s="8"/>
    </row>
    <row r="2076" spans="1:11">
      <c r="A2076">
        <v>400002075</v>
      </c>
      <c r="B2076" t="s">
        <v>103</v>
      </c>
      <c r="C2076" t="s">
        <v>258</v>
      </c>
      <c r="D2076" t="s">
        <v>11</v>
      </c>
      <c r="E2076" s="9">
        <v>27</v>
      </c>
      <c r="F2076" t="s">
        <v>17</v>
      </c>
      <c r="G2076" t="s">
        <v>13</v>
      </c>
      <c r="H2076" s="7">
        <v>42262</v>
      </c>
      <c r="I2076">
        <v>3331.8</v>
      </c>
      <c r="K2076" s="7"/>
    </row>
    <row r="2077" spans="1:11">
      <c r="A2077">
        <v>100002076</v>
      </c>
      <c r="B2077" t="s">
        <v>24</v>
      </c>
      <c r="C2077" t="s">
        <v>281</v>
      </c>
      <c r="D2077" t="s">
        <v>16</v>
      </c>
      <c r="E2077" s="9">
        <v>29</v>
      </c>
      <c r="F2077" t="s">
        <v>12</v>
      </c>
      <c r="G2077" t="s">
        <v>13</v>
      </c>
      <c r="H2077" s="8">
        <v>42263</v>
      </c>
      <c r="I2077">
        <v>14661.25</v>
      </c>
      <c r="K2077" s="8"/>
    </row>
    <row r="2078" spans="1:11">
      <c r="A2078">
        <v>100002077</v>
      </c>
      <c r="B2078" t="s">
        <v>137</v>
      </c>
      <c r="C2078" t="s">
        <v>203</v>
      </c>
      <c r="D2078" t="s">
        <v>11</v>
      </c>
      <c r="E2078" s="9">
        <v>25</v>
      </c>
      <c r="F2078" t="s">
        <v>12</v>
      </c>
      <c r="G2078" t="s">
        <v>13</v>
      </c>
      <c r="H2078" s="7">
        <v>42263</v>
      </c>
      <c r="I2078">
        <v>2126.9</v>
      </c>
      <c r="K2078" s="7"/>
    </row>
    <row r="2079" spans="1:11">
      <c r="A2079">
        <v>100002078</v>
      </c>
      <c r="B2079" t="s">
        <v>319</v>
      </c>
      <c r="C2079" t="s">
        <v>37</v>
      </c>
      <c r="D2079" t="s">
        <v>16</v>
      </c>
      <c r="E2079" s="9">
        <v>29</v>
      </c>
      <c r="F2079" t="s">
        <v>12</v>
      </c>
      <c r="G2079" t="s">
        <v>13</v>
      </c>
      <c r="H2079" s="8">
        <v>42263</v>
      </c>
      <c r="I2079">
        <v>17952.16</v>
      </c>
      <c r="K2079" s="8"/>
    </row>
    <row r="2080" spans="1:11">
      <c r="A2080">
        <v>100002079</v>
      </c>
      <c r="B2080" t="s">
        <v>84</v>
      </c>
      <c r="C2080" t="s">
        <v>140</v>
      </c>
      <c r="D2080" t="s">
        <v>16</v>
      </c>
      <c r="E2080" s="9">
        <v>39</v>
      </c>
      <c r="F2080" t="s">
        <v>12</v>
      </c>
      <c r="G2080" t="s">
        <v>13</v>
      </c>
      <c r="H2080" s="7">
        <v>42263</v>
      </c>
      <c r="I2080">
        <v>74240.479999999996</v>
      </c>
      <c r="K2080" s="7"/>
    </row>
    <row r="2081" spans="1:11">
      <c r="A2081">
        <v>100002080</v>
      </c>
      <c r="B2081" t="s">
        <v>316</v>
      </c>
      <c r="C2081" t="s">
        <v>29</v>
      </c>
      <c r="D2081" t="s">
        <v>16</v>
      </c>
      <c r="E2081" s="9">
        <v>40</v>
      </c>
      <c r="F2081" t="s">
        <v>12</v>
      </c>
      <c r="G2081" t="s">
        <v>13</v>
      </c>
      <c r="H2081" s="8">
        <v>42263</v>
      </c>
      <c r="I2081">
        <v>72020.25</v>
      </c>
      <c r="K2081" s="8"/>
    </row>
    <row r="2082" spans="1:11">
      <c r="A2082">
        <v>100002081</v>
      </c>
      <c r="B2082" t="s">
        <v>68</v>
      </c>
      <c r="C2082" t="s">
        <v>77</v>
      </c>
      <c r="D2082" t="s">
        <v>16</v>
      </c>
      <c r="E2082" s="9">
        <v>39</v>
      </c>
      <c r="F2082" t="s">
        <v>12</v>
      </c>
      <c r="G2082" t="s">
        <v>13</v>
      </c>
      <c r="H2082" s="7">
        <v>42263</v>
      </c>
      <c r="I2082">
        <v>43546.78</v>
      </c>
      <c r="K2082" s="7"/>
    </row>
    <row r="2083" spans="1:11">
      <c r="A2083">
        <v>100002082</v>
      </c>
      <c r="B2083" t="s">
        <v>214</v>
      </c>
      <c r="C2083" t="s">
        <v>238</v>
      </c>
      <c r="D2083" t="s">
        <v>11</v>
      </c>
      <c r="E2083" s="9">
        <v>32</v>
      </c>
      <c r="F2083" t="s">
        <v>12</v>
      </c>
      <c r="G2083" t="s">
        <v>13</v>
      </c>
      <c r="H2083" s="8">
        <v>42263</v>
      </c>
      <c r="I2083">
        <v>132536.87</v>
      </c>
      <c r="K2083" s="8"/>
    </row>
    <row r="2084" spans="1:11">
      <c r="A2084">
        <v>100002083</v>
      </c>
      <c r="B2084" t="s">
        <v>57</v>
      </c>
      <c r="C2084" t="s">
        <v>162</v>
      </c>
      <c r="D2084" t="s">
        <v>11</v>
      </c>
      <c r="E2084" s="9">
        <v>34</v>
      </c>
      <c r="F2084" t="s">
        <v>12</v>
      </c>
      <c r="G2084" t="s">
        <v>13</v>
      </c>
      <c r="H2084" s="7">
        <v>42263</v>
      </c>
      <c r="I2084">
        <v>41060.69</v>
      </c>
      <c r="K2084" s="7"/>
    </row>
    <row r="2085" spans="1:11">
      <c r="A2085">
        <v>100002084</v>
      </c>
      <c r="B2085" t="s">
        <v>143</v>
      </c>
      <c r="C2085" t="s">
        <v>178</v>
      </c>
      <c r="D2085" t="s">
        <v>11</v>
      </c>
      <c r="E2085" s="9">
        <v>47</v>
      </c>
      <c r="F2085" t="s">
        <v>12</v>
      </c>
      <c r="G2085" t="s">
        <v>33</v>
      </c>
      <c r="H2085" s="8">
        <v>42263</v>
      </c>
      <c r="I2085">
        <v>8300.2900000000009</v>
      </c>
      <c r="K2085" s="8"/>
    </row>
    <row r="2086" spans="1:11">
      <c r="A2086">
        <v>100002085</v>
      </c>
      <c r="B2086" t="s">
        <v>159</v>
      </c>
      <c r="C2086" t="s">
        <v>113</v>
      </c>
      <c r="D2086" t="s">
        <v>11</v>
      </c>
      <c r="E2086" s="9">
        <v>41</v>
      </c>
      <c r="F2086" t="s">
        <v>12</v>
      </c>
      <c r="G2086" t="s">
        <v>33</v>
      </c>
      <c r="H2086" s="7">
        <v>42263</v>
      </c>
      <c r="I2086">
        <v>68193.25</v>
      </c>
      <c r="K2086" s="7"/>
    </row>
    <row r="2087" spans="1:11">
      <c r="A2087">
        <v>100002086</v>
      </c>
      <c r="B2087" t="s">
        <v>154</v>
      </c>
      <c r="C2087" t="s">
        <v>136</v>
      </c>
      <c r="D2087" t="s">
        <v>16</v>
      </c>
      <c r="E2087" s="9">
        <v>32</v>
      </c>
      <c r="F2087" t="s">
        <v>12</v>
      </c>
      <c r="G2087" t="s">
        <v>13</v>
      </c>
      <c r="H2087" s="8">
        <v>42263</v>
      </c>
      <c r="I2087">
        <v>79292.149999999994</v>
      </c>
      <c r="K2087" s="8"/>
    </row>
    <row r="2088" spans="1:11">
      <c r="A2088">
        <v>100002087</v>
      </c>
      <c r="B2088" t="s">
        <v>147</v>
      </c>
      <c r="C2088" t="s">
        <v>134</v>
      </c>
      <c r="D2088" t="s">
        <v>11</v>
      </c>
      <c r="E2088" s="9">
        <v>28</v>
      </c>
      <c r="F2088" t="s">
        <v>12</v>
      </c>
      <c r="G2088" t="s">
        <v>13</v>
      </c>
      <c r="H2088" s="7">
        <v>42263</v>
      </c>
      <c r="I2088">
        <v>53357.54</v>
      </c>
      <c r="K2088" s="7"/>
    </row>
    <row r="2089" spans="1:11">
      <c r="A2089">
        <v>100002088</v>
      </c>
      <c r="B2089" t="s">
        <v>112</v>
      </c>
      <c r="C2089" t="s">
        <v>15</v>
      </c>
      <c r="D2089" t="s">
        <v>11</v>
      </c>
      <c r="E2089" s="9">
        <v>34</v>
      </c>
      <c r="F2089" t="s">
        <v>12</v>
      </c>
      <c r="G2089" t="s">
        <v>18</v>
      </c>
      <c r="H2089" s="8">
        <v>42263</v>
      </c>
      <c r="I2089">
        <v>41924.07</v>
      </c>
      <c r="K2089" s="8"/>
    </row>
    <row r="2090" spans="1:11">
      <c r="A2090">
        <v>100002089</v>
      </c>
      <c r="B2090" t="s">
        <v>204</v>
      </c>
      <c r="C2090" t="s">
        <v>315</v>
      </c>
      <c r="D2090" t="s">
        <v>11</v>
      </c>
      <c r="E2090" s="9">
        <v>31</v>
      </c>
      <c r="F2090" t="s">
        <v>12</v>
      </c>
      <c r="G2090" t="s">
        <v>13</v>
      </c>
      <c r="H2090" s="7">
        <v>42263</v>
      </c>
      <c r="I2090">
        <v>59589.73</v>
      </c>
      <c r="K2090" s="7"/>
    </row>
    <row r="2091" spans="1:11">
      <c r="A2091">
        <v>200002090</v>
      </c>
      <c r="B2091" t="s">
        <v>213</v>
      </c>
      <c r="C2091" t="s">
        <v>47</v>
      </c>
      <c r="D2091" t="s">
        <v>11</v>
      </c>
      <c r="E2091" s="9">
        <v>32</v>
      </c>
      <c r="F2091" t="s">
        <v>32</v>
      </c>
      <c r="G2091" t="s">
        <v>18</v>
      </c>
      <c r="H2091" s="8">
        <v>42263</v>
      </c>
      <c r="I2091">
        <v>3785.1</v>
      </c>
      <c r="K2091" s="8"/>
    </row>
    <row r="2092" spans="1:11">
      <c r="A2092">
        <v>200002091</v>
      </c>
      <c r="B2092" t="s">
        <v>137</v>
      </c>
      <c r="C2092" t="s">
        <v>107</v>
      </c>
      <c r="D2092" t="s">
        <v>11</v>
      </c>
      <c r="E2092" s="9">
        <v>54</v>
      </c>
      <c r="F2092" t="s">
        <v>32</v>
      </c>
      <c r="G2092" t="s">
        <v>33</v>
      </c>
      <c r="H2092" s="7">
        <v>42263</v>
      </c>
      <c r="I2092">
        <v>12749.4</v>
      </c>
      <c r="K2092" s="7"/>
    </row>
    <row r="2093" spans="1:11">
      <c r="A2093">
        <v>200002092</v>
      </c>
      <c r="B2093" t="s">
        <v>60</v>
      </c>
      <c r="C2093" t="s">
        <v>116</v>
      </c>
      <c r="D2093" t="s">
        <v>11</v>
      </c>
      <c r="E2093" s="9">
        <v>48</v>
      </c>
      <c r="F2093" t="s">
        <v>32</v>
      </c>
      <c r="G2093" t="s">
        <v>18</v>
      </c>
      <c r="H2093" s="8">
        <v>42263</v>
      </c>
      <c r="I2093">
        <v>39883.56</v>
      </c>
      <c r="K2093" s="8"/>
    </row>
    <row r="2094" spans="1:11">
      <c r="A2094">
        <v>200002093</v>
      </c>
      <c r="B2094" t="s">
        <v>311</v>
      </c>
      <c r="C2094" t="s">
        <v>205</v>
      </c>
      <c r="D2094" t="s">
        <v>11</v>
      </c>
      <c r="E2094" s="9">
        <v>45</v>
      </c>
      <c r="F2094" t="s">
        <v>32</v>
      </c>
      <c r="G2094" t="s">
        <v>33</v>
      </c>
      <c r="H2094" s="7">
        <v>42263</v>
      </c>
      <c r="I2094">
        <v>9207.6200000000008</v>
      </c>
      <c r="K2094" s="7"/>
    </row>
    <row r="2095" spans="1:11">
      <c r="A2095">
        <v>200002094</v>
      </c>
      <c r="B2095" t="s">
        <v>217</v>
      </c>
      <c r="C2095" t="s">
        <v>45</v>
      </c>
      <c r="D2095" t="s">
        <v>11</v>
      </c>
      <c r="E2095" s="9">
        <v>50</v>
      </c>
      <c r="F2095" t="s">
        <v>32</v>
      </c>
      <c r="G2095" t="s">
        <v>33</v>
      </c>
      <c r="H2095" s="8">
        <v>42263</v>
      </c>
      <c r="I2095">
        <v>55396.83</v>
      </c>
      <c r="K2095" s="8"/>
    </row>
    <row r="2096" spans="1:11">
      <c r="A2096">
        <v>100002095</v>
      </c>
      <c r="B2096" t="s">
        <v>53</v>
      </c>
      <c r="C2096" t="s">
        <v>269</v>
      </c>
      <c r="D2096" t="s">
        <v>16</v>
      </c>
      <c r="E2096" s="9">
        <v>36</v>
      </c>
      <c r="F2096" t="s">
        <v>12</v>
      </c>
      <c r="G2096" t="s">
        <v>13</v>
      </c>
      <c r="H2096" s="7">
        <v>42264</v>
      </c>
      <c r="I2096">
        <v>66084.12</v>
      </c>
      <c r="K2096" s="7"/>
    </row>
    <row r="2097" spans="1:11">
      <c r="A2097">
        <v>100002096</v>
      </c>
      <c r="B2097" t="s">
        <v>265</v>
      </c>
      <c r="C2097" t="s">
        <v>15</v>
      </c>
      <c r="D2097" t="s">
        <v>16</v>
      </c>
      <c r="E2097" s="9">
        <v>39</v>
      </c>
      <c r="F2097" t="s">
        <v>12</v>
      </c>
      <c r="G2097" t="s">
        <v>13</v>
      </c>
      <c r="H2097" s="8">
        <v>42264</v>
      </c>
      <c r="I2097">
        <v>12748.71</v>
      </c>
      <c r="K2097" s="8"/>
    </row>
    <row r="2098" spans="1:11">
      <c r="A2098">
        <v>100002097</v>
      </c>
      <c r="B2098" t="s">
        <v>265</v>
      </c>
      <c r="C2098" t="s">
        <v>87</v>
      </c>
      <c r="D2098" t="s">
        <v>16</v>
      </c>
      <c r="E2098" s="9">
        <v>45</v>
      </c>
      <c r="F2098" t="s">
        <v>12</v>
      </c>
      <c r="G2098" t="s">
        <v>13</v>
      </c>
      <c r="H2098" s="7">
        <v>42264</v>
      </c>
      <c r="I2098">
        <v>1320.93</v>
      </c>
      <c r="K2098" s="7"/>
    </row>
    <row r="2099" spans="1:11">
      <c r="A2099">
        <v>100002098</v>
      </c>
      <c r="B2099" t="s">
        <v>103</v>
      </c>
      <c r="C2099" t="s">
        <v>160</v>
      </c>
      <c r="D2099" t="s">
        <v>11</v>
      </c>
      <c r="E2099" s="9">
        <v>28</v>
      </c>
      <c r="F2099" t="s">
        <v>12</v>
      </c>
      <c r="G2099" t="s">
        <v>13</v>
      </c>
      <c r="H2099" s="8">
        <v>42264</v>
      </c>
      <c r="I2099">
        <v>65994.320000000007</v>
      </c>
      <c r="K2099" s="8"/>
    </row>
    <row r="2100" spans="1:11">
      <c r="A2100">
        <v>200002099</v>
      </c>
      <c r="B2100" t="s">
        <v>83</v>
      </c>
      <c r="C2100" t="s">
        <v>91</v>
      </c>
      <c r="D2100" t="s">
        <v>16</v>
      </c>
      <c r="E2100" s="9">
        <v>47</v>
      </c>
      <c r="F2100" t="s">
        <v>32</v>
      </c>
      <c r="G2100" t="s">
        <v>33</v>
      </c>
      <c r="H2100" s="7">
        <v>42264</v>
      </c>
      <c r="I2100">
        <v>86073.84</v>
      </c>
      <c r="K2100" s="7"/>
    </row>
    <row r="2101" spans="1:11">
      <c r="A2101">
        <v>200002100</v>
      </c>
      <c r="B2101" t="s">
        <v>284</v>
      </c>
      <c r="C2101" t="s">
        <v>41</v>
      </c>
      <c r="D2101" t="s">
        <v>16</v>
      </c>
      <c r="E2101" s="9">
        <v>44</v>
      </c>
      <c r="F2101" t="s">
        <v>32</v>
      </c>
      <c r="G2101" t="s">
        <v>33</v>
      </c>
      <c r="H2101" s="8">
        <v>42264</v>
      </c>
      <c r="I2101">
        <v>44623.87</v>
      </c>
      <c r="K2101" s="8"/>
    </row>
    <row r="2102" spans="1:11">
      <c r="A2102">
        <v>200002101</v>
      </c>
      <c r="B2102" t="s">
        <v>70</v>
      </c>
      <c r="C2102" t="s">
        <v>246</v>
      </c>
      <c r="D2102" t="s">
        <v>11</v>
      </c>
      <c r="E2102" s="9">
        <v>48</v>
      </c>
      <c r="F2102" t="s">
        <v>32</v>
      </c>
      <c r="G2102" t="s">
        <v>33</v>
      </c>
      <c r="H2102" s="7">
        <v>42264</v>
      </c>
      <c r="I2102">
        <v>45705.24</v>
      </c>
      <c r="K2102" s="7"/>
    </row>
    <row r="2103" spans="1:11">
      <c r="A2103">
        <v>200002102</v>
      </c>
      <c r="B2103" t="s">
        <v>320</v>
      </c>
      <c r="C2103" t="s">
        <v>240</v>
      </c>
      <c r="D2103" t="s">
        <v>16</v>
      </c>
      <c r="E2103" s="9">
        <v>44</v>
      </c>
      <c r="F2103" t="s">
        <v>32</v>
      </c>
      <c r="G2103" t="s">
        <v>33</v>
      </c>
      <c r="H2103" s="8">
        <v>42264</v>
      </c>
      <c r="I2103">
        <v>33835.65</v>
      </c>
      <c r="K2103" s="8"/>
    </row>
    <row r="2104" spans="1:11">
      <c r="A2104">
        <v>200002103</v>
      </c>
      <c r="B2104" t="s">
        <v>186</v>
      </c>
      <c r="C2104" t="s">
        <v>233</v>
      </c>
      <c r="D2104" t="s">
        <v>11</v>
      </c>
      <c r="E2104" s="9">
        <v>46</v>
      </c>
      <c r="F2104" t="s">
        <v>32</v>
      </c>
      <c r="G2104" t="s">
        <v>33</v>
      </c>
      <c r="H2104" s="7">
        <v>42264</v>
      </c>
      <c r="I2104">
        <v>94781.97</v>
      </c>
      <c r="K2104" s="7"/>
    </row>
    <row r="2105" spans="1:11">
      <c r="A2105">
        <v>200002104</v>
      </c>
      <c r="B2105" t="s">
        <v>112</v>
      </c>
      <c r="C2105" t="s">
        <v>209</v>
      </c>
      <c r="D2105" t="s">
        <v>11</v>
      </c>
      <c r="E2105" s="9">
        <v>59</v>
      </c>
      <c r="F2105" t="s">
        <v>32</v>
      </c>
      <c r="G2105" t="s">
        <v>13</v>
      </c>
      <c r="H2105" s="8">
        <v>42264</v>
      </c>
      <c r="I2105">
        <v>24989.82</v>
      </c>
      <c r="K2105" s="8"/>
    </row>
    <row r="2106" spans="1:11">
      <c r="A2106">
        <v>200002105</v>
      </c>
      <c r="B2106" t="s">
        <v>118</v>
      </c>
      <c r="C2106" t="s">
        <v>98</v>
      </c>
      <c r="D2106" t="s">
        <v>11</v>
      </c>
      <c r="E2106" s="9">
        <v>50</v>
      </c>
      <c r="F2106" t="s">
        <v>32</v>
      </c>
      <c r="G2106" t="s">
        <v>18</v>
      </c>
      <c r="H2106" s="7">
        <v>42264</v>
      </c>
      <c r="I2106">
        <v>21417.49</v>
      </c>
      <c r="K2106" s="7"/>
    </row>
    <row r="2107" spans="1:11">
      <c r="A2107">
        <v>300002106</v>
      </c>
      <c r="B2107" t="s">
        <v>158</v>
      </c>
      <c r="C2107" t="s">
        <v>307</v>
      </c>
      <c r="D2107" t="s">
        <v>16</v>
      </c>
      <c r="E2107" s="9">
        <v>25</v>
      </c>
      <c r="F2107" t="s">
        <v>23</v>
      </c>
      <c r="G2107" t="s">
        <v>13</v>
      </c>
      <c r="H2107" s="8">
        <v>42264</v>
      </c>
      <c r="I2107">
        <v>74812.05</v>
      </c>
      <c r="K2107" s="8"/>
    </row>
    <row r="2108" spans="1:11">
      <c r="A2108">
        <v>300002107</v>
      </c>
      <c r="B2108" t="s">
        <v>70</v>
      </c>
      <c r="C2108" t="s">
        <v>10</v>
      </c>
      <c r="D2108" t="s">
        <v>11</v>
      </c>
      <c r="E2108" s="9">
        <v>27</v>
      </c>
      <c r="F2108" t="s">
        <v>23</v>
      </c>
      <c r="G2108" t="s">
        <v>18</v>
      </c>
      <c r="H2108" s="7">
        <v>42264</v>
      </c>
      <c r="I2108">
        <v>47857.14</v>
      </c>
      <c r="K2108" s="7"/>
    </row>
    <row r="2109" spans="1:11">
      <c r="A2109">
        <v>400002108</v>
      </c>
      <c r="B2109" t="s">
        <v>26</v>
      </c>
      <c r="C2109" t="s">
        <v>80</v>
      </c>
      <c r="D2109" t="s">
        <v>16</v>
      </c>
      <c r="E2109" s="9">
        <v>29</v>
      </c>
      <c r="F2109" t="s">
        <v>17</v>
      </c>
      <c r="G2109" t="s">
        <v>33</v>
      </c>
      <c r="H2109" s="8">
        <v>42264</v>
      </c>
      <c r="I2109">
        <v>75395.320000000007</v>
      </c>
      <c r="K2109" s="8"/>
    </row>
    <row r="2110" spans="1:11">
      <c r="A2110">
        <v>400002109</v>
      </c>
      <c r="B2110" t="s">
        <v>62</v>
      </c>
      <c r="C2110" t="s">
        <v>272</v>
      </c>
      <c r="D2110" t="s">
        <v>16</v>
      </c>
      <c r="E2110" s="9">
        <v>27</v>
      </c>
      <c r="F2110" t="s">
        <v>17</v>
      </c>
      <c r="G2110" t="s">
        <v>13</v>
      </c>
      <c r="H2110" s="7">
        <v>42264</v>
      </c>
      <c r="I2110">
        <v>64714.44</v>
      </c>
      <c r="K2110" s="7"/>
    </row>
    <row r="2111" spans="1:11">
      <c r="A2111">
        <v>100002110</v>
      </c>
      <c r="B2111" t="s">
        <v>42</v>
      </c>
      <c r="C2111" t="s">
        <v>47</v>
      </c>
      <c r="D2111" t="s">
        <v>11</v>
      </c>
      <c r="E2111" s="9">
        <v>33</v>
      </c>
      <c r="F2111" t="s">
        <v>12</v>
      </c>
      <c r="G2111" t="s">
        <v>33</v>
      </c>
      <c r="H2111" s="8">
        <v>42265</v>
      </c>
      <c r="I2111">
        <v>920.87</v>
      </c>
      <c r="K2111" s="8"/>
    </row>
    <row r="2112" spans="1:11">
      <c r="A2112">
        <v>100002111</v>
      </c>
      <c r="B2112" t="s">
        <v>24</v>
      </c>
      <c r="C2112" t="s">
        <v>212</v>
      </c>
      <c r="D2112" t="s">
        <v>16</v>
      </c>
      <c r="E2112" s="9">
        <v>37</v>
      </c>
      <c r="F2112" t="s">
        <v>12</v>
      </c>
      <c r="G2112" t="s">
        <v>13</v>
      </c>
      <c r="H2112" s="7">
        <v>42265</v>
      </c>
      <c r="I2112">
        <v>4909.99</v>
      </c>
      <c r="K2112" s="7"/>
    </row>
    <row r="2113" spans="1:11">
      <c r="A2113">
        <v>100002112</v>
      </c>
      <c r="B2113" t="s">
        <v>320</v>
      </c>
      <c r="C2113" t="s">
        <v>237</v>
      </c>
      <c r="D2113" t="s">
        <v>16</v>
      </c>
      <c r="E2113" s="9">
        <v>33</v>
      </c>
      <c r="F2113" t="s">
        <v>12</v>
      </c>
      <c r="G2113" t="s">
        <v>18</v>
      </c>
      <c r="H2113" s="8">
        <v>42265</v>
      </c>
      <c r="I2113">
        <v>16040.88</v>
      </c>
      <c r="K2113" s="8"/>
    </row>
    <row r="2114" spans="1:11">
      <c r="A2114">
        <v>100002113</v>
      </c>
      <c r="B2114" t="s">
        <v>81</v>
      </c>
      <c r="C2114" t="s">
        <v>162</v>
      </c>
      <c r="D2114" t="s">
        <v>16</v>
      </c>
      <c r="E2114" s="9">
        <v>39</v>
      </c>
      <c r="F2114" t="s">
        <v>12</v>
      </c>
      <c r="G2114" t="s">
        <v>13</v>
      </c>
      <c r="H2114" s="7">
        <v>42265</v>
      </c>
      <c r="I2114">
        <v>45969.7</v>
      </c>
      <c r="K2114" s="7"/>
    </row>
    <row r="2115" spans="1:11">
      <c r="A2115">
        <v>100002114</v>
      </c>
      <c r="B2115" t="s">
        <v>250</v>
      </c>
      <c r="C2115" t="s">
        <v>95</v>
      </c>
      <c r="D2115" t="s">
        <v>16</v>
      </c>
      <c r="E2115" s="9">
        <v>37</v>
      </c>
      <c r="F2115" t="s">
        <v>12</v>
      </c>
      <c r="G2115" t="s">
        <v>13</v>
      </c>
      <c r="H2115" s="8">
        <v>42265</v>
      </c>
      <c r="I2115">
        <v>12504.73</v>
      </c>
      <c r="K2115" s="8"/>
    </row>
    <row r="2116" spans="1:11">
      <c r="A2116">
        <v>100002115</v>
      </c>
      <c r="B2116" t="s">
        <v>139</v>
      </c>
      <c r="C2116" t="s">
        <v>282</v>
      </c>
      <c r="D2116" t="s">
        <v>16</v>
      </c>
      <c r="E2116" s="9">
        <v>38</v>
      </c>
      <c r="F2116" t="s">
        <v>12</v>
      </c>
      <c r="G2116" t="s">
        <v>13</v>
      </c>
      <c r="H2116" s="7">
        <v>42265</v>
      </c>
      <c r="I2116">
        <v>24729.58</v>
      </c>
      <c r="K2116" s="7"/>
    </row>
    <row r="2117" spans="1:11">
      <c r="A2117">
        <v>100002116</v>
      </c>
      <c r="B2117" t="s">
        <v>245</v>
      </c>
      <c r="C2117" t="s">
        <v>22</v>
      </c>
      <c r="D2117" t="s">
        <v>11</v>
      </c>
      <c r="E2117" s="9">
        <v>34</v>
      </c>
      <c r="F2117" t="s">
        <v>12</v>
      </c>
      <c r="G2117" t="s">
        <v>18</v>
      </c>
      <c r="H2117" s="8">
        <v>42265</v>
      </c>
      <c r="I2117">
        <v>18952.55</v>
      </c>
      <c r="K2117" s="8"/>
    </row>
    <row r="2118" spans="1:11">
      <c r="A2118">
        <v>100002117</v>
      </c>
      <c r="B2118" t="s">
        <v>135</v>
      </c>
      <c r="C2118" t="s">
        <v>239</v>
      </c>
      <c r="D2118" t="s">
        <v>11</v>
      </c>
      <c r="E2118" s="9">
        <v>36</v>
      </c>
      <c r="F2118" t="s">
        <v>12</v>
      </c>
      <c r="G2118" t="s">
        <v>13</v>
      </c>
      <c r="H2118" s="7">
        <v>42265</v>
      </c>
      <c r="I2118">
        <v>7441.87</v>
      </c>
      <c r="K2118" s="7"/>
    </row>
    <row r="2119" spans="1:11">
      <c r="A2119">
        <v>100002118</v>
      </c>
      <c r="B2119" t="s">
        <v>36</v>
      </c>
      <c r="C2119" t="s">
        <v>78</v>
      </c>
      <c r="D2119" t="s">
        <v>11</v>
      </c>
      <c r="E2119" s="9">
        <v>34</v>
      </c>
      <c r="F2119" t="s">
        <v>12</v>
      </c>
      <c r="G2119" t="s">
        <v>33</v>
      </c>
      <c r="H2119" s="8">
        <v>42265</v>
      </c>
      <c r="I2119">
        <v>68498.240000000005</v>
      </c>
      <c r="K2119" s="8"/>
    </row>
    <row r="2120" spans="1:11">
      <c r="A2120">
        <v>100002119</v>
      </c>
      <c r="B2120" t="s">
        <v>320</v>
      </c>
      <c r="C2120" t="s">
        <v>230</v>
      </c>
      <c r="D2120" t="s">
        <v>16</v>
      </c>
      <c r="E2120" s="9">
        <v>38</v>
      </c>
      <c r="F2120" t="s">
        <v>12</v>
      </c>
      <c r="G2120" t="s">
        <v>13</v>
      </c>
      <c r="H2120" s="7">
        <v>42265</v>
      </c>
      <c r="I2120">
        <v>95608.2</v>
      </c>
      <c r="K2120" s="7"/>
    </row>
    <row r="2121" spans="1:11">
      <c r="A2121">
        <v>100002120</v>
      </c>
      <c r="B2121" t="s">
        <v>117</v>
      </c>
      <c r="C2121" t="s">
        <v>258</v>
      </c>
      <c r="D2121" t="s">
        <v>16</v>
      </c>
      <c r="E2121" s="9">
        <v>23</v>
      </c>
      <c r="F2121" t="s">
        <v>12</v>
      </c>
      <c r="G2121" t="s">
        <v>33</v>
      </c>
      <c r="H2121" s="8">
        <v>42265</v>
      </c>
      <c r="I2121">
        <v>42510.95</v>
      </c>
      <c r="K2121" s="8"/>
    </row>
    <row r="2122" spans="1:11">
      <c r="A2122">
        <v>100002121</v>
      </c>
      <c r="B2122" t="s">
        <v>177</v>
      </c>
      <c r="C2122" t="s">
        <v>15</v>
      </c>
      <c r="D2122" t="s">
        <v>11</v>
      </c>
      <c r="E2122" s="9">
        <v>44</v>
      </c>
      <c r="F2122" t="s">
        <v>12</v>
      </c>
      <c r="G2122" t="s">
        <v>13</v>
      </c>
      <c r="H2122" s="7">
        <v>42265</v>
      </c>
      <c r="I2122">
        <v>918.56</v>
      </c>
      <c r="K2122" s="7"/>
    </row>
    <row r="2123" spans="1:11">
      <c r="A2123">
        <v>200002122</v>
      </c>
      <c r="B2123" t="s">
        <v>97</v>
      </c>
      <c r="C2123" t="s">
        <v>129</v>
      </c>
      <c r="D2123" t="s">
        <v>16</v>
      </c>
      <c r="E2123" s="9">
        <v>47</v>
      </c>
      <c r="F2123" t="s">
        <v>32</v>
      </c>
      <c r="G2123" t="s">
        <v>33</v>
      </c>
      <c r="H2123" s="8">
        <v>42265</v>
      </c>
      <c r="I2123">
        <v>38258.980000000003</v>
      </c>
      <c r="K2123" s="8"/>
    </row>
    <row r="2124" spans="1:11">
      <c r="A2124">
        <v>200002123</v>
      </c>
      <c r="B2124" t="s">
        <v>55</v>
      </c>
      <c r="C2124" t="s">
        <v>75</v>
      </c>
      <c r="D2124" t="s">
        <v>11</v>
      </c>
      <c r="E2124" s="9">
        <v>32</v>
      </c>
      <c r="F2124" t="s">
        <v>32</v>
      </c>
      <c r="G2124" t="s">
        <v>18</v>
      </c>
      <c r="H2124" s="7">
        <v>42265</v>
      </c>
      <c r="I2124">
        <v>33570.99</v>
      </c>
      <c r="K2124" s="7"/>
    </row>
    <row r="2125" spans="1:11">
      <c r="A2125">
        <v>200002124</v>
      </c>
      <c r="B2125" t="s">
        <v>133</v>
      </c>
      <c r="C2125" t="s">
        <v>275</v>
      </c>
      <c r="D2125" t="s">
        <v>11</v>
      </c>
      <c r="E2125" s="9">
        <v>43</v>
      </c>
      <c r="F2125" t="s">
        <v>32</v>
      </c>
      <c r="G2125" t="s">
        <v>33</v>
      </c>
      <c r="H2125" s="8">
        <v>42265</v>
      </c>
      <c r="I2125">
        <v>75563.64</v>
      </c>
      <c r="K2125" s="8"/>
    </row>
    <row r="2126" spans="1:11">
      <c r="A2126">
        <v>200002125</v>
      </c>
      <c r="B2126" t="s">
        <v>243</v>
      </c>
      <c r="C2126" t="s">
        <v>225</v>
      </c>
      <c r="D2126" t="s">
        <v>16</v>
      </c>
      <c r="E2126" s="9">
        <v>62</v>
      </c>
      <c r="F2126" t="s">
        <v>32</v>
      </c>
      <c r="G2126" t="s">
        <v>33</v>
      </c>
      <c r="H2126" s="7">
        <v>42265</v>
      </c>
      <c r="I2126">
        <v>110171.27</v>
      </c>
      <c r="K2126" s="7"/>
    </row>
    <row r="2127" spans="1:11">
      <c r="A2127">
        <v>200002126</v>
      </c>
      <c r="B2127" t="s">
        <v>9</v>
      </c>
      <c r="C2127" t="s">
        <v>294</v>
      </c>
      <c r="D2127" t="s">
        <v>11</v>
      </c>
      <c r="E2127" s="9">
        <v>45</v>
      </c>
      <c r="F2127" t="s">
        <v>32</v>
      </c>
      <c r="G2127" t="s">
        <v>18</v>
      </c>
      <c r="H2127" s="8">
        <v>42265</v>
      </c>
      <c r="I2127">
        <v>70491.38</v>
      </c>
      <c r="K2127" s="8"/>
    </row>
    <row r="2128" spans="1:11">
      <c r="A2128">
        <v>300002127</v>
      </c>
      <c r="B2128" t="s">
        <v>243</v>
      </c>
      <c r="C2128" t="s">
        <v>106</v>
      </c>
      <c r="D2128" t="s">
        <v>16</v>
      </c>
      <c r="E2128" s="9">
        <v>38</v>
      </c>
      <c r="F2128" t="s">
        <v>23</v>
      </c>
      <c r="G2128" t="s">
        <v>33</v>
      </c>
      <c r="H2128" s="7">
        <v>42265</v>
      </c>
      <c r="I2128">
        <v>28968.33</v>
      </c>
      <c r="K2128" s="7"/>
    </row>
    <row r="2129" spans="1:11">
      <c r="A2129">
        <v>300002128</v>
      </c>
      <c r="B2129" t="s">
        <v>251</v>
      </c>
      <c r="C2129" t="s">
        <v>94</v>
      </c>
      <c r="D2129" t="s">
        <v>16</v>
      </c>
      <c r="E2129" s="9">
        <v>38</v>
      </c>
      <c r="F2129" t="s">
        <v>23</v>
      </c>
      <c r="G2129" t="s">
        <v>33</v>
      </c>
      <c r="H2129" s="8">
        <v>42265</v>
      </c>
      <c r="I2129">
        <v>23527.21</v>
      </c>
      <c r="K2129" s="8"/>
    </row>
    <row r="2130" spans="1:11">
      <c r="A2130">
        <v>300002129</v>
      </c>
      <c r="B2130" t="s">
        <v>262</v>
      </c>
      <c r="C2130" t="s">
        <v>187</v>
      </c>
      <c r="D2130" t="s">
        <v>16</v>
      </c>
      <c r="E2130" s="9">
        <v>44</v>
      </c>
      <c r="F2130" t="s">
        <v>23</v>
      </c>
      <c r="G2130" t="s">
        <v>13</v>
      </c>
      <c r="H2130" s="7">
        <v>42265</v>
      </c>
      <c r="I2130">
        <v>45868.51</v>
      </c>
      <c r="K2130" s="7"/>
    </row>
    <row r="2131" spans="1:11">
      <c r="A2131">
        <v>400002130</v>
      </c>
      <c r="B2131" t="s">
        <v>180</v>
      </c>
      <c r="C2131" t="s">
        <v>306</v>
      </c>
      <c r="D2131" t="s">
        <v>16</v>
      </c>
      <c r="E2131" s="9">
        <v>32</v>
      </c>
      <c r="F2131" t="s">
        <v>17</v>
      </c>
      <c r="G2131" t="s">
        <v>33</v>
      </c>
      <c r="H2131" s="8">
        <v>42265</v>
      </c>
      <c r="I2131">
        <v>5908.97</v>
      </c>
      <c r="K2131" s="8"/>
    </row>
    <row r="2132" spans="1:11">
      <c r="A2132">
        <v>100002131</v>
      </c>
      <c r="B2132" t="s">
        <v>234</v>
      </c>
      <c r="C2132" t="s">
        <v>129</v>
      </c>
      <c r="D2132" t="s">
        <v>11</v>
      </c>
      <c r="E2132" s="9">
        <v>36</v>
      </c>
      <c r="F2132" t="s">
        <v>12</v>
      </c>
      <c r="G2132" t="s">
        <v>18</v>
      </c>
      <c r="H2132" s="7">
        <v>42266</v>
      </c>
      <c r="I2132">
        <v>53759.89</v>
      </c>
      <c r="K2132" s="7"/>
    </row>
    <row r="2133" spans="1:11">
      <c r="A2133">
        <v>100002132</v>
      </c>
      <c r="B2133" t="s">
        <v>226</v>
      </c>
      <c r="C2133" t="s">
        <v>230</v>
      </c>
      <c r="D2133" t="s">
        <v>16</v>
      </c>
      <c r="E2133" s="9">
        <v>30</v>
      </c>
      <c r="F2133" t="s">
        <v>12</v>
      </c>
      <c r="G2133" t="s">
        <v>13</v>
      </c>
      <c r="H2133" s="8">
        <v>42266</v>
      </c>
      <c r="I2133">
        <v>106490.28</v>
      </c>
      <c r="K2133" s="8"/>
    </row>
    <row r="2134" spans="1:11">
      <c r="A2134">
        <v>100002133</v>
      </c>
      <c r="B2134" t="s">
        <v>149</v>
      </c>
      <c r="C2134" t="s">
        <v>306</v>
      </c>
      <c r="D2134" t="s">
        <v>16</v>
      </c>
      <c r="E2134" s="9">
        <v>30</v>
      </c>
      <c r="F2134" t="s">
        <v>12</v>
      </c>
      <c r="G2134" t="s">
        <v>13</v>
      </c>
      <c r="H2134" s="7">
        <v>42266</v>
      </c>
      <c r="I2134">
        <v>59120.59</v>
      </c>
      <c r="K2134" s="7"/>
    </row>
    <row r="2135" spans="1:11">
      <c r="A2135">
        <v>100002134</v>
      </c>
      <c r="B2135" t="s">
        <v>276</v>
      </c>
      <c r="C2135" t="s">
        <v>98</v>
      </c>
      <c r="D2135" t="s">
        <v>16</v>
      </c>
      <c r="E2135" s="9">
        <v>30</v>
      </c>
      <c r="F2135" t="s">
        <v>12</v>
      </c>
      <c r="G2135" t="s">
        <v>18</v>
      </c>
      <c r="H2135" s="8">
        <v>42266</v>
      </c>
      <c r="I2135">
        <v>8100.12</v>
      </c>
      <c r="K2135" s="8"/>
    </row>
    <row r="2136" spans="1:11">
      <c r="A2136">
        <v>100002135</v>
      </c>
      <c r="B2136" t="s">
        <v>213</v>
      </c>
      <c r="C2136" t="s">
        <v>172</v>
      </c>
      <c r="D2136" t="s">
        <v>11</v>
      </c>
      <c r="E2136" s="9">
        <v>27</v>
      </c>
      <c r="F2136" t="s">
        <v>12</v>
      </c>
      <c r="G2136" t="s">
        <v>18</v>
      </c>
      <c r="H2136" s="7">
        <v>42266</v>
      </c>
      <c r="I2136">
        <v>43117.33</v>
      </c>
      <c r="K2136" s="7"/>
    </row>
    <row r="2137" spans="1:11">
      <c r="A2137">
        <v>100002136</v>
      </c>
      <c r="B2137" t="s">
        <v>30</v>
      </c>
      <c r="C2137" t="s">
        <v>185</v>
      </c>
      <c r="D2137" t="s">
        <v>16</v>
      </c>
      <c r="E2137" s="9">
        <v>29</v>
      </c>
      <c r="F2137" t="s">
        <v>12</v>
      </c>
      <c r="G2137" t="s">
        <v>13</v>
      </c>
      <c r="H2137" s="8">
        <v>42266</v>
      </c>
      <c r="I2137">
        <v>65213.98</v>
      </c>
      <c r="K2137" s="8"/>
    </row>
    <row r="2138" spans="1:11">
      <c r="A2138">
        <v>100002137</v>
      </c>
      <c r="B2138" t="s">
        <v>180</v>
      </c>
      <c r="C2138" t="s">
        <v>43</v>
      </c>
      <c r="D2138" t="s">
        <v>16</v>
      </c>
      <c r="E2138" s="9">
        <v>21</v>
      </c>
      <c r="F2138" t="s">
        <v>12</v>
      </c>
      <c r="G2138" t="s">
        <v>18</v>
      </c>
      <c r="H2138" s="7">
        <v>42266</v>
      </c>
      <c r="I2138">
        <v>113673.32</v>
      </c>
      <c r="K2138" s="7"/>
    </row>
    <row r="2139" spans="1:11">
      <c r="A2139">
        <v>100002138</v>
      </c>
      <c r="B2139" t="s">
        <v>283</v>
      </c>
      <c r="C2139" t="s">
        <v>59</v>
      </c>
      <c r="D2139" t="s">
        <v>11</v>
      </c>
      <c r="E2139" s="9">
        <v>33</v>
      </c>
      <c r="F2139" t="s">
        <v>12</v>
      </c>
      <c r="G2139" t="s">
        <v>13</v>
      </c>
      <c r="H2139" s="8">
        <v>42266</v>
      </c>
      <c r="I2139">
        <v>7974.93</v>
      </c>
      <c r="K2139" s="8"/>
    </row>
    <row r="2140" spans="1:11">
      <c r="A2140">
        <v>100002139</v>
      </c>
      <c r="B2140" t="s">
        <v>72</v>
      </c>
      <c r="C2140" t="s">
        <v>71</v>
      </c>
      <c r="D2140" t="s">
        <v>11</v>
      </c>
      <c r="E2140" s="9">
        <v>38</v>
      </c>
      <c r="F2140" t="s">
        <v>12</v>
      </c>
      <c r="G2140" t="s">
        <v>13</v>
      </c>
      <c r="H2140" s="7">
        <v>42266</v>
      </c>
      <c r="I2140">
        <v>59179.29</v>
      </c>
      <c r="K2140" s="7"/>
    </row>
    <row r="2141" spans="1:11">
      <c r="A2141">
        <v>100002140</v>
      </c>
      <c r="B2141" t="s">
        <v>226</v>
      </c>
      <c r="C2141" t="s">
        <v>75</v>
      </c>
      <c r="D2141" t="s">
        <v>16</v>
      </c>
      <c r="E2141" s="9">
        <v>43</v>
      </c>
      <c r="F2141" t="s">
        <v>12</v>
      </c>
      <c r="G2141" t="s">
        <v>33</v>
      </c>
      <c r="H2141" s="8">
        <v>42266</v>
      </c>
      <c r="I2141">
        <v>38986.480000000003</v>
      </c>
      <c r="K2141" s="8"/>
    </row>
    <row r="2142" spans="1:11">
      <c r="A2142">
        <v>200002141</v>
      </c>
      <c r="B2142" t="s">
        <v>118</v>
      </c>
      <c r="C2142" t="s">
        <v>85</v>
      </c>
      <c r="D2142" t="s">
        <v>11</v>
      </c>
      <c r="E2142" s="9">
        <v>54</v>
      </c>
      <c r="F2142" t="s">
        <v>32</v>
      </c>
      <c r="G2142" t="s">
        <v>13</v>
      </c>
      <c r="H2142" s="7">
        <v>42266</v>
      </c>
      <c r="I2142">
        <v>25605.83</v>
      </c>
      <c r="K2142" s="7"/>
    </row>
    <row r="2143" spans="1:11">
      <c r="A2143">
        <v>200002142</v>
      </c>
      <c r="B2143" t="s">
        <v>55</v>
      </c>
      <c r="C2143" t="s">
        <v>189</v>
      </c>
      <c r="D2143" t="s">
        <v>11</v>
      </c>
      <c r="E2143" s="9">
        <v>46</v>
      </c>
      <c r="F2143" t="s">
        <v>32</v>
      </c>
      <c r="G2143" t="s">
        <v>18</v>
      </c>
      <c r="H2143" s="8">
        <v>42266</v>
      </c>
      <c r="I2143">
        <v>68884.38</v>
      </c>
      <c r="K2143" s="8"/>
    </row>
    <row r="2144" spans="1:11">
      <c r="A2144">
        <v>200002143</v>
      </c>
      <c r="B2144" t="s">
        <v>72</v>
      </c>
      <c r="C2144" t="s">
        <v>88</v>
      </c>
      <c r="D2144" t="s">
        <v>11</v>
      </c>
      <c r="E2144" s="9">
        <v>40</v>
      </c>
      <c r="F2144" t="s">
        <v>32</v>
      </c>
      <c r="G2144" t="s">
        <v>33</v>
      </c>
      <c r="H2144" s="7">
        <v>42266</v>
      </c>
      <c r="I2144">
        <v>37247.660000000003</v>
      </c>
      <c r="K2144" s="7"/>
    </row>
    <row r="2145" spans="1:11">
      <c r="A2145">
        <v>200002144</v>
      </c>
      <c r="B2145" t="s">
        <v>89</v>
      </c>
      <c r="C2145" t="s">
        <v>157</v>
      </c>
      <c r="D2145" t="s">
        <v>11</v>
      </c>
      <c r="E2145" s="9">
        <v>50</v>
      </c>
      <c r="F2145" t="s">
        <v>32</v>
      </c>
      <c r="G2145" t="s">
        <v>18</v>
      </c>
      <c r="H2145" s="8">
        <v>42266</v>
      </c>
      <c r="I2145">
        <v>2311.31</v>
      </c>
      <c r="K2145" s="8"/>
    </row>
    <row r="2146" spans="1:11">
      <c r="A2146">
        <v>200002145</v>
      </c>
      <c r="B2146" t="s">
        <v>273</v>
      </c>
      <c r="C2146" t="s">
        <v>52</v>
      </c>
      <c r="D2146" t="s">
        <v>11</v>
      </c>
      <c r="E2146" s="9">
        <v>37</v>
      </c>
      <c r="F2146" t="s">
        <v>32</v>
      </c>
      <c r="G2146" t="s">
        <v>18</v>
      </c>
      <c r="H2146" s="7">
        <v>42266</v>
      </c>
      <c r="I2146">
        <v>64601.54</v>
      </c>
      <c r="K2146" s="7"/>
    </row>
    <row r="2147" spans="1:11">
      <c r="A2147">
        <v>200002146</v>
      </c>
      <c r="B2147" t="s">
        <v>141</v>
      </c>
      <c r="C2147" t="s">
        <v>241</v>
      </c>
      <c r="D2147" t="s">
        <v>11</v>
      </c>
      <c r="E2147" s="9">
        <v>45</v>
      </c>
      <c r="F2147" t="s">
        <v>32</v>
      </c>
      <c r="G2147" t="s">
        <v>18</v>
      </c>
      <c r="H2147" s="8">
        <v>42266</v>
      </c>
      <c r="I2147">
        <v>55276.13</v>
      </c>
      <c r="K2147" s="8"/>
    </row>
    <row r="2148" spans="1:11">
      <c r="A2148">
        <v>200002147</v>
      </c>
      <c r="B2148" t="s">
        <v>255</v>
      </c>
      <c r="C2148" t="s">
        <v>94</v>
      </c>
      <c r="D2148" t="s">
        <v>11</v>
      </c>
      <c r="E2148" s="9">
        <v>63</v>
      </c>
      <c r="F2148" t="s">
        <v>32</v>
      </c>
      <c r="G2148" t="s">
        <v>18</v>
      </c>
      <c r="H2148" s="7">
        <v>42266</v>
      </c>
      <c r="I2148">
        <v>15822.61</v>
      </c>
      <c r="K2148" s="7"/>
    </row>
    <row r="2149" spans="1:11">
      <c r="A2149">
        <v>200002148</v>
      </c>
      <c r="B2149" t="s">
        <v>128</v>
      </c>
      <c r="C2149" t="s">
        <v>187</v>
      </c>
      <c r="D2149" t="s">
        <v>16</v>
      </c>
      <c r="E2149" s="9">
        <v>60</v>
      </c>
      <c r="F2149" t="s">
        <v>32</v>
      </c>
      <c r="G2149" t="s">
        <v>33</v>
      </c>
      <c r="H2149" s="8">
        <v>42266</v>
      </c>
      <c r="I2149">
        <v>44430.94</v>
      </c>
      <c r="K2149" s="8"/>
    </row>
    <row r="2150" spans="1:11">
      <c r="A2150">
        <v>200002149</v>
      </c>
      <c r="B2150" t="s">
        <v>232</v>
      </c>
      <c r="C2150" t="s">
        <v>106</v>
      </c>
      <c r="D2150" t="s">
        <v>16</v>
      </c>
      <c r="E2150" s="9">
        <v>53</v>
      </c>
      <c r="F2150" t="s">
        <v>32</v>
      </c>
      <c r="G2150" t="s">
        <v>33</v>
      </c>
      <c r="H2150" s="7">
        <v>42266</v>
      </c>
      <c r="I2150">
        <v>56122.61</v>
      </c>
      <c r="K2150" s="7"/>
    </row>
    <row r="2151" spans="1:11">
      <c r="A2151">
        <v>300002150</v>
      </c>
      <c r="B2151" t="s">
        <v>14</v>
      </c>
      <c r="C2151" t="s">
        <v>222</v>
      </c>
      <c r="D2151" t="s">
        <v>16</v>
      </c>
      <c r="E2151" s="9">
        <v>37</v>
      </c>
      <c r="F2151" t="s">
        <v>23</v>
      </c>
      <c r="G2151" t="s">
        <v>33</v>
      </c>
      <c r="H2151" s="8">
        <v>42266</v>
      </c>
      <c r="I2151">
        <v>15635.08</v>
      </c>
      <c r="K2151" s="8"/>
    </row>
    <row r="2152" spans="1:11">
      <c r="A2152">
        <v>400002151</v>
      </c>
      <c r="B2152" t="s">
        <v>181</v>
      </c>
      <c r="C2152" t="s">
        <v>272</v>
      </c>
      <c r="D2152" t="s">
        <v>11</v>
      </c>
      <c r="E2152" s="9">
        <v>37</v>
      </c>
      <c r="F2152" t="s">
        <v>17</v>
      </c>
      <c r="G2152" t="s">
        <v>13</v>
      </c>
      <c r="H2152" s="7">
        <v>42266</v>
      </c>
      <c r="I2152">
        <v>117089.60000000001</v>
      </c>
      <c r="K2152" s="7"/>
    </row>
    <row r="2153" spans="1:11">
      <c r="A2153">
        <v>400002152</v>
      </c>
      <c r="B2153" t="s">
        <v>154</v>
      </c>
      <c r="C2153" t="s">
        <v>253</v>
      </c>
      <c r="D2153" t="s">
        <v>16</v>
      </c>
      <c r="E2153" s="9">
        <v>27</v>
      </c>
      <c r="F2153" t="s">
        <v>17</v>
      </c>
      <c r="G2153" t="s">
        <v>33</v>
      </c>
      <c r="H2153" s="8">
        <v>42266</v>
      </c>
      <c r="I2153">
        <v>18601.060000000001</v>
      </c>
      <c r="K2153" s="8"/>
    </row>
    <row r="2154" spans="1:11">
      <c r="A2154">
        <v>400002153</v>
      </c>
      <c r="B2154" t="s">
        <v>254</v>
      </c>
      <c r="C2154" t="s">
        <v>270</v>
      </c>
      <c r="D2154" t="s">
        <v>11</v>
      </c>
      <c r="E2154" s="9">
        <v>30</v>
      </c>
      <c r="F2154" t="s">
        <v>17</v>
      </c>
      <c r="G2154" t="s">
        <v>33</v>
      </c>
      <c r="H2154" s="7">
        <v>42266</v>
      </c>
      <c r="I2154">
        <v>83549.66</v>
      </c>
      <c r="K2154" s="7"/>
    </row>
    <row r="2155" spans="1:11">
      <c r="A2155">
        <v>100002154</v>
      </c>
      <c r="B2155" t="s">
        <v>192</v>
      </c>
      <c r="C2155" t="s">
        <v>282</v>
      </c>
      <c r="D2155" t="s">
        <v>16</v>
      </c>
      <c r="E2155" s="9">
        <v>29</v>
      </c>
      <c r="F2155" t="s">
        <v>12</v>
      </c>
      <c r="G2155" t="s">
        <v>13</v>
      </c>
      <c r="H2155" s="8">
        <v>42267</v>
      </c>
      <c r="I2155">
        <v>40656.480000000003</v>
      </c>
      <c r="K2155" s="8"/>
    </row>
    <row r="2156" spans="1:11">
      <c r="A2156">
        <v>100002155</v>
      </c>
      <c r="B2156" t="s">
        <v>145</v>
      </c>
      <c r="C2156" t="s">
        <v>272</v>
      </c>
      <c r="D2156" t="s">
        <v>11</v>
      </c>
      <c r="E2156" s="9">
        <v>36</v>
      </c>
      <c r="F2156" t="s">
        <v>12</v>
      </c>
      <c r="G2156" t="s">
        <v>13</v>
      </c>
      <c r="H2156" s="7">
        <v>42267</v>
      </c>
      <c r="I2156">
        <v>39384.83</v>
      </c>
      <c r="K2156" s="7"/>
    </row>
    <row r="2157" spans="1:11">
      <c r="A2157">
        <v>100002156</v>
      </c>
      <c r="B2157" t="s">
        <v>19</v>
      </c>
      <c r="C2157" t="s">
        <v>157</v>
      </c>
      <c r="D2157" t="s">
        <v>11</v>
      </c>
      <c r="E2157" s="9">
        <v>43</v>
      </c>
      <c r="F2157" t="s">
        <v>12</v>
      </c>
      <c r="G2157" t="s">
        <v>13</v>
      </c>
      <c r="H2157" s="8">
        <v>42267</v>
      </c>
      <c r="I2157">
        <v>5055.3100000000004</v>
      </c>
      <c r="K2157" s="8"/>
    </row>
    <row r="2158" spans="1:11">
      <c r="A2158">
        <v>100002157</v>
      </c>
      <c r="B2158" t="s">
        <v>311</v>
      </c>
      <c r="C2158" t="s">
        <v>75</v>
      </c>
      <c r="D2158" t="s">
        <v>11</v>
      </c>
      <c r="E2158" s="9">
        <v>28</v>
      </c>
      <c r="F2158" t="s">
        <v>12</v>
      </c>
      <c r="G2158" t="s">
        <v>33</v>
      </c>
      <c r="H2158" s="7">
        <v>42267</v>
      </c>
      <c r="I2158">
        <v>38926.370000000003</v>
      </c>
      <c r="K2158" s="7"/>
    </row>
    <row r="2159" spans="1:11">
      <c r="A2159">
        <v>200002158</v>
      </c>
      <c r="B2159" t="s">
        <v>51</v>
      </c>
      <c r="C2159" t="s">
        <v>67</v>
      </c>
      <c r="D2159" t="s">
        <v>11</v>
      </c>
      <c r="E2159" s="9">
        <v>61</v>
      </c>
      <c r="F2159" t="s">
        <v>32</v>
      </c>
      <c r="G2159" t="s">
        <v>33</v>
      </c>
      <c r="H2159" s="8">
        <v>42267</v>
      </c>
      <c r="I2159">
        <v>32439.599999999999</v>
      </c>
      <c r="K2159" s="8"/>
    </row>
    <row r="2160" spans="1:11">
      <c r="A2160">
        <v>200002159</v>
      </c>
      <c r="B2160" t="s">
        <v>133</v>
      </c>
      <c r="C2160" t="s">
        <v>278</v>
      </c>
      <c r="D2160" t="s">
        <v>11</v>
      </c>
      <c r="E2160" s="9">
        <v>31</v>
      </c>
      <c r="F2160" t="s">
        <v>32</v>
      </c>
      <c r="G2160" t="s">
        <v>18</v>
      </c>
      <c r="H2160" s="7">
        <v>42267</v>
      </c>
      <c r="I2160">
        <v>18673.91</v>
      </c>
      <c r="K2160" s="7"/>
    </row>
    <row r="2161" spans="1:11">
      <c r="A2161">
        <v>200002160</v>
      </c>
      <c r="B2161" t="s">
        <v>265</v>
      </c>
      <c r="C2161" t="s">
        <v>43</v>
      </c>
      <c r="D2161" t="s">
        <v>16</v>
      </c>
      <c r="E2161" s="9">
        <v>51</v>
      </c>
      <c r="F2161" t="s">
        <v>32</v>
      </c>
      <c r="G2161" t="s">
        <v>33</v>
      </c>
      <c r="H2161" s="8">
        <v>42267</v>
      </c>
      <c r="I2161">
        <v>50115.25</v>
      </c>
      <c r="K2161" s="8"/>
    </row>
    <row r="2162" spans="1:11">
      <c r="A2162">
        <v>200002161</v>
      </c>
      <c r="B2162" t="s">
        <v>38</v>
      </c>
      <c r="C2162" t="s">
        <v>269</v>
      </c>
      <c r="D2162" t="s">
        <v>11</v>
      </c>
      <c r="E2162" s="9">
        <v>46</v>
      </c>
      <c r="F2162" t="s">
        <v>32</v>
      </c>
      <c r="G2162" t="s">
        <v>18</v>
      </c>
      <c r="H2162" s="7">
        <v>42267</v>
      </c>
      <c r="I2162">
        <v>7532.32</v>
      </c>
      <c r="K2162" s="7"/>
    </row>
    <row r="2163" spans="1:11">
      <c r="A2163">
        <v>300002162</v>
      </c>
      <c r="B2163" t="s">
        <v>53</v>
      </c>
      <c r="C2163" t="s">
        <v>156</v>
      </c>
      <c r="D2163" t="s">
        <v>16</v>
      </c>
      <c r="E2163" s="9">
        <v>35</v>
      </c>
      <c r="F2163" t="s">
        <v>23</v>
      </c>
      <c r="G2163" t="s">
        <v>13</v>
      </c>
      <c r="H2163" s="8">
        <v>42267</v>
      </c>
      <c r="I2163">
        <v>68176.38</v>
      </c>
      <c r="K2163" s="8"/>
    </row>
    <row r="2164" spans="1:11">
      <c r="A2164">
        <v>300002163</v>
      </c>
      <c r="B2164" t="s">
        <v>168</v>
      </c>
      <c r="C2164" t="s">
        <v>230</v>
      </c>
      <c r="D2164" t="s">
        <v>16</v>
      </c>
      <c r="E2164" s="9">
        <v>43</v>
      </c>
      <c r="F2164" t="s">
        <v>23</v>
      </c>
      <c r="G2164" t="s">
        <v>13</v>
      </c>
      <c r="H2164" s="7">
        <v>42267</v>
      </c>
      <c r="I2164">
        <v>74452.61</v>
      </c>
      <c r="K2164" s="7"/>
    </row>
    <row r="2165" spans="1:11">
      <c r="A2165">
        <v>300002164</v>
      </c>
      <c r="B2165" t="s">
        <v>302</v>
      </c>
      <c r="C2165" t="s">
        <v>54</v>
      </c>
      <c r="D2165" t="s">
        <v>16</v>
      </c>
      <c r="E2165" s="9">
        <v>31</v>
      </c>
      <c r="F2165" t="s">
        <v>23</v>
      </c>
      <c r="G2165" t="s">
        <v>13</v>
      </c>
      <c r="H2165" s="8">
        <v>42267</v>
      </c>
      <c r="I2165">
        <v>61587.63</v>
      </c>
      <c r="K2165" s="8"/>
    </row>
    <row r="2166" spans="1:11">
      <c r="A2166">
        <v>400002165</v>
      </c>
      <c r="B2166" t="s">
        <v>283</v>
      </c>
      <c r="C2166" t="s">
        <v>274</v>
      </c>
      <c r="D2166" t="s">
        <v>11</v>
      </c>
      <c r="E2166" s="9">
        <v>26</v>
      </c>
      <c r="F2166" t="s">
        <v>17</v>
      </c>
      <c r="G2166" t="s">
        <v>33</v>
      </c>
      <c r="H2166" s="7">
        <v>42267</v>
      </c>
      <c r="I2166">
        <v>26165.32</v>
      </c>
      <c r="K2166" s="7"/>
    </row>
    <row r="2167" spans="1:11">
      <c r="A2167">
        <v>400002166</v>
      </c>
      <c r="B2167" t="s">
        <v>300</v>
      </c>
      <c r="C2167" t="s">
        <v>294</v>
      </c>
      <c r="D2167" t="s">
        <v>16</v>
      </c>
      <c r="E2167" s="9">
        <v>27</v>
      </c>
      <c r="F2167" t="s">
        <v>17</v>
      </c>
      <c r="G2167" t="s">
        <v>18</v>
      </c>
      <c r="H2167" s="8">
        <v>42267</v>
      </c>
      <c r="I2167">
        <v>1897.88</v>
      </c>
      <c r="K2167" s="8"/>
    </row>
    <row r="2168" spans="1:11">
      <c r="A2168">
        <v>100002167</v>
      </c>
      <c r="B2168" t="s">
        <v>164</v>
      </c>
      <c r="C2168" t="s">
        <v>219</v>
      </c>
      <c r="D2168" t="s">
        <v>11</v>
      </c>
      <c r="E2168" s="9">
        <v>29</v>
      </c>
      <c r="F2168" t="s">
        <v>12</v>
      </c>
      <c r="G2168" t="s">
        <v>13</v>
      </c>
      <c r="H2168" s="7">
        <v>42268</v>
      </c>
      <c r="I2168">
        <v>76517.850000000006</v>
      </c>
      <c r="K2168" s="7"/>
    </row>
    <row r="2169" spans="1:11">
      <c r="A2169">
        <v>100002168</v>
      </c>
      <c r="B2169" t="s">
        <v>120</v>
      </c>
      <c r="C2169" t="s">
        <v>230</v>
      </c>
      <c r="D2169" t="s">
        <v>16</v>
      </c>
      <c r="E2169" s="9">
        <v>42</v>
      </c>
      <c r="F2169" t="s">
        <v>12</v>
      </c>
      <c r="G2169" t="s">
        <v>13</v>
      </c>
      <c r="H2169" s="8">
        <v>42268</v>
      </c>
      <c r="I2169">
        <v>5252.57</v>
      </c>
      <c r="K2169" s="8"/>
    </row>
    <row r="2170" spans="1:11">
      <c r="A2170">
        <v>100002169</v>
      </c>
      <c r="B2170" t="s">
        <v>34</v>
      </c>
      <c r="C2170" t="s">
        <v>257</v>
      </c>
      <c r="D2170" t="s">
        <v>16</v>
      </c>
      <c r="E2170" s="9">
        <v>27</v>
      </c>
      <c r="F2170" t="s">
        <v>12</v>
      </c>
      <c r="G2170" t="s">
        <v>13</v>
      </c>
      <c r="H2170" s="7">
        <v>42268</v>
      </c>
      <c r="I2170">
        <v>361.64</v>
      </c>
      <c r="K2170" s="7"/>
    </row>
    <row r="2171" spans="1:11">
      <c r="A2171">
        <v>100002170</v>
      </c>
      <c r="B2171" t="s">
        <v>55</v>
      </c>
      <c r="C2171" t="s">
        <v>237</v>
      </c>
      <c r="D2171" t="s">
        <v>11</v>
      </c>
      <c r="E2171" s="9">
        <v>32</v>
      </c>
      <c r="F2171" t="s">
        <v>12</v>
      </c>
      <c r="G2171" t="s">
        <v>13</v>
      </c>
      <c r="H2171" s="8">
        <v>42268</v>
      </c>
      <c r="I2171">
        <v>54090.91</v>
      </c>
      <c r="K2171" s="8"/>
    </row>
    <row r="2172" spans="1:11">
      <c r="A2172">
        <v>100002171</v>
      </c>
      <c r="B2172" t="s">
        <v>208</v>
      </c>
      <c r="C2172" t="s">
        <v>219</v>
      </c>
      <c r="D2172" t="s">
        <v>11</v>
      </c>
      <c r="E2172" s="9">
        <v>33</v>
      </c>
      <c r="F2172" t="s">
        <v>12</v>
      </c>
      <c r="G2172" t="s">
        <v>13</v>
      </c>
      <c r="H2172" s="7">
        <v>42268</v>
      </c>
      <c r="I2172">
        <v>2710.9</v>
      </c>
      <c r="K2172" s="7"/>
    </row>
    <row r="2173" spans="1:11">
      <c r="A2173">
        <v>100002172</v>
      </c>
      <c r="B2173" t="s">
        <v>202</v>
      </c>
      <c r="C2173" t="s">
        <v>160</v>
      </c>
      <c r="D2173" t="s">
        <v>11</v>
      </c>
      <c r="E2173" s="9">
        <v>34</v>
      </c>
      <c r="F2173" t="s">
        <v>12</v>
      </c>
      <c r="G2173" t="s">
        <v>13</v>
      </c>
      <c r="H2173" s="8">
        <v>42268</v>
      </c>
      <c r="I2173">
        <v>14010.06</v>
      </c>
      <c r="K2173" s="8"/>
    </row>
    <row r="2174" spans="1:11">
      <c r="A2174">
        <v>100002173</v>
      </c>
      <c r="B2174" t="s">
        <v>154</v>
      </c>
      <c r="C2174" t="s">
        <v>247</v>
      </c>
      <c r="D2174" t="s">
        <v>16</v>
      </c>
      <c r="E2174" s="9">
        <v>28</v>
      </c>
      <c r="F2174" t="s">
        <v>12</v>
      </c>
      <c r="G2174" t="s">
        <v>13</v>
      </c>
      <c r="H2174" s="7">
        <v>42268</v>
      </c>
      <c r="I2174">
        <v>88090.32</v>
      </c>
      <c r="K2174" s="7"/>
    </row>
    <row r="2175" spans="1:11">
      <c r="A2175">
        <v>100002174</v>
      </c>
      <c r="B2175" t="s">
        <v>120</v>
      </c>
      <c r="C2175" t="s">
        <v>307</v>
      </c>
      <c r="D2175" t="s">
        <v>16</v>
      </c>
      <c r="E2175" s="9">
        <v>36</v>
      </c>
      <c r="F2175" t="s">
        <v>12</v>
      </c>
      <c r="G2175" t="s">
        <v>13</v>
      </c>
      <c r="H2175" s="8">
        <v>42268</v>
      </c>
      <c r="I2175">
        <v>48661.99</v>
      </c>
      <c r="K2175" s="8"/>
    </row>
    <row r="2176" spans="1:11">
      <c r="A2176">
        <v>100002175</v>
      </c>
      <c r="B2176" t="s">
        <v>197</v>
      </c>
      <c r="C2176" t="s">
        <v>82</v>
      </c>
      <c r="D2176" t="s">
        <v>11</v>
      </c>
      <c r="E2176" s="9">
        <v>50</v>
      </c>
      <c r="F2176" t="s">
        <v>12</v>
      </c>
      <c r="G2176" t="s">
        <v>13</v>
      </c>
      <c r="H2176" s="7">
        <v>42268</v>
      </c>
      <c r="I2176">
        <v>50706.400000000001</v>
      </c>
      <c r="K2176" s="7"/>
    </row>
    <row r="2177" spans="1:11">
      <c r="A2177">
        <v>200002176</v>
      </c>
      <c r="B2177" t="s">
        <v>30</v>
      </c>
      <c r="C2177" t="s">
        <v>124</v>
      </c>
      <c r="D2177" t="s">
        <v>16</v>
      </c>
      <c r="E2177" s="9">
        <v>28</v>
      </c>
      <c r="F2177" t="s">
        <v>32</v>
      </c>
      <c r="G2177" t="s">
        <v>18</v>
      </c>
      <c r="H2177" s="8">
        <v>42268</v>
      </c>
      <c r="I2177">
        <v>39597.199999999997</v>
      </c>
      <c r="K2177" s="8"/>
    </row>
    <row r="2178" spans="1:11">
      <c r="A2178">
        <v>200002177</v>
      </c>
      <c r="B2178" t="s">
        <v>152</v>
      </c>
      <c r="C2178" t="s">
        <v>91</v>
      </c>
      <c r="D2178" t="s">
        <v>11</v>
      </c>
      <c r="E2178" s="9">
        <v>41</v>
      </c>
      <c r="F2178" t="s">
        <v>32</v>
      </c>
      <c r="G2178" t="s">
        <v>18</v>
      </c>
      <c r="H2178" s="7">
        <v>42268</v>
      </c>
      <c r="I2178">
        <v>61508.32</v>
      </c>
      <c r="K2178" s="7"/>
    </row>
    <row r="2179" spans="1:11">
      <c r="A2179">
        <v>300002178</v>
      </c>
      <c r="B2179" t="s">
        <v>304</v>
      </c>
      <c r="C2179" t="s">
        <v>227</v>
      </c>
      <c r="D2179" t="s">
        <v>16</v>
      </c>
      <c r="E2179" s="9">
        <v>55</v>
      </c>
      <c r="F2179" t="s">
        <v>23</v>
      </c>
      <c r="G2179" t="s">
        <v>13</v>
      </c>
      <c r="H2179" s="8">
        <v>42268</v>
      </c>
      <c r="I2179">
        <v>19547.39</v>
      </c>
      <c r="K2179" s="8"/>
    </row>
    <row r="2180" spans="1:11">
      <c r="A2180">
        <v>300002179</v>
      </c>
      <c r="B2180" t="s">
        <v>251</v>
      </c>
      <c r="C2180" t="s">
        <v>124</v>
      </c>
      <c r="D2180" t="s">
        <v>16</v>
      </c>
      <c r="E2180" s="9">
        <v>43</v>
      </c>
      <c r="F2180" t="s">
        <v>23</v>
      </c>
      <c r="G2180" t="s">
        <v>18</v>
      </c>
      <c r="H2180" s="7">
        <v>42268</v>
      </c>
      <c r="I2180">
        <v>9130.19</v>
      </c>
      <c r="K2180" s="7"/>
    </row>
    <row r="2181" spans="1:11">
      <c r="A2181">
        <v>400002180</v>
      </c>
      <c r="B2181" t="s">
        <v>53</v>
      </c>
      <c r="C2181" t="s">
        <v>96</v>
      </c>
      <c r="D2181" t="s">
        <v>16</v>
      </c>
      <c r="E2181" s="9">
        <v>31</v>
      </c>
      <c r="F2181" t="s">
        <v>17</v>
      </c>
      <c r="G2181" t="s">
        <v>13</v>
      </c>
      <c r="H2181" s="8">
        <v>42268</v>
      </c>
      <c r="I2181">
        <v>20101.47</v>
      </c>
      <c r="K2181" s="8"/>
    </row>
    <row r="2182" spans="1:11">
      <c r="A2182">
        <v>100002181</v>
      </c>
      <c r="B2182" t="s">
        <v>152</v>
      </c>
      <c r="C2182" t="s">
        <v>247</v>
      </c>
      <c r="D2182" t="s">
        <v>11</v>
      </c>
      <c r="E2182" s="9">
        <v>32</v>
      </c>
      <c r="F2182" t="s">
        <v>12</v>
      </c>
      <c r="G2182" t="s">
        <v>13</v>
      </c>
      <c r="H2182" s="7">
        <v>42269</v>
      </c>
      <c r="I2182">
        <v>32529.22</v>
      </c>
      <c r="K2182" s="7"/>
    </row>
    <row r="2183" spans="1:11">
      <c r="A2183">
        <v>100002182</v>
      </c>
      <c r="B2183" t="s">
        <v>302</v>
      </c>
      <c r="C2183" t="s">
        <v>277</v>
      </c>
      <c r="D2183" t="s">
        <v>16</v>
      </c>
      <c r="E2183" s="9">
        <v>36</v>
      </c>
      <c r="F2183" t="s">
        <v>12</v>
      </c>
      <c r="G2183" t="s">
        <v>13</v>
      </c>
      <c r="H2183" s="8">
        <v>42269</v>
      </c>
      <c r="I2183">
        <v>27081.119999999999</v>
      </c>
      <c r="K2183" s="8"/>
    </row>
    <row r="2184" spans="1:11">
      <c r="A2184">
        <v>100002183</v>
      </c>
      <c r="B2184" t="s">
        <v>321</v>
      </c>
      <c r="C2184" t="s">
        <v>172</v>
      </c>
      <c r="D2184" t="s">
        <v>16</v>
      </c>
      <c r="E2184" s="9">
        <v>33</v>
      </c>
      <c r="F2184" t="s">
        <v>12</v>
      </c>
      <c r="G2184" t="s">
        <v>13</v>
      </c>
      <c r="H2184" s="7">
        <v>42269</v>
      </c>
      <c r="I2184">
        <v>31896.91</v>
      </c>
      <c r="K2184" s="7"/>
    </row>
    <row r="2185" spans="1:11">
      <c r="A2185">
        <v>100002184</v>
      </c>
      <c r="B2185" t="s">
        <v>204</v>
      </c>
      <c r="C2185" t="s">
        <v>52</v>
      </c>
      <c r="D2185" t="s">
        <v>11</v>
      </c>
      <c r="E2185" s="9">
        <v>35</v>
      </c>
      <c r="F2185" t="s">
        <v>12</v>
      </c>
      <c r="G2185" t="s">
        <v>13</v>
      </c>
      <c r="H2185" s="8">
        <v>42269</v>
      </c>
      <c r="I2185">
        <v>33153.19</v>
      </c>
      <c r="K2185" s="8"/>
    </row>
    <row r="2186" spans="1:11">
      <c r="A2186">
        <v>100002185</v>
      </c>
      <c r="B2186" t="s">
        <v>197</v>
      </c>
      <c r="C2186" t="s">
        <v>170</v>
      </c>
      <c r="D2186" t="s">
        <v>11</v>
      </c>
      <c r="E2186" s="9">
        <v>32</v>
      </c>
      <c r="F2186" t="s">
        <v>12</v>
      </c>
      <c r="G2186" t="s">
        <v>13</v>
      </c>
      <c r="H2186" s="7">
        <v>42269</v>
      </c>
      <c r="I2186">
        <v>3103.61</v>
      </c>
      <c r="K2186" s="7"/>
    </row>
    <row r="2187" spans="1:11">
      <c r="A2187">
        <v>200002186</v>
      </c>
      <c r="B2187" t="s">
        <v>46</v>
      </c>
      <c r="C2187" t="s">
        <v>114</v>
      </c>
      <c r="D2187" t="s">
        <v>11</v>
      </c>
      <c r="E2187" s="9">
        <v>53</v>
      </c>
      <c r="F2187" t="s">
        <v>32</v>
      </c>
      <c r="G2187" t="s">
        <v>18</v>
      </c>
      <c r="H2187" s="8">
        <v>42269</v>
      </c>
      <c r="I2187">
        <v>49225.7</v>
      </c>
      <c r="K2187" s="8"/>
    </row>
    <row r="2188" spans="1:11">
      <c r="A2188">
        <v>200002187</v>
      </c>
      <c r="B2188" t="s">
        <v>97</v>
      </c>
      <c r="C2188" t="s">
        <v>109</v>
      </c>
      <c r="D2188" t="s">
        <v>16</v>
      </c>
      <c r="E2188" s="9">
        <v>46</v>
      </c>
      <c r="F2188" t="s">
        <v>32</v>
      </c>
      <c r="G2188" t="s">
        <v>33</v>
      </c>
      <c r="H2188" s="7">
        <v>42269</v>
      </c>
      <c r="I2188">
        <v>13507.48</v>
      </c>
      <c r="K2188" s="7"/>
    </row>
    <row r="2189" spans="1:11">
      <c r="A2189">
        <v>300002188</v>
      </c>
      <c r="B2189" t="s">
        <v>232</v>
      </c>
      <c r="C2189" t="s">
        <v>246</v>
      </c>
      <c r="D2189" t="s">
        <v>16</v>
      </c>
      <c r="E2189" s="9">
        <v>28</v>
      </c>
      <c r="F2189" t="s">
        <v>23</v>
      </c>
      <c r="G2189" t="s">
        <v>18</v>
      </c>
      <c r="H2189" s="8">
        <v>42269</v>
      </c>
      <c r="I2189">
        <v>94793.04</v>
      </c>
      <c r="K2189" s="8"/>
    </row>
    <row r="2190" spans="1:11">
      <c r="A2190">
        <v>300002189</v>
      </c>
      <c r="B2190" t="s">
        <v>309</v>
      </c>
      <c r="C2190" t="s">
        <v>195</v>
      </c>
      <c r="D2190" t="s">
        <v>16</v>
      </c>
      <c r="E2190" s="9">
        <v>29</v>
      </c>
      <c r="F2190" t="s">
        <v>23</v>
      </c>
      <c r="G2190" t="s">
        <v>13</v>
      </c>
      <c r="H2190" s="7">
        <v>42269</v>
      </c>
      <c r="I2190">
        <v>99557.72</v>
      </c>
      <c r="K2190" s="7"/>
    </row>
    <row r="2191" spans="1:11">
      <c r="A2191">
        <v>100002190</v>
      </c>
      <c r="B2191" t="s">
        <v>182</v>
      </c>
      <c r="C2191" t="s">
        <v>15</v>
      </c>
      <c r="D2191" t="s">
        <v>16</v>
      </c>
      <c r="E2191" s="9">
        <v>28</v>
      </c>
      <c r="F2191" t="s">
        <v>12</v>
      </c>
      <c r="G2191" t="s">
        <v>13</v>
      </c>
      <c r="H2191" s="8">
        <v>42270</v>
      </c>
      <c r="I2191">
        <v>11549.67</v>
      </c>
      <c r="K2191" s="8"/>
    </row>
    <row r="2192" spans="1:11">
      <c r="A2192">
        <v>100002191</v>
      </c>
      <c r="B2192" t="s">
        <v>90</v>
      </c>
      <c r="C2192" t="s">
        <v>87</v>
      </c>
      <c r="D2192" t="s">
        <v>11</v>
      </c>
      <c r="E2192" s="9">
        <v>32</v>
      </c>
      <c r="F2192" t="s">
        <v>12</v>
      </c>
      <c r="G2192" t="s">
        <v>13</v>
      </c>
      <c r="H2192" s="7">
        <v>42270</v>
      </c>
      <c r="I2192">
        <v>64701.01</v>
      </c>
      <c r="K2192" s="7"/>
    </row>
    <row r="2193" spans="1:11">
      <c r="A2193">
        <v>100002192</v>
      </c>
      <c r="B2193" t="s">
        <v>76</v>
      </c>
      <c r="C2193" t="s">
        <v>275</v>
      </c>
      <c r="D2193" t="s">
        <v>11</v>
      </c>
      <c r="E2193" s="9">
        <v>28</v>
      </c>
      <c r="F2193" t="s">
        <v>12</v>
      </c>
      <c r="G2193" t="s">
        <v>33</v>
      </c>
      <c r="H2193" s="8">
        <v>42270</v>
      </c>
      <c r="I2193">
        <v>78383.539999999994</v>
      </c>
      <c r="K2193" s="8"/>
    </row>
    <row r="2194" spans="1:11">
      <c r="A2194">
        <v>100002193</v>
      </c>
      <c r="B2194" t="s">
        <v>197</v>
      </c>
      <c r="C2194" t="s">
        <v>61</v>
      </c>
      <c r="D2194" t="s">
        <v>11</v>
      </c>
      <c r="E2194" s="9">
        <v>18</v>
      </c>
      <c r="F2194" t="s">
        <v>12</v>
      </c>
      <c r="G2194" t="s">
        <v>18</v>
      </c>
      <c r="H2194" s="7">
        <v>42270</v>
      </c>
      <c r="I2194">
        <v>62583.68</v>
      </c>
      <c r="K2194" s="7"/>
    </row>
    <row r="2195" spans="1:11">
      <c r="A2195">
        <v>100002194</v>
      </c>
      <c r="B2195" t="s">
        <v>68</v>
      </c>
      <c r="C2195" t="s">
        <v>290</v>
      </c>
      <c r="D2195" t="s">
        <v>16</v>
      </c>
      <c r="E2195" s="9">
        <v>45</v>
      </c>
      <c r="F2195" t="s">
        <v>12</v>
      </c>
      <c r="G2195" t="s">
        <v>18</v>
      </c>
      <c r="H2195" s="8">
        <v>42270</v>
      </c>
      <c r="I2195">
        <v>12508.07</v>
      </c>
      <c r="K2195" s="8"/>
    </row>
    <row r="2196" spans="1:11">
      <c r="A2196">
        <v>100002195</v>
      </c>
      <c r="B2196" t="s">
        <v>26</v>
      </c>
      <c r="C2196" t="s">
        <v>144</v>
      </c>
      <c r="D2196" t="s">
        <v>16</v>
      </c>
      <c r="E2196" s="9">
        <v>26</v>
      </c>
      <c r="F2196" t="s">
        <v>12</v>
      </c>
      <c r="G2196" t="s">
        <v>13</v>
      </c>
      <c r="H2196" s="7">
        <v>42270</v>
      </c>
      <c r="I2196">
        <v>59155.94</v>
      </c>
      <c r="K2196" s="7"/>
    </row>
    <row r="2197" spans="1:11">
      <c r="A2197">
        <v>100002196</v>
      </c>
      <c r="B2197" t="s">
        <v>14</v>
      </c>
      <c r="C2197" t="s">
        <v>318</v>
      </c>
      <c r="D2197" t="s">
        <v>16</v>
      </c>
      <c r="E2197" s="9">
        <v>32</v>
      </c>
      <c r="F2197" t="s">
        <v>12</v>
      </c>
      <c r="G2197" t="s">
        <v>18</v>
      </c>
      <c r="H2197" s="8">
        <v>42270</v>
      </c>
      <c r="I2197">
        <v>50290.76</v>
      </c>
      <c r="K2197" s="8"/>
    </row>
    <row r="2198" spans="1:11">
      <c r="A2198">
        <v>100002197</v>
      </c>
      <c r="B2198" t="s">
        <v>296</v>
      </c>
      <c r="C2198" t="s">
        <v>95</v>
      </c>
      <c r="D2198" t="s">
        <v>11</v>
      </c>
      <c r="E2198" s="9">
        <v>18</v>
      </c>
      <c r="F2198" t="s">
        <v>12</v>
      </c>
      <c r="G2198" t="s">
        <v>13</v>
      </c>
      <c r="H2198" s="7">
        <v>42270</v>
      </c>
      <c r="I2198">
        <v>840.88</v>
      </c>
      <c r="K2198" s="7"/>
    </row>
    <row r="2199" spans="1:11">
      <c r="A2199">
        <v>100002198</v>
      </c>
      <c r="B2199" t="s">
        <v>300</v>
      </c>
      <c r="C2199" t="s">
        <v>69</v>
      </c>
      <c r="D2199" t="s">
        <v>16</v>
      </c>
      <c r="E2199" s="9">
        <v>20</v>
      </c>
      <c r="F2199" t="s">
        <v>12</v>
      </c>
      <c r="G2199" t="s">
        <v>13</v>
      </c>
      <c r="H2199" s="8">
        <v>42270</v>
      </c>
      <c r="I2199">
        <v>51904.56</v>
      </c>
      <c r="K2199" s="8"/>
    </row>
    <row r="2200" spans="1:11">
      <c r="A2200">
        <v>100002199</v>
      </c>
      <c r="B2200" t="s">
        <v>97</v>
      </c>
      <c r="C2200" t="s">
        <v>318</v>
      </c>
      <c r="D2200" t="s">
        <v>16</v>
      </c>
      <c r="E2200" s="9">
        <v>31</v>
      </c>
      <c r="F2200" t="s">
        <v>12</v>
      </c>
      <c r="G2200" t="s">
        <v>33</v>
      </c>
      <c r="H2200" s="7">
        <v>42270</v>
      </c>
      <c r="I2200">
        <v>73990.81</v>
      </c>
      <c r="K2200" s="7"/>
    </row>
    <row r="2201" spans="1:11">
      <c r="A2201">
        <v>100002200</v>
      </c>
      <c r="B2201" t="s">
        <v>112</v>
      </c>
      <c r="C2201" t="s">
        <v>157</v>
      </c>
      <c r="D2201" t="s">
        <v>11</v>
      </c>
      <c r="E2201" s="9">
        <v>27</v>
      </c>
      <c r="F2201" t="s">
        <v>12</v>
      </c>
      <c r="G2201" t="s">
        <v>13</v>
      </c>
      <c r="H2201" s="8">
        <v>42270</v>
      </c>
      <c r="I2201">
        <v>33355.25</v>
      </c>
      <c r="K2201" s="8"/>
    </row>
    <row r="2202" spans="1:11">
      <c r="A2202">
        <v>100002201</v>
      </c>
      <c r="B2202" t="s">
        <v>112</v>
      </c>
      <c r="C2202" t="s">
        <v>170</v>
      </c>
      <c r="D2202" t="s">
        <v>11</v>
      </c>
      <c r="E2202" s="9">
        <v>40</v>
      </c>
      <c r="F2202" t="s">
        <v>12</v>
      </c>
      <c r="G2202" t="s">
        <v>13</v>
      </c>
      <c r="H2202" s="7">
        <v>42270</v>
      </c>
      <c r="I2202">
        <v>37713.230000000003</v>
      </c>
      <c r="K2202" s="7"/>
    </row>
    <row r="2203" spans="1:11">
      <c r="A2203">
        <v>200002202</v>
      </c>
      <c r="B2203" t="s">
        <v>191</v>
      </c>
      <c r="C2203" t="s">
        <v>253</v>
      </c>
      <c r="D2203" t="s">
        <v>11</v>
      </c>
      <c r="E2203" s="9">
        <v>49</v>
      </c>
      <c r="F2203" t="s">
        <v>32</v>
      </c>
      <c r="G2203" t="s">
        <v>18</v>
      </c>
      <c r="H2203" s="8">
        <v>42270</v>
      </c>
      <c r="I2203">
        <v>20409.28</v>
      </c>
      <c r="K2203" s="8"/>
    </row>
    <row r="2204" spans="1:11">
      <c r="A2204">
        <v>200002203</v>
      </c>
      <c r="B2204" t="s">
        <v>76</v>
      </c>
      <c r="C2204" t="s">
        <v>209</v>
      </c>
      <c r="D2204" t="s">
        <v>11</v>
      </c>
      <c r="E2204" s="9">
        <v>43</v>
      </c>
      <c r="F2204" t="s">
        <v>32</v>
      </c>
      <c r="G2204" t="s">
        <v>18</v>
      </c>
      <c r="H2204" s="7">
        <v>42270</v>
      </c>
      <c r="I2204">
        <v>33132.449999999997</v>
      </c>
      <c r="K2204" s="7"/>
    </row>
    <row r="2205" spans="1:11">
      <c r="A2205">
        <v>200002204</v>
      </c>
      <c r="B2205" t="s">
        <v>139</v>
      </c>
      <c r="C2205" t="s">
        <v>116</v>
      </c>
      <c r="D2205" t="s">
        <v>16</v>
      </c>
      <c r="E2205" s="9">
        <v>44</v>
      </c>
      <c r="F2205" t="s">
        <v>32</v>
      </c>
      <c r="G2205" t="s">
        <v>13</v>
      </c>
      <c r="H2205" s="8">
        <v>42270</v>
      </c>
      <c r="I2205">
        <v>36903.949999999997</v>
      </c>
      <c r="K2205" s="8"/>
    </row>
    <row r="2206" spans="1:11">
      <c r="A2206">
        <v>200002205</v>
      </c>
      <c r="B2206" t="s">
        <v>149</v>
      </c>
      <c r="C2206" t="s">
        <v>183</v>
      </c>
      <c r="D2206" t="s">
        <v>16</v>
      </c>
      <c r="E2206" s="9">
        <v>47</v>
      </c>
      <c r="F2206" t="s">
        <v>32</v>
      </c>
      <c r="G2206" t="s">
        <v>13</v>
      </c>
      <c r="H2206" s="7">
        <v>42270</v>
      </c>
      <c r="I2206">
        <v>29046.07</v>
      </c>
      <c r="K2206" s="7"/>
    </row>
    <row r="2207" spans="1:11">
      <c r="A2207">
        <v>200002206</v>
      </c>
      <c r="B2207" t="s">
        <v>115</v>
      </c>
      <c r="C2207" t="s">
        <v>132</v>
      </c>
      <c r="D2207" t="s">
        <v>16</v>
      </c>
      <c r="E2207" s="9">
        <v>55</v>
      </c>
      <c r="F2207" t="s">
        <v>32</v>
      </c>
      <c r="G2207" t="s">
        <v>33</v>
      </c>
      <c r="H2207" s="8">
        <v>42270</v>
      </c>
      <c r="I2207">
        <v>77113.36</v>
      </c>
      <c r="K2207" s="8"/>
    </row>
    <row r="2208" spans="1:11">
      <c r="A2208">
        <v>200002207</v>
      </c>
      <c r="B2208" t="s">
        <v>51</v>
      </c>
      <c r="C2208" t="s">
        <v>155</v>
      </c>
      <c r="D2208" t="s">
        <v>11</v>
      </c>
      <c r="E2208" s="9">
        <v>54</v>
      </c>
      <c r="F2208" t="s">
        <v>32</v>
      </c>
      <c r="G2208" t="s">
        <v>18</v>
      </c>
      <c r="H2208" s="7">
        <v>42270</v>
      </c>
      <c r="I2208">
        <v>76439.520000000004</v>
      </c>
      <c r="K2208" s="7"/>
    </row>
    <row r="2209" spans="1:11">
      <c r="A2209">
        <v>200002208</v>
      </c>
      <c r="B2209" t="s">
        <v>46</v>
      </c>
      <c r="C2209" t="s">
        <v>260</v>
      </c>
      <c r="D2209" t="s">
        <v>11</v>
      </c>
      <c r="E2209" s="9">
        <v>56</v>
      </c>
      <c r="F2209" t="s">
        <v>32</v>
      </c>
      <c r="G2209" t="s">
        <v>18</v>
      </c>
      <c r="H2209" s="8">
        <v>42270</v>
      </c>
      <c r="I2209">
        <v>10642.44</v>
      </c>
      <c r="K2209" s="8"/>
    </row>
    <row r="2210" spans="1:11">
      <c r="A2210">
        <v>300002209</v>
      </c>
      <c r="B2210" t="s">
        <v>14</v>
      </c>
      <c r="C2210" t="s">
        <v>151</v>
      </c>
      <c r="D2210" t="s">
        <v>16</v>
      </c>
      <c r="E2210" s="9">
        <v>29</v>
      </c>
      <c r="F2210" t="s">
        <v>23</v>
      </c>
      <c r="G2210" t="s">
        <v>18</v>
      </c>
      <c r="H2210" s="7">
        <v>42270</v>
      </c>
      <c r="I2210">
        <v>7614.4</v>
      </c>
      <c r="K2210" s="7"/>
    </row>
    <row r="2211" spans="1:11">
      <c r="A2211">
        <v>300002210</v>
      </c>
      <c r="B2211" t="s">
        <v>207</v>
      </c>
      <c r="C2211" t="s">
        <v>121</v>
      </c>
      <c r="D2211" t="s">
        <v>11</v>
      </c>
      <c r="E2211" s="9">
        <v>33</v>
      </c>
      <c r="F2211" t="s">
        <v>23</v>
      </c>
      <c r="G2211" t="s">
        <v>13</v>
      </c>
      <c r="H2211" s="8">
        <v>42270</v>
      </c>
      <c r="I2211">
        <v>44605.53</v>
      </c>
      <c r="K2211" s="8"/>
    </row>
    <row r="2212" spans="1:11">
      <c r="A2212">
        <v>400002211</v>
      </c>
      <c r="B2212" t="s">
        <v>180</v>
      </c>
      <c r="C2212" t="s">
        <v>260</v>
      </c>
      <c r="D2212" t="s">
        <v>16</v>
      </c>
      <c r="E2212" s="9">
        <v>27</v>
      </c>
      <c r="F2212" t="s">
        <v>17</v>
      </c>
      <c r="G2212" t="s">
        <v>33</v>
      </c>
      <c r="H2212" s="7">
        <v>42270</v>
      </c>
      <c r="I2212">
        <v>37985.870000000003</v>
      </c>
      <c r="K2212" s="7"/>
    </row>
    <row r="2213" spans="1:11">
      <c r="A2213">
        <v>400002212</v>
      </c>
      <c r="B2213" t="s">
        <v>268</v>
      </c>
      <c r="C2213" t="s">
        <v>259</v>
      </c>
      <c r="D2213" t="s">
        <v>16</v>
      </c>
      <c r="E2213" s="9">
        <v>24</v>
      </c>
      <c r="F2213" t="s">
        <v>17</v>
      </c>
      <c r="G2213" t="s">
        <v>33</v>
      </c>
      <c r="H2213" s="8">
        <v>42270</v>
      </c>
      <c r="I2213">
        <v>66857.45</v>
      </c>
      <c r="K2213" s="8"/>
    </row>
    <row r="2214" spans="1:11">
      <c r="A2214">
        <v>400002213</v>
      </c>
      <c r="B2214" t="s">
        <v>221</v>
      </c>
      <c r="C2214" t="s">
        <v>88</v>
      </c>
      <c r="D2214" t="s">
        <v>16</v>
      </c>
      <c r="E2214" s="9">
        <v>27</v>
      </c>
      <c r="F2214" t="s">
        <v>17</v>
      </c>
      <c r="G2214" t="s">
        <v>33</v>
      </c>
      <c r="H2214" s="7">
        <v>42270</v>
      </c>
      <c r="I2214">
        <v>65095.97</v>
      </c>
      <c r="K2214" s="7"/>
    </row>
    <row r="2215" spans="1:11">
      <c r="A2215">
        <v>100002214</v>
      </c>
      <c r="B2215" t="s">
        <v>283</v>
      </c>
      <c r="C2215" t="s">
        <v>257</v>
      </c>
      <c r="D2215" t="s">
        <v>11</v>
      </c>
      <c r="E2215" s="9">
        <v>40</v>
      </c>
      <c r="F2215" t="s">
        <v>12</v>
      </c>
      <c r="G2215" t="s">
        <v>33</v>
      </c>
      <c r="H2215" s="8">
        <v>42271</v>
      </c>
      <c r="I2215">
        <v>15634.04</v>
      </c>
      <c r="K2215" s="8"/>
    </row>
    <row r="2216" spans="1:11">
      <c r="A2216">
        <v>100002215</v>
      </c>
      <c r="B2216" t="s">
        <v>188</v>
      </c>
      <c r="C2216" t="s">
        <v>212</v>
      </c>
      <c r="D2216" t="s">
        <v>11</v>
      </c>
      <c r="E2216" s="9">
        <v>33</v>
      </c>
      <c r="F2216" t="s">
        <v>12</v>
      </c>
      <c r="G2216" t="s">
        <v>13</v>
      </c>
      <c r="H2216" s="7">
        <v>42271</v>
      </c>
      <c r="I2216">
        <v>61877.87</v>
      </c>
      <c r="K2216" s="7"/>
    </row>
    <row r="2217" spans="1:11">
      <c r="A2217">
        <v>100002216</v>
      </c>
      <c r="B2217" t="s">
        <v>234</v>
      </c>
      <c r="C2217" t="s">
        <v>67</v>
      </c>
      <c r="D2217" t="s">
        <v>11</v>
      </c>
      <c r="E2217" s="9">
        <v>40</v>
      </c>
      <c r="F2217" t="s">
        <v>12</v>
      </c>
      <c r="G2217" t="s">
        <v>13</v>
      </c>
      <c r="H2217" s="8">
        <v>42271</v>
      </c>
      <c r="I2217">
        <v>25921.919999999998</v>
      </c>
      <c r="K2217" s="8"/>
    </row>
    <row r="2218" spans="1:11">
      <c r="A2218">
        <v>100002217</v>
      </c>
      <c r="B2218" t="s">
        <v>57</v>
      </c>
      <c r="C2218" t="s">
        <v>22</v>
      </c>
      <c r="D2218" t="s">
        <v>11</v>
      </c>
      <c r="E2218" s="9">
        <v>41</v>
      </c>
      <c r="F2218" t="s">
        <v>12</v>
      </c>
      <c r="G2218" t="s">
        <v>13</v>
      </c>
      <c r="H2218" s="7">
        <v>42271</v>
      </c>
      <c r="I2218">
        <v>26828.16</v>
      </c>
      <c r="K2218" s="7"/>
    </row>
    <row r="2219" spans="1:11">
      <c r="A2219">
        <v>100002218</v>
      </c>
      <c r="B2219" t="s">
        <v>14</v>
      </c>
      <c r="C2219" t="s">
        <v>247</v>
      </c>
      <c r="D2219" t="s">
        <v>16</v>
      </c>
      <c r="E2219" s="9">
        <v>29</v>
      </c>
      <c r="F2219" t="s">
        <v>12</v>
      </c>
      <c r="G2219" t="s">
        <v>13</v>
      </c>
      <c r="H2219" s="8">
        <v>42271</v>
      </c>
      <c r="I2219">
        <v>119118.39</v>
      </c>
      <c r="K2219" s="8"/>
    </row>
    <row r="2220" spans="1:11">
      <c r="A2220">
        <v>100002219</v>
      </c>
      <c r="B2220" t="s">
        <v>317</v>
      </c>
      <c r="C2220" t="s">
        <v>240</v>
      </c>
      <c r="D2220" t="s">
        <v>16</v>
      </c>
      <c r="E2220" s="9">
        <v>37</v>
      </c>
      <c r="F2220" t="s">
        <v>12</v>
      </c>
      <c r="G2220" t="s">
        <v>18</v>
      </c>
      <c r="H2220" s="7">
        <v>42271</v>
      </c>
      <c r="I2220">
        <v>54692.79</v>
      </c>
      <c r="K2220" s="7"/>
    </row>
    <row r="2221" spans="1:11">
      <c r="A2221">
        <v>100002220</v>
      </c>
      <c r="B2221" t="s">
        <v>36</v>
      </c>
      <c r="C2221" t="s">
        <v>295</v>
      </c>
      <c r="D2221" t="s">
        <v>11</v>
      </c>
      <c r="E2221" s="9">
        <v>26</v>
      </c>
      <c r="F2221" t="s">
        <v>12</v>
      </c>
      <c r="G2221" t="s">
        <v>13</v>
      </c>
      <c r="H2221" s="8">
        <v>42271</v>
      </c>
      <c r="I2221">
        <v>29265.97</v>
      </c>
      <c r="K2221" s="8"/>
    </row>
    <row r="2222" spans="1:11">
      <c r="A2222">
        <v>100002221</v>
      </c>
      <c r="B2222" t="s">
        <v>280</v>
      </c>
      <c r="C2222" t="s">
        <v>212</v>
      </c>
      <c r="D2222" t="s">
        <v>11</v>
      </c>
      <c r="E2222" s="9">
        <v>37</v>
      </c>
      <c r="F2222" t="s">
        <v>12</v>
      </c>
      <c r="G2222" t="s">
        <v>13</v>
      </c>
      <c r="H2222" s="7">
        <v>42271</v>
      </c>
      <c r="I2222">
        <v>12160.79</v>
      </c>
      <c r="K2222" s="7"/>
    </row>
    <row r="2223" spans="1:11">
      <c r="A2223">
        <v>100002222</v>
      </c>
      <c r="B2223" t="s">
        <v>26</v>
      </c>
      <c r="C2223" t="s">
        <v>10</v>
      </c>
      <c r="D2223" t="s">
        <v>16</v>
      </c>
      <c r="E2223" s="9">
        <v>46</v>
      </c>
      <c r="F2223" t="s">
        <v>12</v>
      </c>
      <c r="G2223" t="s">
        <v>13</v>
      </c>
      <c r="H2223" s="8">
        <v>42271</v>
      </c>
      <c r="I2223">
        <v>59642.17</v>
      </c>
      <c r="K2223" s="8"/>
    </row>
    <row r="2224" spans="1:11">
      <c r="A2224">
        <v>100002223</v>
      </c>
      <c r="B2224" t="s">
        <v>188</v>
      </c>
      <c r="C2224" t="s">
        <v>266</v>
      </c>
      <c r="D2224" t="s">
        <v>11</v>
      </c>
      <c r="E2224" s="9">
        <v>48</v>
      </c>
      <c r="F2224" t="s">
        <v>12</v>
      </c>
      <c r="G2224" t="s">
        <v>13</v>
      </c>
      <c r="H2224" s="7">
        <v>42271</v>
      </c>
      <c r="I2224">
        <v>53270.720000000001</v>
      </c>
      <c r="K2224" s="7"/>
    </row>
    <row r="2225" spans="1:11">
      <c r="A2225">
        <v>100002224</v>
      </c>
      <c r="B2225" t="s">
        <v>74</v>
      </c>
      <c r="C2225" t="s">
        <v>179</v>
      </c>
      <c r="D2225" t="s">
        <v>16</v>
      </c>
      <c r="E2225" s="9">
        <v>39</v>
      </c>
      <c r="F2225" t="s">
        <v>12</v>
      </c>
      <c r="G2225" t="s">
        <v>13</v>
      </c>
      <c r="H2225" s="8">
        <v>42271</v>
      </c>
      <c r="I2225">
        <v>19383.54</v>
      </c>
      <c r="K2225" s="8"/>
    </row>
    <row r="2226" spans="1:11">
      <c r="A2226">
        <v>100002225</v>
      </c>
      <c r="B2226" t="s">
        <v>200</v>
      </c>
      <c r="C2226" t="s">
        <v>224</v>
      </c>
      <c r="D2226" t="s">
        <v>16</v>
      </c>
      <c r="E2226" s="9">
        <v>37</v>
      </c>
      <c r="F2226" t="s">
        <v>12</v>
      </c>
      <c r="G2226" t="s">
        <v>13</v>
      </c>
      <c r="H2226" s="7">
        <v>42271</v>
      </c>
      <c r="I2226">
        <v>14610.17</v>
      </c>
      <c r="K2226" s="7"/>
    </row>
    <row r="2227" spans="1:11">
      <c r="A2227">
        <v>100002226</v>
      </c>
      <c r="B2227" t="s">
        <v>316</v>
      </c>
      <c r="C2227" t="s">
        <v>238</v>
      </c>
      <c r="D2227" t="s">
        <v>16</v>
      </c>
      <c r="E2227" s="9">
        <v>31</v>
      </c>
      <c r="F2227" t="s">
        <v>12</v>
      </c>
      <c r="G2227" t="s">
        <v>13</v>
      </c>
      <c r="H2227" s="8">
        <v>42271</v>
      </c>
      <c r="I2227">
        <v>47381.87</v>
      </c>
      <c r="K2227" s="8"/>
    </row>
    <row r="2228" spans="1:11">
      <c r="A2228">
        <v>100002227</v>
      </c>
      <c r="B2228" t="s">
        <v>57</v>
      </c>
      <c r="C2228" t="s">
        <v>29</v>
      </c>
      <c r="D2228" t="s">
        <v>11</v>
      </c>
      <c r="E2228" s="9">
        <v>46</v>
      </c>
      <c r="F2228" t="s">
        <v>12</v>
      </c>
      <c r="G2228" t="s">
        <v>13</v>
      </c>
      <c r="H2228" s="7">
        <v>42271</v>
      </c>
      <c r="I2228">
        <v>29407.63</v>
      </c>
      <c r="K2228" s="7"/>
    </row>
    <row r="2229" spans="1:11">
      <c r="A2229">
        <v>100002228</v>
      </c>
      <c r="B2229" t="s">
        <v>298</v>
      </c>
      <c r="C2229" t="s">
        <v>45</v>
      </c>
      <c r="D2229" t="s">
        <v>16</v>
      </c>
      <c r="E2229" s="9">
        <v>34</v>
      </c>
      <c r="F2229" t="s">
        <v>12</v>
      </c>
      <c r="G2229" t="s">
        <v>13</v>
      </c>
      <c r="H2229" s="8">
        <v>42271</v>
      </c>
      <c r="I2229">
        <v>41588.81</v>
      </c>
      <c r="K2229" s="8"/>
    </row>
    <row r="2230" spans="1:11">
      <c r="A2230">
        <v>100002229</v>
      </c>
      <c r="B2230" t="s">
        <v>245</v>
      </c>
      <c r="C2230" t="s">
        <v>140</v>
      </c>
      <c r="D2230" t="s">
        <v>11</v>
      </c>
      <c r="E2230" s="9">
        <v>37</v>
      </c>
      <c r="F2230" t="s">
        <v>12</v>
      </c>
      <c r="G2230" t="s">
        <v>18</v>
      </c>
      <c r="H2230" s="7">
        <v>42271</v>
      </c>
      <c r="I2230">
        <v>30147.279999999999</v>
      </c>
      <c r="K2230" s="7"/>
    </row>
    <row r="2231" spans="1:11">
      <c r="A2231">
        <v>100002230</v>
      </c>
      <c r="B2231" t="s">
        <v>232</v>
      </c>
      <c r="C2231" t="s">
        <v>248</v>
      </c>
      <c r="D2231" t="s">
        <v>16</v>
      </c>
      <c r="E2231" s="9">
        <v>22</v>
      </c>
      <c r="F2231" t="s">
        <v>12</v>
      </c>
      <c r="G2231" t="s">
        <v>13</v>
      </c>
      <c r="H2231" s="8">
        <v>42271</v>
      </c>
      <c r="I2231">
        <v>32946.720000000001</v>
      </c>
      <c r="K2231" s="8"/>
    </row>
    <row r="2232" spans="1:11">
      <c r="A2232">
        <v>100002231</v>
      </c>
      <c r="B2232" t="s">
        <v>314</v>
      </c>
      <c r="C2232" t="s">
        <v>178</v>
      </c>
      <c r="D2232" t="s">
        <v>16</v>
      </c>
      <c r="E2232" s="9">
        <v>32</v>
      </c>
      <c r="F2232" t="s">
        <v>12</v>
      </c>
      <c r="G2232" t="s">
        <v>13</v>
      </c>
      <c r="H2232" s="7">
        <v>42271</v>
      </c>
      <c r="I2232">
        <v>37281.32</v>
      </c>
      <c r="K2232" s="7"/>
    </row>
    <row r="2233" spans="1:11">
      <c r="A2233">
        <v>100002232</v>
      </c>
      <c r="B2233" t="s">
        <v>176</v>
      </c>
      <c r="C2233" t="s">
        <v>127</v>
      </c>
      <c r="D2233" t="s">
        <v>16</v>
      </c>
      <c r="E2233" s="9">
        <v>33</v>
      </c>
      <c r="F2233" t="s">
        <v>12</v>
      </c>
      <c r="G2233" t="s">
        <v>33</v>
      </c>
      <c r="H2233" s="8">
        <v>42271</v>
      </c>
      <c r="I2233">
        <v>36709.9</v>
      </c>
      <c r="K2233" s="8"/>
    </row>
    <row r="2234" spans="1:11">
      <c r="A2234">
        <v>100002233</v>
      </c>
      <c r="B2234" t="s">
        <v>215</v>
      </c>
      <c r="C2234" t="s">
        <v>107</v>
      </c>
      <c r="D2234" t="s">
        <v>16</v>
      </c>
      <c r="E2234" s="9">
        <v>31</v>
      </c>
      <c r="F2234" t="s">
        <v>12</v>
      </c>
      <c r="G2234" t="s">
        <v>18</v>
      </c>
      <c r="H2234" s="7">
        <v>42271</v>
      </c>
      <c r="I2234">
        <v>63449.29</v>
      </c>
      <c r="K2234" s="7"/>
    </row>
    <row r="2235" spans="1:11">
      <c r="A2235">
        <v>100002234</v>
      </c>
      <c r="B2235" t="s">
        <v>161</v>
      </c>
      <c r="C2235" t="s">
        <v>63</v>
      </c>
      <c r="D2235" t="s">
        <v>16</v>
      </c>
      <c r="E2235" s="9">
        <v>20</v>
      </c>
      <c r="F2235" t="s">
        <v>12</v>
      </c>
      <c r="G2235" t="s">
        <v>13</v>
      </c>
      <c r="H2235" s="8">
        <v>42271</v>
      </c>
      <c r="I2235">
        <v>17321.009999999998</v>
      </c>
      <c r="K2235" s="8"/>
    </row>
    <row r="2236" spans="1:11">
      <c r="A2236">
        <v>100002235</v>
      </c>
      <c r="B2236" t="s">
        <v>122</v>
      </c>
      <c r="C2236" t="s">
        <v>85</v>
      </c>
      <c r="D2236" t="s">
        <v>11</v>
      </c>
      <c r="E2236" s="9">
        <v>40</v>
      </c>
      <c r="F2236" t="s">
        <v>12</v>
      </c>
      <c r="G2236" t="s">
        <v>13</v>
      </c>
      <c r="H2236" s="7">
        <v>42271</v>
      </c>
      <c r="I2236">
        <v>25417.31</v>
      </c>
      <c r="K2236" s="7"/>
    </row>
    <row r="2237" spans="1:11">
      <c r="A2237">
        <v>100002236</v>
      </c>
      <c r="B2237" t="s">
        <v>184</v>
      </c>
      <c r="C2237" t="s">
        <v>201</v>
      </c>
      <c r="D2237" t="s">
        <v>16</v>
      </c>
      <c r="E2237" s="9">
        <v>42</v>
      </c>
      <c r="F2237" t="s">
        <v>12</v>
      </c>
      <c r="G2237" t="s">
        <v>13</v>
      </c>
      <c r="H2237" s="8">
        <v>42271</v>
      </c>
      <c r="I2237">
        <v>17631.939999999999</v>
      </c>
      <c r="K2237" s="8"/>
    </row>
    <row r="2238" spans="1:11">
      <c r="A2238">
        <v>100002237</v>
      </c>
      <c r="B2238" t="s">
        <v>296</v>
      </c>
      <c r="C2238" t="s">
        <v>163</v>
      </c>
      <c r="D2238" t="s">
        <v>11</v>
      </c>
      <c r="E2238" s="9">
        <v>36</v>
      </c>
      <c r="F2238" t="s">
        <v>12</v>
      </c>
      <c r="G2238" t="s">
        <v>13</v>
      </c>
      <c r="H2238" s="7">
        <v>42271</v>
      </c>
      <c r="I2238">
        <v>39028.74</v>
      </c>
      <c r="K2238" s="7"/>
    </row>
    <row r="2239" spans="1:11">
      <c r="A2239">
        <v>100002238</v>
      </c>
      <c r="B2239" t="s">
        <v>208</v>
      </c>
      <c r="C2239" t="s">
        <v>106</v>
      </c>
      <c r="D2239" t="s">
        <v>11</v>
      </c>
      <c r="E2239" s="9">
        <v>34</v>
      </c>
      <c r="F2239" t="s">
        <v>12</v>
      </c>
      <c r="G2239" t="s">
        <v>13</v>
      </c>
      <c r="H2239" s="8">
        <v>42271</v>
      </c>
      <c r="I2239">
        <v>9197.0400000000009</v>
      </c>
      <c r="K2239" s="8"/>
    </row>
    <row r="2240" spans="1:11">
      <c r="A2240">
        <v>100002239</v>
      </c>
      <c r="B2240" t="s">
        <v>181</v>
      </c>
      <c r="C2240" t="s">
        <v>277</v>
      </c>
      <c r="D2240" t="s">
        <v>11</v>
      </c>
      <c r="E2240" s="9">
        <v>34</v>
      </c>
      <c r="F2240" t="s">
        <v>12</v>
      </c>
      <c r="G2240" t="s">
        <v>13</v>
      </c>
      <c r="H2240" s="7">
        <v>42271</v>
      </c>
      <c r="I2240">
        <v>48947.83</v>
      </c>
      <c r="K2240" s="7"/>
    </row>
    <row r="2241" spans="1:11">
      <c r="A2241">
        <v>100002240</v>
      </c>
      <c r="B2241" t="s">
        <v>119</v>
      </c>
      <c r="C2241" t="s">
        <v>73</v>
      </c>
      <c r="D2241" t="s">
        <v>16</v>
      </c>
      <c r="E2241" s="9">
        <v>36</v>
      </c>
      <c r="F2241" t="s">
        <v>12</v>
      </c>
      <c r="G2241" t="s">
        <v>13</v>
      </c>
      <c r="H2241" s="8">
        <v>42271</v>
      </c>
      <c r="I2241">
        <v>33197.49</v>
      </c>
      <c r="K2241" s="8"/>
    </row>
    <row r="2242" spans="1:11">
      <c r="A2242">
        <v>100002241</v>
      </c>
      <c r="B2242" t="s">
        <v>188</v>
      </c>
      <c r="C2242" t="s">
        <v>49</v>
      </c>
      <c r="D2242" t="s">
        <v>11</v>
      </c>
      <c r="E2242" s="9">
        <v>37</v>
      </c>
      <c r="F2242" t="s">
        <v>12</v>
      </c>
      <c r="G2242" t="s">
        <v>13</v>
      </c>
      <c r="H2242" s="7">
        <v>42271</v>
      </c>
      <c r="I2242">
        <v>83804.88</v>
      </c>
      <c r="K2242" s="7"/>
    </row>
    <row r="2243" spans="1:11">
      <c r="A2243">
        <v>100002242</v>
      </c>
      <c r="B2243" t="s">
        <v>64</v>
      </c>
      <c r="C2243" t="s">
        <v>121</v>
      </c>
      <c r="D2243" t="s">
        <v>11</v>
      </c>
      <c r="E2243" s="9">
        <v>31</v>
      </c>
      <c r="F2243" t="s">
        <v>12</v>
      </c>
      <c r="G2243" t="s">
        <v>13</v>
      </c>
      <c r="H2243" s="8">
        <v>42271</v>
      </c>
      <c r="I2243">
        <v>38361.910000000003</v>
      </c>
      <c r="K2243" s="8"/>
    </row>
    <row r="2244" spans="1:11">
      <c r="A2244">
        <v>100002243</v>
      </c>
      <c r="B2244" t="s">
        <v>284</v>
      </c>
      <c r="C2244" t="s">
        <v>216</v>
      </c>
      <c r="D2244" t="s">
        <v>16</v>
      </c>
      <c r="E2244" s="9">
        <v>44</v>
      </c>
      <c r="F2244" t="s">
        <v>12</v>
      </c>
      <c r="G2244" t="s">
        <v>13</v>
      </c>
      <c r="H2244" s="7">
        <v>42271</v>
      </c>
      <c r="I2244">
        <v>27520.61</v>
      </c>
      <c r="K2244" s="7"/>
    </row>
    <row r="2245" spans="1:11">
      <c r="A2245">
        <v>100002244</v>
      </c>
      <c r="B2245" t="s">
        <v>236</v>
      </c>
      <c r="C2245" t="s">
        <v>216</v>
      </c>
      <c r="D2245" t="s">
        <v>16</v>
      </c>
      <c r="E2245" s="9">
        <v>38</v>
      </c>
      <c r="F2245" t="s">
        <v>12</v>
      </c>
      <c r="G2245" t="s">
        <v>13</v>
      </c>
      <c r="H2245" s="8">
        <v>42271</v>
      </c>
      <c r="I2245">
        <v>5053.6400000000003</v>
      </c>
      <c r="K2245" s="8"/>
    </row>
    <row r="2246" spans="1:11">
      <c r="A2246">
        <v>100002245</v>
      </c>
      <c r="B2246" t="s">
        <v>42</v>
      </c>
      <c r="C2246" t="s">
        <v>113</v>
      </c>
      <c r="D2246" t="s">
        <v>11</v>
      </c>
      <c r="E2246" s="9">
        <v>24</v>
      </c>
      <c r="F2246" t="s">
        <v>12</v>
      </c>
      <c r="G2246" t="s">
        <v>13</v>
      </c>
      <c r="H2246" s="7">
        <v>42271</v>
      </c>
      <c r="I2246">
        <v>52872.53</v>
      </c>
      <c r="K2246" s="7"/>
    </row>
    <row r="2247" spans="1:11">
      <c r="A2247">
        <v>200002246</v>
      </c>
      <c r="B2247" t="s">
        <v>50</v>
      </c>
      <c r="C2247" t="s">
        <v>45</v>
      </c>
      <c r="D2247" t="s">
        <v>16</v>
      </c>
      <c r="E2247" s="9">
        <v>52</v>
      </c>
      <c r="F2247" t="s">
        <v>32</v>
      </c>
      <c r="G2247" t="s">
        <v>18</v>
      </c>
      <c r="H2247" s="8">
        <v>42271</v>
      </c>
      <c r="I2247">
        <v>43787.71</v>
      </c>
      <c r="K2247" s="8"/>
    </row>
    <row r="2248" spans="1:11">
      <c r="A2248">
        <v>200002247</v>
      </c>
      <c r="B2248" t="s">
        <v>137</v>
      </c>
      <c r="C2248" t="s">
        <v>307</v>
      </c>
      <c r="D2248" t="s">
        <v>11</v>
      </c>
      <c r="E2248" s="9">
        <v>43</v>
      </c>
      <c r="F2248" t="s">
        <v>32</v>
      </c>
      <c r="G2248" t="s">
        <v>33</v>
      </c>
      <c r="H2248" s="7">
        <v>42271</v>
      </c>
      <c r="I2248">
        <v>8115.05</v>
      </c>
      <c r="K2248" s="7"/>
    </row>
    <row r="2249" spans="1:11">
      <c r="A2249">
        <v>200002248</v>
      </c>
      <c r="B2249" t="s">
        <v>76</v>
      </c>
      <c r="C2249" t="s">
        <v>295</v>
      </c>
      <c r="D2249" t="s">
        <v>11</v>
      </c>
      <c r="E2249" s="9">
        <v>19</v>
      </c>
      <c r="F2249" t="s">
        <v>32</v>
      </c>
      <c r="G2249" t="s">
        <v>33</v>
      </c>
      <c r="H2249" s="8">
        <v>42271</v>
      </c>
      <c r="I2249">
        <v>30691.82</v>
      </c>
      <c r="K2249" s="8"/>
    </row>
    <row r="2250" spans="1:11">
      <c r="A2250">
        <v>200002249</v>
      </c>
      <c r="B2250" t="s">
        <v>34</v>
      </c>
      <c r="C2250" t="s">
        <v>31</v>
      </c>
      <c r="D2250" t="s">
        <v>16</v>
      </c>
      <c r="E2250" s="9">
        <v>52</v>
      </c>
      <c r="F2250" t="s">
        <v>32</v>
      </c>
      <c r="G2250" t="s">
        <v>33</v>
      </c>
      <c r="H2250" s="7">
        <v>42271</v>
      </c>
      <c r="I2250">
        <v>65019.95</v>
      </c>
      <c r="K2250" s="7"/>
    </row>
    <row r="2251" spans="1:11">
      <c r="A2251">
        <v>200002250</v>
      </c>
      <c r="B2251" t="s">
        <v>173</v>
      </c>
      <c r="C2251" t="s">
        <v>210</v>
      </c>
      <c r="D2251" t="s">
        <v>11</v>
      </c>
      <c r="E2251" s="9">
        <v>48</v>
      </c>
      <c r="F2251" t="s">
        <v>32</v>
      </c>
      <c r="G2251" t="s">
        <v>33</v>
      </c>
      <c r="H2251" s="8">
        <v>42271</v>
      </c>
      <c r="I2251">
        <v>32709.97</v>
      </c>
      <c r="K2251" s="8"/>
    </row>
    <row r="2252" spans="1:11">
      <c r="A2252">
        <v>200002251</v>
      </c>
      <c r="B2252" t="s">
        <v>300</v>
      </c>
      <c r="C2252" t="s">
        <v>100</v>
      </c>
      <c r="D2252" t="s">
        <v>16</v>
      </c>
      <c r="E2252" s="9">
        <v>61</v>
      </c>
      <c r="F2252" t="s">
        <v>32</v>
      </c>
      <c r="G2252" t="s">
        <v>33</v>
      </c>
      <c r="H2252" s="7">
        <v>42271</v>
      </c>
      <c r="I2252">
        <v>18880.990000000002</v>
      </c>
      <c r="K2252" s="7"/>
    </row>
    <row r="2253" spans="1:11">
      <c r="A2253">
        <v>200002252</v>
      </c>
      <c r="B2253" t="s">
        <v>70</v>
      </c>
      <c r="C2253" t="s">
        <v>189</v>
      </c>
      <c r="D2253" t="s">
        <v>11</v>
      </c>
      <c r="E2253" s="9">
        <v>48</v>
      </c>
      <c r="F2253" t="s">
        <v>32</v>
      </c>
      <c r="G2253" t="s">
        <v>18</v>
      </c>
      <c r="H2253" s="8">
        <v>42271</v>
      </c>
      <c r="I2253">
        <v>23726.79</v>
      </c>
      <c r="K2253" s="8"/>
    </row>
    <row r="2254" spans="1:11">
      <c r="A2254">
        <v>200002253</v>
      </c>
      <c r="B2254" t="s">
        <v>168</v>
      </c>
      <c r="C2254" t="s">
        <v>91</v>
      </c>
      <c r="D2254" t="s">
        <v>16</v>
      </c>
      <c r="E2254" s="9">
        <v>50</v>
      </c>
      <c r="F2254" t="s">
        <v>32</v>
      </c>
      <c r="G2254" t="s">
        <v>33</v>
      </c>
      <c r="H2254" s="7">
        <v>42271</v>
      </c>
      <c r="I2254">
        <v>14835.01</v>
      </c>
      <c r="K2254" s="7"/>
    </row>
    <row r="2255" spans="1:11">
      <c r="A2255">
        <v>200002254</v>
      </c>
      <c r="B2255" t="s">
        <v>169</v>
      </c>
      <c r="C2255" t="s">
        <v>286</v>
      </c>
      <c r="D2255" t="s">
        <v>11</v>
      </c>
      <c r="E2255" s="9">
        <v>45</v>
      </c>
      <c r="F2255" t="s">
        <v>32</v>
      </c>
      <c r="G2255" t="s">
        <v>18</v>
      </c>
      <c r="H2255" s="8">
        <v>42271</v>
      </c>
      <c r="I2255">
        <v>64665.58</v>
      </c>
      <c r="K2255" s="8"/>
    </row>
    <row r="2256" spans="1:11">
      <c r="A2256">
        <v>200002255</v>
      </c>
      <c r="B2256" t="s">
        <v>57</v>
      </c>
      <c r="C2256" t="s">
        <v>25</v>
      </c>
      <c r="D2256" t="s">
        <v>11</v>
      </c>
      <c r="E2256" s="9">
        <v>39</v>
      </c>
      <c r="F2256" t="s">
        <v>32</v>
      </c>
      <c r="G2256" t="s">
        <v>18</v>
      </c>
      <c r="H2256" s="7">
        <v>42271</v>
      </c>
      <c r="I2256">
        <v>27726.59</v>
      </c>
      <c r="K2256" s="7"/>
    </row>
    <row r="2257" spans="1:11">
      <c r="A2257">
        <v>200002256</v>
      </c>
      <c r="B2257" t="s">
        <v>255</v>
      </c>
      <c r="C2257" t="s">
        <v>299</v>
      </c>
      <c r="D2257" t="s">
        <v>11</v>
      </c>
      <c r="E2257" s="9">
        <v>58</v>
      </c>
      <c r="F2257" t="s">
        <v>32</v>
      </c>
      <c r="G2257" t="s">
        <v>33</v>
      </c>
      <c r="H2257" s="8">
        <v>42271</v>
      </c>
      <c r="I2257">
        <v>47114.02</v>
      </c>
      <c r="K2257" s="8"/>
    </row>
    <row r="2258" spans="1:11">
      <c r="A2258">
        <v>200002257</v>
      </c>
      <c r="B2258" t="s">
        <v>300</v>
      </c>
      <c r="C2258" t="s">
        <v>313</v>
      </c>
      <c r="D2258" t="s">
        <v>16</v>
      </c>
      <c r="E2258" s="9">
        <v>51</v>
      </c>
      <c r="F2258" t="s">
        <v>32</v>
      </c>
      <c r="G2258" t="s">
        <v>33</v>
      </c>
      <c r="H2258" s="7">
        <v>42271</v>
      </c>
      <c r="I2258">
        <v>16321.85</v>
      </c>
      <c r="K2258" s="7"/>
    </row>
    <row r="2259" spans="1:11">
      <c r="A2259">
        <v>200002258</v>
      </c>
      <c r="B2259" t="s">
        <v>74</v>
      </c>
      <c r="C2259" t="s">
        <v>94</v>
      </c>
      <c r="D2259" t="s">
        <v>16</v>
      </c>
      <c r="E2259" s="9">
        <v>50</v>
      </c>
      <c r="F2259" t="s">
        <v>32</v>
      </c>
      <c r="G2259" t="s">
        <v>33</v>
      </c>
      <c r="H2259" s="8">
        <v>42271</v>
      </c>
      <c r="I2259">
        <v>31918.02</v>
      </c>
      <c r="K2259" s="8"/>
    </row>
    <row r="2260" spans="1:11">
      <c r="A2260">
        <v>200002259</v>
      </c>
      <c r="B2260" t="s">
        <v>218</v>
      </c>
      <c r="C2260" t="s">
        <v>45</v>
      </c>
      <c r="D2260" t="s">
        <v>11</v>
      </c>
      <c r="E2260" s="9">
        <v>42</v>
      </c>
      <c r="F2260" t="s">
        <v>32</v>
      </c>
      <c r="G2260" t="s">
        <v>18</v>
      </c>
      <c r="H2260" s="7">
        <v>42271</v>
      </c>
      <c r="I2260">
        <v>54856.02</v>
      </c>
      <c r="K2260" s="7"/>
    </row>
    <row r="2261" spans="1:11">
      <c r="A2261">
        <v>200002260</v>
      </c>
      <c r="B2261" t="s">
        <v>62</v>
      </c>
      <c r="C2261" t="s">
        <v>155</v>
      </c>
      <c r="D2261" t="s">
        <v>16</v>
      </c>
      <c r="E2261" s="9">
        <v>43</v>
      </c>
      <c r="F2261" t="s">
        <v>32</v>
      </c>
      <c r="G2261" t="s">
        <v>33</v>
      </c>
      <c r="H2261" s="8">
        <v>42271</v>
      </c>
      <c r="I2261">
        <v>10037.76</v>
      </c>
      <c r="K2261" s="8"/>
    </row>
    <row r="2262" spans="1:11">
      <c r="A2262">
        <v>200002261</v>
      </c>
      <c r="B2262" t="s">
        <v>141</v>
      </c>
      <c r="C2262" t="s">
        <v>275</v>
      </c>
      <c r="D2262" t="s">
        <v>11</v>
      </c>
      <c r="E2262" s="9">
        <v>50</v>
      </c>
      <c r="F2262" t="s">
        <v>32</v>
      </c>
      <c r="G2262" t="s">
        <v>33</v>
      </c>
      <c r="H2262" s="7">
        <v>42271</v>
      </c>
      <c r="I2262">
        <v>33161.08</v>
      </c>
      <c r="K2262" s="7"/>
    </row>
    <row r="2263" spans="1:11">
      <c r="A2263">
        <v>200002262</v>
      </c>
      <c r="B2263" t="s">
        <v>320</v>
      </c>
      <c r="C2263" t="s">
        <v>29</v>
      </c>
      <c r="D2263" t="s">
        <v>16</v>
      </c>
      <c r="E2263" s="9">
        <v>50</v>
      </c>
      <c r="F2263" t="s">
        <v>32</v>
      </c>
      <c r="G2263" t="s">
        <v>33</v>
      </c>
      <c r="H2263" s="8">
        <v>42271</v>
      </c>
      <c r="I2263">
        <v>28116.71</v>
      </c>
      <c r="K2263" s="8"/>
    </row>
    <row r="2264" spans="1:11">
      <c r="A2264">
        <v>200002263</v>
      </c>
      <c r="B2264" t="s">
        <v>44</v>
      </c>
      <c r="C2264" t="s">
        <v>205</v>
      </c>
      <c r="D2264" t="s">
        <v>16</v>
      </c>
      <c r="E2264" s="9">
        <v>61</v>
      </c>
      <c r="F2264" t="s">
        <v>32</v>
      </c>
      <c r="G2264" t="s">
        <v>18</v>
      </c>
      <c r="H2264" s="7">
        <v>42271</v>
      </c>
      <c r="I2264">
        <v>48394.84</v>
      </c>
      <c r="K2264" s="7"/>
    </row>
    <row r="2265" spans="1:11">
      <c r="A2265">
        <v>200002264</v>
      </c>
      <c r="B2265" t="s">
        <v>303</v>
      </c>
      <c r="C2265" t="s">
        <v>125</v>
      </c>
      <c r="D2265" t="s">
        <v>11</v>
      </c>
      <c r="E2265" s="9">
        <v>45</v>
      </c>
      <c r="F2265" t="s">
        <v>32</v>
      </c>
      <c r="G2265" t="s">
        <v>33</v>
      </c>
      <c r="H2265" s="8">
        <v>42271</v>
      </c>
      <c r="I2265">
        <v>10508.74</v>
      </c>
      <c r="K2265" s="8"/>
    </row>
    <row r="2266" spans="1:11">
      <c r="A2266">
        <v>300002265</v>
      </c>
      <c r="B2266" t="s">
        <v>267</v>
      </c>
      <c r="C2266" t="s">
        <v>315</v>
      </c>
      <c r="D2266" t="s">
        <v>16</v>
      </c>
      <c r="E2266" s="9">
        <v>25</v>
      </c>
      <c r="F2266" t="s">
        <v>23</v>
      </c>
      <c r="G2266" t="s">
        <v>13</v>
      </c>
      <c r="H2266" s="7">
        <v>42271</v>
      </c>
      <c r="I2266">
        <v>40535.160000000003</v>
      </c>
      <c r="K2266" s="7"/>
    </row>
    <row r="2267" spans="1:11">
      <c r="A2267">
        <v>300002266</v>
      </c>
      <c r="B2267" t="s">
        <v>164</v>
      </c>
      <c r="C2267" t="s">
        <v>275</v>
      </c>
      <c r="D2267" t="s">
        <v>11</v>
      </c>
      <c r="E2267" s="9">
        <v>33</v>
      </c>
      <c r="F2267" t="s">
        <v>23</v>
      </c>
      <c r="G2267" t="s">
        <v>33</v>
      </c>
      <c r="H2267" s="8">
        <v>42271</v>
      </c>
      <c r="I2267">
        <v>38089.79</v>
      </c>
      <c r="K2267" s="8"/>
    </row>
    <row r="2268" spans="1:11">
      <c r="A2268">
        <v>300002267</v>
      </c>
      <c r="B2268" t="s">
        <v>194</v>
      </c>
      <c r="C2268" t="s">
        <v>288</v>
      </c>
      <c r="D2268" t="s">
        <v>16</v>
      </c>
      <c r="E2268" s="9">
        <v>25</v>
      </c>
      <c r="F2268" t="s">
        <v>23</v>
      </c>
      <c r="G2268" t="s">
        <v>33</v>
      </c>
      <c r="H2268" s="7">
        <v>42271</v>
      </c>
      <c r="I2268">
        <v>5073.87</v>
      </c>
      <c r="K2268" s="7"/>
    </row>
    <row r="2269" spans="1:11">
      <c r="A2269">
        <v>300002268</v>
      </c>
      <c r="B2269" t="s">
        <v>312</v>
      </c>
      <c r="C2269" t="s">
        <v>185</v>
      </c>
      <c r="D2269" t="s">
        <v>11</v>
      </c>
      <c r="E2269" s="9">
        <v>18</v>
      </c>
      <c r="F2269" t="s">
        <v>23</v>
      </c>
      <c r="G2269" t="s">
        <v>13</v>
      </c>
      <c r="H2269" s="8">
        <v>42271</v>
      </c>
      <c r="I2269">
        <v>27333.57</v>
      </c>
      <c r="K2269" s="8"/>
    </row>
    <row r="2270" spans="1:11">
      <c r="A2270">
        <v>300002269</v>
      </c>
      <c r="B2270" t="s">
        <v>254</v>
      </c>
      <c r="C2270" t="s">
        <v>75</v>
      </c>
      <c r="D2270" t="s">
        <v>11</v>
      </c>
      <c r="E2270" s="9">
        <v>26</v>
      </c>
      <c r="F2270" t="s">
        <v>23</v>
      </c>
      <c r="G2270" t="s">
        <v>13</v>
      </c>
      <c r="H2270" s="7">
        <v>42271</v>
      </c>
      <c r="I2270">
        <v>58399.199999999997</v>
      </c>
      <c r="K2270" s="7"/>
    </row>
    <row r="2271" spans="1:11">
      <c r="A2271">
        <v>300002270</v>
      </c>
      <c r="B2271" t="s">
        <v>141</v>
      </c>
      <c r="C2271" t="s">
        <v>43</v>
      </c>
      <c r="D2271" t="s">
        <v>11</v>
      </c>
      <c r="E2271" s="9">
        <v>35</v>
      </c>
      <c r="F2271" t="s">
        <v>23</v>
      </c>
      <c r="G2271" t="s">
        <v>13</v>
      </c>
      <c r="H2271" s="8">
        <v>42271</v>
      </c>
      <c r="I2271">
        <v>11552.18</v>
      </c>
      <c r="K2271" s="8"/>
    </row>
    <row r="2272" spans="1:11">
      <c r="A2272">
        <v>300002271</v>
      </c>
      <c r="B2272" t="s">
        <v>235</v>
      </c>
      <c r="C2272" t="s">
        <v>15</v>
      </c>
      <c r="D2272" t="s">
        <v>11</v>
      </c>
      <c r="E2272" s="9">
        <v>37</v>
      </c>
      <c r="F2272" t="s">
        <v>23</v>
      </c>
      <c r="G2272" t="s">
        <v>33</v>
      </c>
      <c r="H2272" s="7">
        <v>42271</v>
      </c>
      <c r="I2272">
        <v>40862.92</v>
      </c>
      <c r="K2272" s="7"/>
    </row>
    <row r="2273" spans="1:11">
      <c r="A2273">
        <v>300002272</v>
      </c>
      <c r="B2273" t="s">
        <v>55</v>
      </c>
      <c r="C2273" t="s">
        <v>260</v>
      </c>
      <c r="D2273" t="s">
        <v>11</v>
      </c>
      <c r="E2273" s="9">
        <v>22</v>
      </c>
      <c r="F2273" t="s">
        <v>23</v>
      </c>
      <c r="G2273" t="s">
        <v>18</v>
      </c>
      <c r="H2273" s="8">
        <v>42271</v>
      </c>
      <c r="I2273">
        <v>14748.59</v>
      </c>
      <c r="K2273" s="8"/>
    </row>
    <row r="2274" spans="1:11">
      <c r="A2274">
        <v>300002273</v>
      </c>
      <c r="B2274" t="s">
        <v>177</v>
      </c>
      <c r="C2274" t="s">
        <v>195</v>
      </c>
      <c r="D2274" t="s">
        <v>11</v>
      </c>
      <c r="E2274" s="9">
        <v>46</v>
      </c>
      <c r="F2274" t="s">
        <v>23</v>
      </c>
      <c r="G2274" t="s">
        <v>18</v>
      </c>
      <c r="H2274" s="7">
        <v>42271</v>
      </c>
      <c r="I2274">
        <v>36919.089999999997</v>
      </c>
      <c r="K2274" s="7"/>
    </row>
    <row r="2275" spans="1:11">
      <c r="A2275">
        <v>300002274</v>
      </c>
      <c r="B2275" t="s">
        <v>57</v>
      </c>
      <c r="C2275" t="s">
        <v>237</v>
      </c>
      <c r="D2275" t="s">
        <v>11</v>
      </c>
      <c r="E2275" s="9">
        <v>25</v>
      </c>
      <c r="F2275" t="s">
        <v>23</v>
      </c>
      <c r="G2275" t="s">
        <v>33</v>
      </c>
      <c r="H2275" s="8">
        <v>42271</v>
      </c>
      <c r="I2275">
        <v>41197.660000000003</v>
      </c>
      <c r="K2275" s="8"/>
    </row>
    <row r="2276" spans="1:11">
      <c r="A2276">
        <v>300002275</v>
      </c>
      <c r="B2276" t="s">
        <v>131</v>
      </c>
      <c r="C2276" t="s">
        <v>47</v>
      </c>
      <c r="D2276" t="s">
        <v>16</v>
      </c>
      <c r="E2276" s="9">
        <v>36</v>
      </c>
      <c r="F2276" t="s">
        <v>23</v>
      </c>
      <c r="G2276" t="s">
        <v>13</v>
      </c>
      <c r="H2276" s="7">
        <v>42271</v>
      </c>
      <c r="I2276">
        <v>84942.22</v>
      </c>
      <c r="K2276" s="7"/>
    </row>
    <row r="2277" spans="1:11">
      <c r="A2277">
        <v>400002276</v>
      </c>
      <c r="B2277" t="s">
        <v>105</v>
      </c>
      <c r="C2277" t="s">
        <v>318</v>
      </c>
      <c r="D2277" t="s">
        <v>16</v>
      </c>
      <c r="E2277" s="9">
        <v>27</v>
      </c>
      <c r="F2277" t="s">
        <v>17</v>
      </c>
      <c r="G2277" t="s">
        <v>13</v>
      </c>
      <c r="H2277" s="8">
        <v>42271</v>
      </c>
      <c r="I2277">
        <v>50798.78</v>
      </c>
      <c r="K2277" s="8"/>
    </row>
    <row r="2278" spans="1:11">
      <c r="A2278">
        <v>400002277</v>
      </c>
      <c r="B2278" t="s">
        <v>182</v>
      </c>
      <c r="C2278" t="s">
        <v>307</v>
      </c>
      <c r="D2278" t="s">
        <v>16</v>
      </c>
      <c r="E2278" s="9">
        <v>38</v>
      </c>
      <c r="F2278" t="s">
        <v>17</v>
      </c>
      <c r="G2278" t="s">
        <v>33</v>
      </c>
      <c r="H2278" s="7">
        <v>42271</v>
      </c>
      <c r="I2278">
        <v>13914.8</v>
      </c>
      <c r="K2278" s="7"/>
    </row>
    <row r="2279" spans="1:11">
      <c r="A2279">
        <v>400002278</v>
      </c>
      <c r="B2279" t="s">
        <v>146</v>
      </c>
      <c r="C2279" t="s">
        <v>100</v>
      </c>
      <c r="D2279" t="s">
        <v>16</v>
      </c>
      <c r="E2279" s="9">
        <v>33</v>
      </c>
      <c r="F2279" t="s">
        <v>17</v>
      </c>
      <c r="G2279" t="s">
        <v>33</v>
      </c>
      <c r="H2279" s="8">
        <v>42271</v>
      </c>
      <c r="I2279">
        <v>133.75</v>
      </c>
      <c r="K2279" s="8"/>
    </row>
    <row r="2280" spans="1:11">
      <c r="A2280">
        <v>400002279</v>
      </c>
      <c r="B2280" t="s">
        <v>317</v>
      </c>
      <c r="C2280" t="s">
        <v>160</v>
      </c>
      <c r="D2280" t="s">
        <v>16</v>
      </c>
      <c r="E2280" s="9">
        <v>29</v>
      </c>
      <c r="F2280" t="s">
        <v>17</v>
      </c>
      <c r="G2280" t="s">
        <v>33</v>
      </c>
      <c r="H2280" s="7">
        <v>42271</v>
      </c>
      <c r="I2280">
        <v>74348.45</v>
      </c>
      <c r="K2280" s="7"/>
    </row>
    <row r="2281" spans="1:11">
      <c r="A2281">
        <v>400002280</v>
      </c>
      <c r="B2281" t="s">
        <v>213</v>
      </c>
      <c r="C2281" t="s">
        <v>69</v>
      </c>
      <c r="D2281" t="s">
        <v>11</v>
      </c>
      <c r="E2281" s="9">
        <v>29</v>
      </c>
      <c r="F2281" t="s">
        <v>17</v>
      </c>
      <c r="G2281" t="s">
        <v>18</v>
      </c>
      <c r="H2281" s="8">
        <v>42271</v>
      </c>
      <c r="I2281">
        <v>11180.72</v>
      </c>
      <c r="K2281" s="8"/>
    </row>
    <row r="2282" spans="1:11">
      <c r="A2282">
        <v>100002281</v>
      </c>
      <c r="B2282" t="s">
        <v>97</v>
      </c>
      <c r="C2282" t="s">
        <v>45</v>
      </c>
      <c r="D2282" t="s">
        <v>16</v>
      </c>
      <c r="E2282" s="9">
        <v>49</v>
      </c>
      <c r="F2282" t="s">
        <v>12</v>
      </c>
      <c r="G2282" t="s">
        <v>13</v>
      </c>
      <c r="H2282" s="7">
        <v>42272</v>
      </c>
      <c r="I2282">
        <v>34393.800000000003</v>
      </c>
      <c r="K2282" s="7"/>
    </row>
    <row r="2283" spans="1:11">
      <c r="A2283">
        <v>100002282</v>
      </c>
      <c r="B2283" t="s">
        <v>177</v>
      </c>
      <c r="C2283" t="s">
        <v>266</v>
      </c>
      <c r="D2283" t="s">
        <v>11</v>
      </c>
      <c r="E2283" s="9">
        <v>32</v>
      </c>
      <c r="F2283" t="s">
        <v>12</v>
      </c>
      <c r="G2283" t="s">
        <v>13</v>
      </c>
      <c r="H2283" s="8">
        <v>42272</v>
      </c>
      <c r="I2283">
        <v>59321.49</v>
      </c>
      <c r="K2283" s="8"/>
    </row>
    <row r="2284" spans="1:11">
      <c r="A2284">
        <v>100002283</v>
      </c>
      <c r="B2284" t="s">
        <v>184</v>
      </c>
      <c r="C2284" t="s">
        <v>121</v>
      </c>
      <c r="D2284" t="s">
        <v>16</v>
      </c>
      <c r="E2284" s="9">
        <v>38</v>
      </c>
      <c r="F2284" t="s">
        <v>12</v>
      </c>
      <c r="G2284" t="s">
        <v>13</v>
      </c>
      <c r="H2284" s="7">
        <v>42272</v>
      </c>
      <c r="I2284">
        <v>96144.95</v>
      </c>
      <c r="K2284" s="7"/>
    </row>
    <row r="2285" spans="1:11">
      <c r="A2285">
        <v>100002284</v>
      </c>
      <c r="B2285" t="s">
        <v>133</v>
      </c>
      <c r="C2285" t="s">
        <v>37</v>
      </c>
      <c r="D2285" t="s">
        <v>11</v>
      </c>
      <c r="E2285" s="9">
        <v>29</v>
      </c>
      <c r="F2285" t="s">
        <v>12</v>
      </c>
      <c r="G2285" t="s">
        <v>18</v>
      </c>
      <c r="H2285" s="8">
        <v>42272</v>
      </c>
      <c r="I2285">
        <v>34290.400000000001</v>
      </c>
      <c r="K2285" s="8"/>
    </row>
    <row r="2286" spans="1:11">
      <c r="A2286">
        <v>100002285</v>
      </c>
      <c r="B2286" t="s">
        <v>176</v>
      </c>
      <c r="C2286" t="s">
        <v>100</v>
      </c>
      <c r="D2286" t="s">
        <v>16</v>
      </c>
      <c r="E2286" s="9">
        <v>31</v>
      </c>
      <c r="F2286" t="s">
        <v>12</v>
      </c>
      <c r="G2286" t="s">
        <v>33</v>
      </c>
      <c r="H2286" s="7">
        <v>42272</v>
      </c>
      <c r="I2286">
        <v>4941.26</v>
      </c>
      <c r="K2286" s="7"/>
    </row>
    <row r="2287" spans="1:11">
      <c r="A2287">
        <v>100002286</v>
      </c>
      <c r="B2287" t="s">
        <v>150</v>
      </c>
      <c r="C2287" t="s">
        <v>71</v>
      </c>
      <c r="D2287" t="s">
        <v>16</v>
      </c>
      <c r="E2287" s="9">
        <v>28</v>
      </c>
      <c r="F2287" t="s">
        <v>12</v>
      </c>
      <c r="G2287" t="s">
        <v>13</v>
      </c>
      <c r="H2287" s="8">
        <v>42272</v>
      </c>
      <c r="I2287">
        <v>107083.15</v>
      </c>
      <c r="K2287" s="8"/>
    </row>
    <row r="2288" spans="1:11">
      <c r="A2288">
        <v>100002287</v>
      </c>
      <c r="B2288" t="s">
        <v>84</v>
      </c>
      <c r="C2288" t="s">
        <v>258</v>
      </c>
      <c r="D2288" t="s">
        <v>16</v>
      </c>
      <c r="E2288" s="9">
        <v>36</v>
      </c>
      <c r="F2288" t="s">
        <v>12</v>
      </c>
      <c r="G2288" t="s">
        <v>18</v>
      </c>
      <c r="H2288" s="7">
        <v>42272</v>
      </c>
      <c r="I2288">
        <v>49350.39</v>
      </c>
      <c r="K2288" s="7"/>
    </row>
    <row r="2289" spans="1:11">
      <c r="A2289">
        <v>100002288</v>
      </c>
      <c r="B2289" t="s">
        <v>293</v>
      </c>
      <c r="C2289" t="s">
        <v>185</v>
      </c>
      <c r="D2289" t="s">
        <v>11</v>
      </c>
      <c r="E2289" s="9">
        <v>51</v>
      </c>
      <c r="F2289" t="s">
        <v>12</v>
      </c>
      <c r="G2289" t="s">
        <v>18</v>
      </c>
      <c r="H2289" s="8">
        <v>42272</v>
      </c>
      <c r="I2289">
        <v>56729.36</v>
      </c>
      <c r="K2289" s="8"/>
    </row>
    <row r="2290" spans="1:11">
      <c r="A2290">
        <v>200002289</v>
      </c>
      <c r="B2290" t="s">
        <v>164</v>
      </c>
      <c r="C2290" t="s">
        <v>87</v>
      </c>
      <c r="D2290" t="s">
        <v>11</v>
      </c>
      <c r="E2290" s="9">
        <v>42</v>
      </c>
      <c r="F2290" t="s">
        <v>32</v>
      </c>
      <c r="G2290" t="s">
        <v>18</v>
      </c>
      <c r="H2290" s="7">
        <v>42272</v>
      </c>
      <c r="I2290">
        <v>82055.210000000006</v>
      </c>
      <c r="K2290" s="7"/>
    </row>
    <row r="2291" spans="1:11">
      <c r="A2291">
        <v>200002290</v>
      </c>
      <c r="B2291" t="s">
        <v>46</v>
      </c>
      <c r="C2291" t="s">
        <v>210</v>
      </c>
      <c r="D2291" t="s">
        <v>11</v>
      </c>
      <c r="E2291" s="9">
        <v>45</v>
      </c>
      <c r="F2291" t="s">
        <v>32</v>
      </c>
      <c r="G2291" t="s">
        <v>13</v>
      </c>
      <c r="H2291" s="8">
        <v>42272</v>
      </c>
      <c r="I2291">
        <v>48333.09</v>
      </c>
      <c r="K2291" s="8"/>
    </row>
    <row r="2292" spans="1:11">
      <c r="A2292">
        <v>200002291</v>
      </c>
      <c r="B2292" t="s">
        <v>214</v>
      </c>
      <c r="C2292" t="s">
        <v>162</v>
      </c>
      <c r="D2292" t="s">
        <v>11</v>
      </c>
      <c r="E2292" s="9">
        <v>36</v>
      </c>
      <c r="F2292" t="s">
        <v>32</v>
      </c>
      <c r="G2292" t="s">
        <v>18</v>
      </c>
      <c r="H2292" s="7">
        <v>42272</v>
      </c>
      <c r="I2292">
        <v>15706.01</v>
      </c>
      <c r="K2292" s="7"/>
    </row>
    <row r="2293" spans="1:11">
      <c r="A2293">
        <v>200002292</v>
      </c>
      <c r="B2293" t="s">
        <v>254</v>
      </c>
      <c r="C2293" t="s">
        <v>195</v>
      </c>
      <c r="D2293" t="s">
        <v>11</v>
      </c>
      <c r="E2293" s="9">
        <v>53</v>
      </c>
      <c r="F2293" t="s">
        <v>32</v>
      </c>
      <c r="G2293" t="s">
        <v>33</v>
      </c>
      <c r="H2293" s="8">
        <v>42272</v>
      </c>
      <c r="I2293">
        <v>67521.259999999995</v>
      </c>
      <c r="K2293" s="8"/>
    </row>
    <row r="2294" spans="1:11">
      <c r="A2294">
        <v>200002293</v>
      </c>
      <c r="B2294" t="s">
        <v>186</v>
      </c>
      <c r="C2294" t="s">
        <v>144</v>
      </c>
      <c r="D2294" t="s">
        <v>11</v>
      </c>
      <c r="E2294" s="9">
        <v>49</v>
      </c>
      <c r="F2294" t="s">
        <v>32</v>
      </c>
      <c r="G2294" t="s">
        <v>18</v>
      </c>
      <c r="H2294" s="7">
        <v>42272</v>
      </c>
      <c r="I2294">
        <v>875.27</v>
      </c>
      <c r="K2294" s="7"/>
    </row>
    <row r="2295" spans="1:11">
      <c r="A2295">
        <v>200002294</v>
      </c>
      <c r="B2295" t="s">
        <v>51</v>
      </c>
      <c r="C2295" t="s">
        <v>224</v>
      </c>
      <c r="D2295" t="s">
        <v>11</v>
      </c>
      <c r="E2295" s="9">
        <v>41</v>
      </c>
      <c r="F2295" t="s">
        <v>32</v>
      </c>
      <c r="G2295" t="s">
        <v>18</v>
      </c>
      <c r="H2295" s="8">
        <v>42272</v>
      </c>
      <c r="I2295">
        <v>93395.64</v>
      </c>
      <c r="K2295" s="8"/>
    </row>
    <row r="2296" spans="1:11">
      <c r="A2296">
        <v>200002295</v>
      </c>
      <c r="B2296" t="s">
        <v>89</v>
      </c>
      <c r="C2296" t="s">
        <v>179</v>
      </c>
      <c r="D2296" t="s">
        <v>11</v>
      </c>
      <c r="E2296" s="9">
        <v>52</v>
      </c>
      <c r="F2296" t="s">
        <v>32</v>
      </c>
      <c r="G2296" t="s">
        <v>33</v>
      </c>
      <c r="H2296" s="7">
        <v>42272</v>
      </c>
      <c r="I2296">
        <v>27024.47</v>
      </c>
      <c r="K2296" s="7"/>
    </row>
    <row r="2297" spans="1:11">
      <c r="A2297">
        <v>200002296</v>
      </c>
      <c r="B2297" t="s">
        <v>190</v>
      </c>
      <c r="C2297" t="s">
        <v>155</v>
      </c>
      <c r="D2297" t="s">
        <v>11</v>
      </c>
      <c r="E2297" s="9">
        <v>45</v>
      </c>
      <c r="F2297" t="s">
        <v>32</v>
      </c>
      <c r="G2297" t="s">
        <v>18</v>
      </c>
      <c r="H2297" s="8">
        <v>42272</v>
      </c>
      <c r="I2297">
        <v>10899.65</v>
      </c>
      <c r="K2297" s="8"/>
    </row>
    <row r="2298" spans="1:11">
      <c r="A2298">
        <v>300002297</v>
      </c>
      <c r="B2298" t="s">
        <v>14</v>
      </c>
      <c r="C2298" t="s">
        <v>259</v>
      </c>
      <c r="D2298" t="s">
        <v>16</v>
      </c>
      <c r="E2298" s="9">
        <v>30</v>
      </c>
      <c r="F2298" t="s">
        <v>23</v>
      </c>
      <c r="G2298" t="s">
        <v>13</v>
      </c>
      <c r="H2298" s="7">
        <v>42272</v>
      </c>
      <c r="I2298">
        <v>117809.44</v>
      </c>
      <c r="K2298" s="7"/>
    </row>
    <row r="2299" spans="1:11">
      <c r="A2299">
        <v>300002298</v>
      </c>
      <c r="B2299" t="s">
        <v>112</v>
      </c>
      <c r="C2299" t="s">
        <v>216</v>
      </c>
      <c r="D2299" t="s">
        <v>11</v>
      </c>
      <c r="E2299" s="9">
        <v>37</v>
      </c>
      <c r="F2299" t="s">
        <v>23</v>
      </c>
      <c r="G2299" t="s">
        <v>18</v>
      </c>
      <c r="H2299" s="8">
        <v>42272</v>
      </c>
      <c r="I2299">
        <v>80824.89</v>
      </c>
      <c r="K2299" s="8"/>
    </row>
    <row r="2300" spans="1:11">
      <c r="A2300">
        <v>400002299</v>
      </c>
      <c r="B2300" t="s">
        <v>171</v>
      </c>
      <c r="C2300" t="s">
        <v>307</v>
      </c>
      <c r="D2300" t="s">
        <v>16</v>
      </c>
      <c r="E2300" s="9">
        <v>37</v>
      </c>
      <c r="F2300" t="s">
        <v>17</v>
      </c>
      <c r="G2300" t="s">
        <v>18</v>
      </c>
      <c r="H2300" s="7">
        <v>42272</v>
      </c>
      <c r="I2300">
        <v>59970.28</v>
      </c>
      <c r="K2300" s="7"/>
    </row>
    <row r="2301" spans="1:11">
      <c r="A2301">
        <v>100002300</v>
      </c>
      <c r="B2301" t="s">
        <v>112</v>
      </c>
      <c r="C2301" t="s">
        <v>54</v>
      </c>
      <c r="D2301" t="s">
        <v>11</v>
      </c>
      <c r="E2301" s="9">
        <v>34</v>
      </c>
      <c r="F2301" t="s">
        <v>12</v>
      </c>
      <c r="G2301" t="s">
        <v>13</v>
      </c>
      <c r="H2301" s="8">
        <v>42273</v>
      </c>
      <c r="I2301">
        <v>81376.19</v>
      </c>
      <c r="K2301" s="8"/>
    </row>
    <row r="2302" spans="1:11">
      <c r="A2302">
        <v>100002301</v>
      </c>
      <c r="B2302" t="s">
        <v>105</v>
      </c>
      <c r="C2302" t="s">
        <v>82</v>
      </c>
      <c r="D2302" t="s">
        <v>16</v>
      </c>
      <c r="E2302" s="9">
        <v>36</v>
      </c>
      <c r="F2302" t="s">
        <v>12</v>
      </c>
      <c r="G2302" t="s">
        <v>13</v>
      </c>
      <c r="H2302" s="7">
        <v>42273</v>
      </c>
      <c r="I2302">
        <v>64555.12</v>
      </c>
      <c r="K2302" s="7"/>
    </row>
    <row r="2303" spans="1:11">
      <c r="A2303">
        <v>100002302</v>
      </c>
      <c r="B2303" t="s">
        <v>141</v>
      </c>
      <c r="C2303" t="s">
        <v>195</v>
      </c>
      <c r="D2303" t="s">
        <v>11</v>
      </c>
      <c r="E2303" s="9">
        <v>28</v>
      </c>
      <c r="F2303" t="s">
        <v>12</v>
      </c>
      <c r="G2303" t="s">
        <v>33</v>
      </c>
      <c r="H2303" s="8">
        <v>42273</v>
      </c>
      <c r="I2303">
        <v>11825.37</v>
      </c>
      <c r="K2303" s="8"/>
    </row>
    <row r="2304" spans="1:11">
      <c r="A2304">
        <v>100002303</v>
      </c>
      <c r="B2304" t="s">
        <v>263</v>
      </c>
      <c r="C2304" t="s">
        <v>45</v>
      </c>
      <c r="D2304" t="s">
        <v>16</v>
      </c>
      <c r="E2304" s="9">
        <v>45</v>
      </c>
      <c r="F2304" t="s">
        <v>12</v>
      </c>
      <c r="G2304" t="s">
        <v>18</v>
      </c>
      <c r="H2304" s="7">
        <v>42273</v>
      </c>
      <c r="I2304">
        <v>22420.34</v>
      </c>
      <c r="K2304" s="7"/>
    </row>
    <row r="2305" spans="1:11">
      <c r="A2305">
        <v>100002304</v>
      </c>
      <c r="B2305" t="s">
        <v>120</v>
      </c>
      <c r="C2305" t="s">
        <v>47</v>
      </c>
      <c r="D2305" t="s">
        <v>16</v>
      </c>
      <c r="E2305" s="9">
        <v>51</v>
      </c>
      <c r="F2305" t="s">
        <v>12</v>
      </c>
      <c r="G2305" t="s">
        <v>13</v>
      </c>
      <c r="H2305" s="8">
        <v>42273</v>
      </c>
      <c r="I2305">
        <v>80925.56</v>
      </c>
      <c r="K2305" s="8"/>
    </row>
    <row r="2306" spans="1:11">
      <c r="A2306">
        <v>100002305</v>
      </c>
      <c r="B2306" t="s">
        <v>139</v>
      </c>
      <c r="C2306" t="s">
        <v>69</v>
      </c>
      <c r="D2306" t="s">
        <v>16</v>
      </c>
      <c r="E2306" s="9">
        <v>34</v>
      </c>
      <c r="F2306" t="s">
        <v>12</v>
      </c>
      <c r="G2306" t="s">
        <v>33</v>
      </c>
      <c r="H2306" s="7">
        <v>42273</v>
      </c>
      <c r="I2306">
        <v>22433.360000000001</v>
      </c>
      <c r="K2306" s="7"/>
    </row>
    <row r="2307" spans="1:11">
      <c r="A2307">
        <v>100002306</v>
      </c>
      <c r="B2307" t="s">
        <v>72</v>
      </c>
      <c r="C2307" t="s">
        <v>183</v>
      </c>
      <c r="D2307" t="s">
        <v>11</v>
      </c>
      <c r="E2307" s="9">
        <v>31</v>
      </c>
      <c r="F2307" t="s">
        <v>12</v>
      </c>
      <c r="G2307" t="s">
        <v>13</v>
      </c>
      <c r="H2307" s="8">
        <v>42273</v>
      </c>
      <c r="I2307">
        <v>116522.47</v>
      </c>
      <c r="K2307" s="8"/>
    </row>
    <row r="2308" spans="1:11">
      <c r="A2308">
        <v>100002307</v>
      </c>
      <c r="B2308" t="s">
        <v>166</v>
      </c>
      <c r="C2308" t="s">
        <v>209</v>
      </c>
      <c r="D2308" t="s">
        <v>16</v>
      </c>
      <c r="E2308" s="9">
        <v>43</v>
      </c>
      <c r="F2308" t="s">
        <v>12</v>
      </c>
      <c r="G2308" t="s">
        <v>13</v>
      </c>
      <c r="H2308" s="7">
        <v>42273</v>
      </c>
      <c r="I2308">
        <v>106071.02</v>
      </c>
      <c r="K2308" s="7"/>
    </row>
    <row r="2309" spans="1:11">
      <c r="A2309">
        <v>200002308</v>
      </c>
      <c r="B2309" t="s">
        <v>181</v>
      </c>
      <c r="C2309" t="s">
        <v>132</v>
      </c>
      <c r="D2309" t="s">
        <v>11</v>
      </c>
      <c r="E2309" s="9">
        <v>49</v>
      </c>
      <c r="F2309" t="s">
        <v>32</v>
      </c>
      <c r="G2309" t="s">
        <v>18</v>
      </c>
      <c r="H2309" s="8">
        <v>42273</v>
      </c>
      <c r="I2309">
        <v>75620.5</v>
      </c>
      <c r="K2309" s="8"/>
    </row>
    <row r="2310" spans="1:11">
      <c r="A2310">
        <v>200002309</v>
      </c>
      <c r="B2310" t="s">
        <v>323</v>
      </c>
      <c r="C2310" t="s">
        <v>286</v>
      </c>
      <c r="D2310" t="s">
        <v>16</v>
      </c>
      <c r="E2310" s="9">
        <v>45</v>
      </c>
      <c r="F2310" t="s">
        <v>32</v>
      </c>
      <c r="G2310" t="s">
        <v>33</v>
      </c>
      <c r="H2310" s="7">
        <v>42273</v>
      </c>
      <c r="I2310">
        <v>71299.839999999997</v>
      </c>
      <c r="K2310" s="7"/>
    </row>
    <row r="2311" spans="1:11">
      <c r="A2311">
        <v>200002310</v>
      </c>
      <c r="B2311" t="s">
        <v>293</v>
      </c>
      <c r="C2311" t="s">
        <v>299</v>
      </c>
      <c r="D2311" t="s">
        <v>11</v>
      </c>
      <c r="E2311" s="9">
        <v>48</v>
      </c>
      <c r="F2311" t="s">
        <v>32</v>
      </c>
      <c r="G2311" t="s">
        <v>13</v>
      </c>
      <c r="H2311" s="8">
        <v>42273</v>
      </c>
      <c r="I2311">
        <v>54081.03</v>
      </c>
      <c r="K2311" s="8"/>
    </row>
    <row r="2312" spans="1:11">
      <c r="A2312">
        <v>200002311</v>
      </c>
      <c r="B2312" t="s">
        <v>118</v>
      </c>
      <c r="C2312" t="s">
        <v>116</v>
      </c>
      <c r="D2312" t="s">
        <v>11</v>
      </c>
      <c r="E2312" s="9">
        <v>64</v>
      </c>
      <c r="F2312" t="s">
        <v>32</v>
      </c>
      <c r="G2312" t="s">
        <v>18</v>
      </c>
      <c r="H2312" s="7">
        <v>42273</v>
      </c>
      <c r="I2312">
        <v>10325.52</v>
      </c>
      <c r="K2312" s="7"/>
    </row>
    <row r="2313" spans="1:11">
      <c r="A2313">
        <v>200002312</v>
      </c>
      <c r="B2313" t="s">
        <v>57</v>
      </c>
      <c r="C2313" t="s">
        <v>61</v>
      </c>
      <c r="D2313" t="s">
        <v>11</v>
      </c>
      <c r="E2313" s="9">
        <v>53</v>
      </c>
      <c r="F2313" t="s">
        <v>32</v>
      </c>
      <c r="G2313" t="s">
        <v>18</v>
      </c>
      <c r="H2313" s="8">
        <v>42273</v>
      </c>
      <c r="I2313">
        <v>65464.91</v>
      </c>
      <c r="K2313" s="8"/>
    </row>
    <row r="2314" spans="1:11">
      <c r="A2314">
        <v>200002313</v>
      </c>
      <c r="B2314" t="s">
        <v>199</v>
      </c>
      <c r="C2314" t="s">
        <v>306</v>
      </c>
      <c r="D2314" t="s">
        <v>11</v>
      </c>
      <c r="E2314" s="9">
        <v>45</v>
      </c>
      <c r="F2314" t="s">
        <v>32</v>
      </c>
      <c r="G2314" t="s">
        <v>33</v>
      </c>
      <c r="H2314" s="7">
        <v>42273</v>
      </c>
      <c r="I2314">
        <v>77140.53</v>
      </c>
      <c r="K2314" s="7"/>
    </row>
    <row r="2315" spans="1:11">
      <c r="A2315">
        <v>300002314</v>
      </c>
      <c r="B2315" t="s">
        <v>128</v>
      </c>
      <c r="C2315" t="s">
        <v>49</v>
      </c>
      <c r="D2315" t="s">
        <v>16</v>
      </c>
      <c r="E2315" s="9">
        <v>20</v>
      </c>
      <c r="F2315" t="s">
        <v>23</v>
      </c>
      <c r="G2315" t="s">
        <v>13</v>
      </c>
      <c r="H2315" s="8">
        <v>42273</v>
      </c>
      <c r="I2315">
        <v>32823.599999999999</v>
      </c>
      <c r="K2315" s="8"/>
    </row>
    <row r="2316" spans="1:11">
      <c r="A2316">
        <v>300002315</v>
      </c>
      <c r="B2316" t="s">
        <v>66</v>
      </c>
      <c r="C2316" t="s">
        <v>94</v>
      </c>
      <c r="D2316" t="s">
        <v>16</v>
      </c>
      <c r="E2316" s="9">
        <v>35</v>
      </c>
      <c r="F2316" t="s">
        <v>23</v>
      </c>
      <c r="G2316" t="s">
        <v>18</v>
      </c>
      <c r="H2316" s="7">
        <v>42273</v>
      </c>
      <c r="I2316">
        <v>80558.45</v>
      </c>
      <c r="K2316" s="7"/>
    </row>
    <row r="2317" spans="1:11">
      <c r="A2317">
        <v>300002316</v>
      </c>
      <c r="B2317" t="s">
        <v>308</v>
      </c>
      <c r="C2317" t="s">
        <v>113</v>
      </c>
      <c r="D2317" t="s">
        <v>16</v>
      </c>
      <c r="E2317" s="9">
        <v>34</v>
      </c>
      <c r="F2317" t="s">
        <v>23</v>
      </c>
      <c r="G2317" t="s">
        <v>13</v>
      </c>
      <c r="H2317" s="8">
        <v>42273</v>
      </c>
      <c r="I2317">
        <v>14009.77</v>
      </c>
      <c r="K2317" s="8"/>
    </row>
    <row r="2318" spans="1:11">
      <c r="A2318">
        <v>400002317</v>
      </c>
      <c r="B2318" t="s">
        <v>220</v>
      </c>
      <c r="C2318" t="s">
        <v>47</v>
      </c>
      <c r="D2318" t="s">
        <v>16</v>
      </c>
      <c r="E2318" s="9">
        <v>19</v>
      </c>
      <c r="F2318" t="s">
        <v>17</v>
      </c>
      <c r="G2318" t="s">
        <v>18</v>
      </c>
      <c r="H2318" s="7">
        <v>42273</v>
      </c>
      <c r="I2318">
        <v>63979.4</v>
      </c>
      <c r="K2318" s="7"/>
    </row>
    <row r="2319" spans="1:11">
      <c r="A2319">
        <v>400002318</v>
      </c>
      <c r="B2319" t="s">
        <v>223</v>
      </c>
      <c r="C2319" t="s">
        <v>274</v>
      </c>
      <c r="D2319" t="s">
        <v>16</v>
      </c>
      <c r="E2319" s="9">
        <v>31</v>
      </c>
      <c r="F2319" t="s">
        <v>17</v>
      </c>
      <c r="G2319" t="s">
        <v>33</v>
      </c>
      <c r="H2319" s="8">
        <v>42273</v>
      </c>
      <c r="I2319">
        <v>27667.95</v>
      </c>
      <c r="K2319" s="8"/>
    </row>
    <row r="2320" spans="1:11">
      <c r="A2320">
        <v>400002319</v>
      </c>
      <c r="B2320" t="s">
        <v>81</v>
      </c>
      <c r="C2320" t="s">
        <v>58</v>
      </c>
      <c r="D2320" t="s">
        <v>16</v>
      </c>
      <c r="E2320" s="9">
        <v>40</v>
      </c>
      <c r="F2320" t="s">
        <v>17</v>
      </c>
      <c r="G2320" t="s">
        <v>13</v>
      </c>
      <c r="H2320" s="7">
        <v>42273</v>
      </c>
      <c r="I2320">
        <v>6540.58</v>
      </c>
      <c r="K2320" s="7"/>
    </row>
    <row r="2321" spans="1:11">
      <c r="A2321">
        <v>100002320</v>
      </c>
      <c r="B2321" t="s">
        <v>152</v>
      </c>
      <c r="C2321" t="s">
        <v>20</v>
      </c>
      <c r="D2321" t="s">
        <v>11</v>
      </c>
      <c r="E2321" s="9">
        <v>27</v>
      </c>
      <c r="F2321" t="s">
        <v>12</v>
      </c>
      <c r="G2321" t="s">
        <v>13</v>
      </c>
      <c r="H2321" s="8">
        <v>42274</v>
      </c>
      <c r="I2321">
        <v>54644.32</v>
      </c>
      <c r="K2321" s="8"/>
    </row>
    <row r="2322" spans="1:11">
      <c r="A2322">
        <v>100002321</v>
      </c>
      <c r="B2322" t="s">
        <v>232</v>
      </c>
      <c r="C2322" t="s">
        <v>260</v>
      </c>
      <c r="D2322" t="s">
        <v>16</v>
      </c>
      <c r="E2322" s="9">
        <v>46</v>
      </c>
      <c r="F2322" t="s">
        <v>12</v>
      </c>
      <c r="G2322" t="s">
        <v>13</v>
      </c>
      <c r="H2322" s="7">
        <v>42274</v>
      </c>
      <c r="I2322">
        <v>26572.57</v>
      </c>
      <c r="K2322" s="7"/>
    </row>
    <row r="2323" spans="1:11">
      <c r="A2323">
        <v>100002322</v>
      </c>
      <c r="B2323" t="s">
        <v>53</v>
      </c>
      <c r="C2323" t="s">
        <v>123</v>
      </c>
      <c r="D2323" t="s">
        <v>16</v>
      </c>
      <c r="E2323" s="9">
        <v>43</v>
      </c>
      <c r="F2323" t="s">
        <v>12</v>
      </c>
      <c r="G2323" t="s">
        <v>13</v>
      </c>
      <c r="H2323" s="8">
        <v>42274</v>
      </c>
      <c r="I2323">
        <v>7835.46</v>
      </c>
      <c r="K2323" s="8"/>
    </row>
    <row r="2324" spans="1:11">
      <c r="A2324">
        <v>100002323</v>
      </c>
      <c r="B2324" t="s">
        <v>101</v>
      </c>
      <c r="C2324" t="s">
        <v>227</v>
      </c>
      <c r="D2324" t="s">
        <v>11</v>
      </c>
      <c r="E2324" s="9">
        <v>40</v>
      </c>
      <c r="F2324" t="s">
        <v>12</v>
      </c>
      <c r="G2324" t="s">
        <v>18</v>
      </c>
      <c r="H2324" s="7">
        <v>42274</v>
      </c>
      <c r="I2324">
        <v>71368.77</v>
      </c>
      <c r="K2324" s="7"/>
    </row>
    <row r="2325" spans="1:11">
      <c r="A2325">
        <v>100002324</v>
      </c>
      <c r="B2325" t="s">
        <v>217</v>
      </c>
      <c r="C2325" t="s">
        <v>242</v>
      </c>
      <c r="D2325" t="s">
        <v>11</v>
      </c>
      <c r="E2325" s="9">
        <v>37</v>
      </c>
      <c r="F2325" t="s">
        <v>12</v>
      </c>
      <c r="G2325" t="s">
        <v>33</v>
      </c>
      <c r="H2325" s="8">
        <v>42274</v>
      </c>
      <c r="I2325">
        <v>6031.79</v>
      </c>
      <c r="K2325" s="8"/>
    </row>
    <row r="2326" spans="1:11">
      <c r="A2326">
        <v>100002325</v>
      </c>
      <c r="B2326" t="s">
        <v>268</v>
      </c>
      <c r="C2326" t="s">
        <v>318</v>
      </c>
      <c r="D2326" t="s">
        <v>16</v>
      </c>
      <c r="E2326" s="9">
        <v>45</v>
      </c>
      <c r="F2326" t="s">
        <v>12</v>
      </c>
      <c r="G2326" t="s">
        <v>33</v>
      </c>
      <c r="H2326" s="7">
        <v>42274</v>
      </c>
      <c r="I2326">
        <v>68291.360000000001</v>
      </c>
      <c r="K2326" s="7"/>
    </row>
    <row r="2327" spans="1:11">
      <c r="A2327">
        <v>100002326</v>
      </c>
      <c r="B2327" t="s">
        <v>323</v>
      </c>
      <c r="C2327" t="s">
        <v>172</v>
      </c>
      <c r="D2327" t="s">
        <v>16</v>
      </c>
      <c r="E2327" s="9">
        <v>45</v>
      </c>
      <c r="F2327" t="s">
        <v>12</v>
      </c>
      <c r="G2327" t="s">
        <v>13</v>
      </c>
      <c r="H2327" s="8">
        <v>42274</v>
      </c>
      <c r="I2327">
        <v>59349.16</v>
      </c>
      <c r="K2327" s="8"/>
    </row>
    <row r="2328" spans="1:11">
      <c r="A2328">
        <v>100002327</v>
      </c>
      <c r="B2328" t="s">
        <v>283</v>
      </c>
      <c r="C2328" t="s">
        <v>170</v>
      </c>
      <c r="D2328" t="s">
        <v>11</v>
      </c>
      <c r="E2328" s="9">
        <v>31</v>
      </c>
      <c r="F2328" t="s">
        <v>12</v>
      </c>
      <c r="G2328" t="s">
        <v>13</v>
      </c>
      <c r="H2328" s="7">
        <v>42274</v>
      </c>
      <c r="I2328">
        <v>12395.4</v>
      </c>
      <c r="K2328" s="7"/>
    </row>
    <row r="2329" spans="1:11">
      <c r="A2329">
        <v>100002328</v>
      </c>
      <c r="B2329" t="s">
        <v>62</v>
      </c>
      <c r="C2329" t="s">
        <v>201</v>
      </c>
      <c r="D2329" t="s">
        <v>16</v>
      </c>
      <c r="E2329" s="9">
        <v>37</v>
      </c>
      <c r="F2329" t="s">
        <v>12</v>
      </c>
      <c r="G2329" t="s">
        <v>18</v>
      </c>
      <c r="H2329" s="8">
        <v>42274</v>
      </c>
      <c r="I2329">
        <v>25978.37</v>
      </c>
      <c r="K2329" s="8"/>
    </row>
    <row r="2330" spans="1:11">
      <c r="A2330">
        <v>200002329</v>
      </c>
      <c r="B2330" t="s">
        <v>221</v>
      </c>
      <c r="C2330" t="s">
        <v>98</v>
      </c>
      <c r="D2330" t="s">
        <v>16</v>
      </c>
      <c r="E2330" s="9">
        <v>53</v>
      </c>
      <c r="F2330" t="s">
        <v>32</v>
      </c>
      <c r="G2330" t="s">
        <v>33</v>
      </c>
      <c r="H2330" s="7">
        <v>42274</v>
      </c>
      <c r="I2330">
        <v>41704.559999999998</v>
      </c>
      <c r="K2330" s="7"/>
    </row>
    <row r="2331" spans="1:11">
      <c r="A2331">
        <v>200002330</v>
      </c>
      <c r="B2331" t="s">
        <v>208</v>
      </c>
      <c r="C2331" t="s">
        <v>37</v>
      </c>
      <c r="D2331" t="s">
        <v>11</v>
      </c>
      <c r="E2331" s="9">
        <v>58</v>
      </c>
      <c r="F2331" t="s">
        <v>32</v>
      </c>
      <c r="G2331" t="s">
        <v>33</v>
      </c>
      <c r="H2331" s="8">
        <v>42274</v>
      </c>
      <c r="I2331">
        <v>58713.96</v>
      </c>
      <c r="K2331" s="8"/>
    </row>
    <row r="2332" spans="1:11">
      <c r="A2332">
        <v>200002331</v>
      </c>
      <c r="B2332" t="s">
        <v>188</v>
      </c>
      <c r="C2332" t="s">
        <v>103</v>
      </c>
      <c r="D2332" t="s">
        <v>11</v>
      </c>
      <c r="E2332" s="9">
        <v>52</v>
      </c>
      <c r="F2332" t="s">
        <v>32</v>
      </c>
      <c r="G2332" t="s">
        <v>18</v>
      </c>
      <c r="H2332" s="7">
        <v>42274</v>
      </c>
      <c r="I2332">
        <v>64059.71</v>
      </c>
      <c r="K2332" s="7"/>
    </row>
    <row r="2333" spans="1:11">
      <c r="A2333">
        <v>200002332</v>
      </c>
      <c r="B2333" t="s">
        <v>76</v>
      </c>
      <c r="C2333" t="s">
        <v>61</v>
      </c>
      <c r="D2333" t="s">
        <v>11</v>
      </c>
      <c r="E2333" s="9">
        <v>54</v>
      </c>
      <c r="F2333" t="s">
        <v>32</v>
      </c>
      <c r="G2333" t="s">
        <v>18</v>
      </c>
      <c r="H2333" s="8">
        <v>42274</v>
      </c>
      <c r="I2333">
        <v>34782.54</v>
      </c>
      <c r="K2333" s="8"/>
    </row>
    <row r="2334" spans="1:11">
      <c r="A2334">
        <v>200002333</v>
      </c>
      <c r="B2334" t="s">
        <v>60</v>
      </c>
      <c r="C2334" t="s">
        <v>104</v>
      </c>
      <c r="D2334" t="s">
        <v>11</v>
      </c>
      <c r="E2334" s="9">
        <v>50</v>
      </c>
      <c r="F2334" t="s">
        <v>32</v>
      </c>
      <c r="G2334" t="s">
        <v>18</v>
      </c>
      <c r="H2334" s="7">
        <v>42274</v>
      </c>
      <c r="I2334">
        <v>3246.67</v>
      </c>
      <c r="K2334" s="7"/>
    </row>
    <row r="2335" spans="1:11">
      <c r="A2335">
        <v>300002334</v>
      </c>
      <c r="B2335" t="s">
        <v>174</v>
      </c>
      <c r="C2335" t="s">
        <v>98</v>
      </c>
      <c r="D2335" t="s">
        <v>11</v>
      </c>
      <c r="E2335" s="9">
        <v>33</v>
      </c>
      <c r="F2335" t="s">
        <v>23</v>
      </c>
      <c r="G2335" t="s">
        <v>18</v>
      </c>
      <c r="H2335" s="8">
        <v>42274</v>
      </c>
      <c r="I2335">
        <v>108674.69</v>
      </c>
      <c r="K2335" s="8"/>
    </row>
    <row r="2336" spans="1:11">
      <c r="A2336">
        <v>300002335</v>
      </c>
      <c r="B2336" t="s">
        <v>38</v>
      </c>
      <c r="C2336" t="s">
        <v>116</v>
      </c>
      <c r="D2336" t="s">
        <v>11</v>
      </c>
      <c r="E2336" s="9">
        <v>36</v>
      </c>
      <c r="F2336" t="s">
        <v>23</v>
      </c>
      <c r="G2336" t="s">
        <v>13</v>
      </c>
      <c r="H2336" s="7">
        <v>42274</v>
      </c>
      <c r="I2336">
        <v>144209.76999999999</v>
      </c>
      <c r="K2336" s="7"/>
    </row>
    <row r="2337" spans="1:11">
      <c r="A2337">
        <v>300002336</v>
      </c>
      <c r="B2337" t="s">
        <v>161</v>
      </c>
      <c r="C2337" t="s">
        <v>140</v>
      </c>
      <c r="D2337" t="s">
        <v>16</v>
      </c>
      <c r="E2337" s="9">
        <v>27</v>
      </c>
      <c r="F2337" t="s">
        <v>23</v>
      </c>
      <c r="G2337" t="s">
        <v>13</v>
      </c>
      <c r="H2337" s="8">
        <v>42274</v>
      </c>
      <c r="I2337">
        <v>33122.15</v>
      </c>
      <c r="K2337" s="8"/>
    </row>
    <row r="2338" spans="1:11">
      <c r="A2338">
        <v>400002337</v>
      </c>
      <c r="B2338" t="s">
        <v>317</v>
      </c>
      <c r="C2338" t="s">
        <v>167</v>
      </c>
      <c r="D2338" t="s">
        <v>16</v>
      </c>
      <c r="E2338" s="9">
        <v>40</v>
      </c>
      <c r="F2338" t="s">
        <v>17</v>
      </c>
      <c r="G2338" t="s">
        <v>13</v>
      </c>
      <c r="H2338" s="7">
        <v>42274</v>
      </c>
      <c r="I2338">
        <v>40064.67</v>
      </c>
      <c r="K2338" s="7"/>
    </row>
    <row r="2339" spans="1:11">
      <c r="A2339">
        <v>100002338</v>
      </c>
      <c r="B2339" t="s">
        <v>133</v>
      </c>
      <c r="C2339" t="s">
        <v>252</v>
      </c>
      <c r="D2339" t="s">
        <v>11</v>
      </c>
      <c r="E2339" s="9">
        <v>40</v>
      </c>
      <c r="F2339" t="s">
        <v>12</v>
      </c>
      <c r="G2339" t="s">
        <v>18</v>
      </c>
      <c r="H2339" s="8">
        <v>42275</v>
      </c>
      <c r="I2339">
        <v>29733.42</v>
      </c>
      <c r="K2339" s="8"/>
    </row>
    <row r="2340" spans="1:11">
      <c r="A2340">
        <v>100002339</v>
      </c>
      <c r="B2340" t="s">
        <v>24</v>
      </c>
      <c r="C2340" t="s">
        <v>163</v>
      </c>
      <c r="D2340" t="s">
        <v>16</v>
      </c>
      <c r="E2340" s="9">
        <v>31</v>
      </c>
      <c r="F2340" t="s">
        <v>12</v>
      </c>
      <c r="G2340" t="s">
        <v>33</v>
      </c>
      <c r="H2340" s="7">
        <v>42275</v>
      </c>
      <c r="I2340">
        <v>107268.59</v>
      </c>
      <c r="K2340" s="7"/>
    </row>
    <row r="2341" spans="1:11">
      <c r="A2341">
        <v>100002340</v>
      </c>
      <c r="B2341" t="s">
        <v>51</v>
      </c>
      <c r="C2341" t="s">
        <v>260</v>
      </c>
      <c r="D2341" t="s">
        <v>11</v>
      </c>
      <c r="E2341" s="9">
        <v>37</v>
      </c>
      <c r="F2341" t="s">
        <v>12</v>
      </c>
      <c r="G2341" t="s">
        <v>13</v>
      </c>
      <c r="H2341" s="8">
        <v>42275</v>
      </c>
      <c r="I2341">
        <v>34070.86</v>
      </c>
      <c r="K2341" s="8"/>
    </row>
    <row r="2342" spans="1:11">
      <c r="A2342">
        <v>100002341</v>
      </c>
      <c r="B2342" t="s">
        <v>36</v>
      </c>
      <c r="C2342" t="s">
        <v>93</v>
      </c>
      <c r="D2342" t="s">
        <v>11</v>
      </c>
      <c r="E2342" s="9">
        <v>41</v>
      </c>
      <c r="F2342" t="s">
        <v>12</v>
      </c>
      <c r="G2342" t="s">
        <v>33</v>
      </c>
      <c r="H2342" s="7">
        <v>42275</v>
      </c>
      <c r="I2342">
        <v>10486.23</v>
      </c>
      <c r="K2342" s="7"/>
    </row>
    <row r="2343" spans="1:11">
      <c r="A2343">
        <v>100002342</v>
      </c>
      <c r="B2343" t="s">
        <v>128</v>
      </c>
      <c r="C2343" t="s">
        <v>205</v>
      </c>
      <c r="D2343" t="s">
        <v>16</v>
      </c>
      <c r="E2343" s="9">
        <v>30</v>
      </c>
      <c r="F2343" t="s">
        <v>12</v>
      </c>
      <c r="G2343" t="s">
        <v>18</v>
      </c>
      <c r="H2343" s="8">
        <v>42275</v>
      </c>
      <c r="I2343">
        <v>13717.09</v>
      </c>
      <c r="K2343" s="8"/>
    </row>
    <row r="2344" spans="1:11">
      <c r="A2344">
        <v>100002343</v>
      </c>
      <c r="B2344" t="s">
        <v>249</v>
      </c>
      <c r="C2344" t="s">
        <v>306</v>
      </c>
      <c r="D2344" t="s">
        <v>16</v>
      </c>
      <c r="E2344" s="9">
        <v>31</v>
      </c>
      <c r="F2344" t="s">
        <v>12</v>
      </c>
      <c r="G2344" t="s">
        <v>13</v>
      </c>
      <c r="H2344" s="7">
        <v>42275</v>
      </c>
      <c r="I2344">
        <v>12498.12</v>
      </c>
      <c r="K2344" s="7"/>
    </row>
    <row r="2345" spans="1:11">
      <c r="A2345">
        <v>100002344</v>
      </c>
      <c r="B2345" t="s">
        <v>276</v>
      </c>
      <c r="C2345" t="s">
        <v>209</v>
      </c>
      <c r="D2345" t="s">
        <v>16</v>
      </c>
      <c r="E2345" s="9">
        <v>22</v>
      </c>
      <c r="F2345" t="s">
        <v>12</v>
      </c>
      <c r="G2345" t="s">
        <v>13</v>
      </c>
      <c r="H2345" s="8">
        <v>42275</v>
      </c>
      <c r="I2345">
        <v>84123.93</v>
      </c>
      <c r="K2345" s="8"/>
    </row>
    <row r="2346" spans="1:11">
      <c r="A2346">
        <v>100002345</v>
      </c>
      <c r="B2346" t="s">
        <v>190</v>
      </c>
      <c r="C2346" t="s">
        <v>91</v>
      </c>
      <c r="D2346" t="s">
        <v>11</v>
      </c>
      <c r="E2346" s="9">
        <v>45</v>
      </c>
      <c r="F2346" t="s">
        <v>12</v>
      </c>
      <c r="G2346" t="s">
        <v>13</v>
      </c>
      <c r="H2346" s="7">
        <v>42275</v>
      </c>
      <c r="I2346">
        <v>73668.490000000005</v>
      </c>
      <c r="K2346" s="7"/>
    </row>
    <row r="2347" spans="1:11">
      <c r="A2347">
        <v>100002346</v>
      </c>
      <c r="B2347" t="s">
        <v>115</v>
      </c>
      <c r="C2347" t="s">
        <v>322</v>
      </c>
      <c r="D2347" t="s">
        <v>16</v>
      </c>
      <c r="E2347" s="9">
        <v>29</v>
      </c>
      <c r="F2347" t="s">
        <v>12</v>
      </c>
      <c r="G2347" t="s">
        <v>13</v>
      </c>
      <c r="H2347" s="8">
        <v>42275</v>
      </c>
      <c r="I2347">
        <v>103942.23</v>
      </c>
      <c r="K2347" s="8"/>
    </row>
    <row r="2348" spans="1:11">
      <c r="A2348">
        <v>100002347</v>
      </c>
      <c r="B2348" t="s">
        <v>303</v>
      </c>
      <c r="C2348" t="s">
        <v>212</v>
      </c>
      <c r="D2348" t="s">
        <v>11</v>
      </c>
      <c r="E2348" s="9">
        <v>50</v>
      </c>
      <c r="F2348" t="s">
        <v>12</v>
      </c>
      <c r="G2348" t="s">
        <v>13</v>
      </c>
      <c r="H2348" s="7">
        <v>42275</v>
      </c>
      <c r="I2348">
        <v>26318.03</v>
      </c>
      <c r="K2348" s="7"/>
    </row>
    <row r="2349" spans="1:11">
      <c r="A2349">
        <v>100002348</v>
      </c>
      <c r="B2349" t="s">
        <v>38</v>
      </c>
      <c r="C2349" t="s">
        <v>187</v>
      </c>
      <c r="D2349" t="s">
        <v>11</v>
      </c>
      <c r="E2349" s="9">
        <v>41</v>
      </c>
      <c r="F2349" t="s">
        <v>12</v>
      </c>
      <c r="G2349" t="s">
        <v>13</v>
      </c>
      <c r="H2349" s="8">
        <v>42275</v>
      </c>
      <c r="I2349">
        <v>71079.13</v>
      </c>
      <c r="K2349" s="8"/>
    </row>
    <row r="2350" spans="1:11">
      <c r="A2350">
        <v>200002349</v>
      </c>
      <c r="B2350" t="s">
        <v>235</v>
      </c>
      <c r="C2350" t="s">
        <v>71</v>
      </c>
      <c r="D2350" t="s">
        <v>11</v>
      </c>
      <c r="E2350" s="9">
        <v>59</v>
      </c>
      <c r="F2350" t="s">
        <v>32</v>
      </c>
      <c r="G2350" t="s">
        <v>18</v>
      </c>
      <c r="H2350" s="7">
        <v>42275</v>
      </c>
      <c r="I2350">
        <v>68406.240000000005</v>
      </c>
      <c r="K2350" s="7"/>
    </row>
    <row r="2351" spans="1:11">
      <c r="A2351">
        <v>200002350</v>
      </c>
      <c r="B2351" t="s">
        <v>89</v>
      </c>
      <c r="C2351" t="s">
        <v>54</v>
      </c>
      <c r="D2351" t="s">
        <v>11</v>
      </c>
      <c r="E2351" s="9">
        <v>47</v>
      </c>
      <c r="F2351" t="s">
        <v>32</v>
      </c>
      <c r="G2351" t="s">
        <v>18</v>
      </c>
      <c r="H2351" s="8">
        <v>42275</v>
      </c>
      <c r="I2351">
        <v>14273.21</v>
      </c>
      <c r="K2351" s="8"/>
    </row>
    <row r="2352" spans="1:11">
      <c r="A2352">
        <v>200002351</v>
      </c>
      <c r="B2352" t="s">
        <v>262</v>
      </c>
      <c r="C2352" t="s">
        <v>189</v>
      </c>
      <c r="D2352" t="s">
        <v>16</v>
      </c>
      <c r="E2352" s="9">
        <v>55</v>
      </c>
      <c r="F2352" t="s">
        <v>32</v>
      </c>
      <c r="G2352" t="s">
        <v>33</v>
      </c>
      <c r="H2352" s="7">
        <v>42275</v>
      </c>
      <c r="I2352">
        <v>12232.83</v>
      </c>
      <c r="K2352" s="7"/>
    </row>
    <row r="2353" spans="1:11">
      <c r="A2353">
        <v>200002352</v>
      </c>
      <c r="B2353" t="s">
        <v>197</v>
      </c>
      <c r="C2353" t="s">
        <v>45</v>
      </c>
      <c r="D2353" t="s">
        <v>11</v>
      </c>
      <c r="E2353" s="9">
        <v>37</v>
      </c>
      <c r="F2353" t="s">
        <v>32</v>
      </c>
      <c r="G2353" t="s">
        <v>18</v>
      </c>
      <c r="H2353" s="8">
        <v>42275</v>
      </c>
      <c r="I2353">
        <v>91884.77</v>
      </c>
      <c r="K2353" s="8"/>
    </row>
    <row r="2354" spans="1:11">
      <c r="A2354">
        <v>200002353</v>
      </c>
      <c r="B2354" t="s">
        <v>303</v>
      </c>
      <c r="C2354" t="s">
        <v>183</v>
      </c>
      <c r="D2354" t="s">
        <v>11</v>
      </c>
      <c r="E2354" s="9">
        <v>64</v>
      </c>
      <c r="F2354" t="s">
        <v>32</v>
      </c>
      <c r="G2354" t="s">
        <v>18</v>
      </c>
      <c r="H2354" s="7">
        <v>42275</v>
      </c>
      <c r="I2354">
        <v>139415.88</v>
      </c>
      <c r="K2354" s="7"/>
    </row>
    <row r="2355" spans="1:11">
      <c r="A2355">
        <v>200002354</v>
      </c>
      <c r="B2355" t="s">
        <v>152</v>
      </c>
      <c r="C2355" t="s">
        <v>98</v>
      </c>
      <c r="D2355" t="s">
        <v>11</v>
      </c>
      <c r="E2355" s="9">
        <v>45</v>
      </c>
      <c r="F2355" t="s">
        <v>32</v>
      </c>
      <c r="G2355" t="s">
        <v>18</v>
      </c>
      <c r="H2355" s="8">
        <v>42275</v>
      </c>
      <c r="I2355">
        <v>91759.2</v>
      </c>
      <c r="K2355" s="8"/>
    </row>
    <row r="2356" spans="1:11">
      <c r="A2356">
        <v>200002355</v>
      </c>
      <c r="B2356" t="s">
        <v>300</v>
      </c>
      <c r="C2356" t="s">
        <v>140</v>
      </c>
      <c r="D2356" t="s">
        <v>16</v>
      </c>
      <c r="E2356" s="9">
        <v>38</v>
      </c>
      <c r="F2356" t="s">
        <v>32</v>
      </c>
      <c r="G2356" t="s">
        <v>33</v>
      </c>
      <c r="H2356" s="7">
        <v>42275</v>
      </c>
      <c r="I2356">
        <v>69556.06</v>
      </c>
      <c r="K2356" s="7"/>
    </row>
    <row r="2357" spans="1:11">
      <c r="A2357">
        <v>200002356</v>
      </c>
      <c r="B2357" t="s">
        <v>316</v>
      </c>
      <c r="C2357" t="s">
        <v>269</v>
      </c>
      <c r="D2357" t="s">
        <v>16</v>
      </c>
      <c r="E2357" s="9">
        <v>59</v>
      </c>
      <c r="F2357" t="s">
        <v>32</v>
      </c>
      <c r="G2357" t="s">
        <v>33</v>
      </c>
      <c r="H2357" s="8">
        <v>42275</v>
      </c>
      <c r="I2357">
        <v>6674.7</v>
      </c>
      <c r="K2357" s="8"/>
    </row>
    <row r="2358" spans="1:11">
      <c r="A2358">
        <v>200002357</v>
      </c>
      <c r="B2358" t="s">
        <v>298</v>
      </c>
      <c r="C2358" t="s">
        <v>279</v>
      </c>
      <c r="D2358" t="s">
        <v>16</v>
      </c>
      <c r="E2358" s="9">
        <v>58</v>
      </c>
      <c r="F2358" t="s">
        <v>32</v>
      </c>
      <c r="G2358" t="s">
        <v>33</v>
      </c>
      <c r="H2358" s="7">
        <v>42275</v>
      </c>
      <c r="I2358">
        <v>53914.11</v>
      </c>
      <c r="K2358" s="7"/>
    </row>
    <row r="2359" spans="1:11">
      <c r="A2359">
        <v>200002358</v>
      </c>
      <c r="B2359" t="s">
        <v>9</v>
      </c>
      <c r="C2359" t="s">
        <v>95</v>
      </c>
      <c r="D2359" t="s">
        <v>11</v>
      </c>
      <c r="E2359" s="9">
        <v>61</v>
      </c>
      <c r="F2359" t="s">
        <v>32</v>
      </c>
      <c r="G2359" t="s">
        <v>18</v>
      </c>
      <c r="H2359" s="8">
        <v>42275</v>
      </c>
      <c r="I2359">
        <v>19128.02</v>
      </c>
      <c r="K2359" s="8"/>
    </row>
    <row r="2360" spans="1:11">
      <c r="A2360">
        <v>300002359</v>
      </c>
      <c r="B2360" t="s">
        <v>249</v>
      </c>
      <c r="C2360" t="s">
        <v>230</v>
      </c>
      <c r="D2360" t="s">
        <v>16</v>
      </c>
      <c r="E2360" s="9">
        <v>32</v>
      </c>
      <c r="F2360" t="s">
        <v>23</v>
      </c>
      <c r="G2360" t="s">
        <v>33</v>
      </c>
      <c r="H2360" s="7">
        <v>42275</v>
      </c>
      <c r="I2360">
        <v>19954.05</v>
      </c>
      <c r="K2360" s="7"/>
    </row>
    <row r="2361" spans="1:11">
      <c r="A2361">
        <v>400002360</v>
      </c>
      <c r="B2361" t="s">
        <v>300</v>
      </c>
      <c r="C2361" t="s">
        <v>71</v>
      </c>
      <c r="D2361" t="s">
        <v>16</v>
      </c>
      <c r="E2361" s="9">
        <v>35</v>
      </c>
      <c r="F2361" t="s">
        <v>17</v>
      </c>
      <c r="G2361" t="s">
        <v>33</v>
      </c>
      <c r="H2361" s="8">
        <v>42275</v>
      </c>
      <c r="I2361">
        <v>77091.37</v>
      </c>
      <c r="K2361" s="8"/>
    </row>
    <row r="2362" spans="1:11">
      <c r="A2362">
        <v>400002361</v>
      </c>
      <c r="B2362" t="s">
        <v>193</v>
      </c>
      <c r="C2362" t="s">
        <v>230</v>
      </c>
      <c r="D2362" t="s">
        <v>11</v>
      </c>
      <c r="E2362" s="9">
        <v>41</v>
      </c>
      <c r="F2362" t="s">
        <v>17</v>
      </c>
      <c r="G2362" t="s">
        <v>13</v>
      </c>
      <c r="H2362" s="7">
        <v>42275</v>
      </c>
      <c r="I2362">
        <v>85187.91</v>
      </c>
      <c r="K2362" s="7"/>
    </row>
    <row r="2363" spans="1:11">
      <c r="A2363">
        <v>100002362</v>
      </c>
      <c r="B2363" t="s">
        <v>301</v>
      </c>
      <c r="C2363" t="s">
        <v>285</v>
      </c>
      <c r="D2363" t="s">
        <v>16</v>
      </c>
      <c r="E2363" s="9">
        <v>33</v>
      </c>
      <c r="F2363" t="s">
        <v>12</v>
      </c>
      <c r="G2363" t="s">
        <v>13</v>
      </c>
      <c r="H2363" s="8">
        <v>42276</v>
      </c>
      <c r="I2363">
        <v>4575</v>
      </c>
      <c r="K2363" s="8"/>
    </row>
    <row r="2364" spans="1:11">
      <c r="A2364">
        <v>100002363</v>
      </c>
      <c r="B2364" t="s">
        <v>161</v>
      </c>
      <c r="C2364" t="s">
        <v>318</v>
      </c>
      <c r="D2364" t="s">
        <v>16</v>
      </c>
      <c r="E2364" s="9">
        <v>30</v>
      </c>
      <c r="F2364" t="s">
        <v>12</v>
      </c>
      <c r="G2364" t="s">
        <v>13</v>
      </c>
      <c r="H2364" s="7">
        <v>42276</v>
      </c>
      <c r="I2364">
        <v>78128.45</v>
      </c>
      <c r="K2364" s="7"/>
    </row>
    <row r="2365" spans="1:11">
      <c r="A2365">
        <v>100002364</v>
      </c>
      <c r="B2365" t="s">
        <v>180</v>
      </c>
      <c r="C2365" t="s">
        <v>59</v>
      </c>
      <c r="D2365" t="s">
        <v>16</v>
      </c>
      <c r="E2365" s="9">
        <v>35</v>
      </c>
      <c r="F2365" t="s">
        <v>12</v>
      </c>
      <c r="G2365" t="s">
        <v>13</v>
      </c>
      <c r="H2365" s="8">
        <v>42276</v>
      </c>
      <c r="I2365">
        <v>16080.85</v>
      </c>
      <c r="K2365" s="8"/>
    </row>
    <row r="2366" spans="1:11">
      <c r="A2366">
        <v>100002365</v>
      </c>
      <c r="B2366" t="s">
        <v>204</v>
      </c>
      <c r="C2366" t="s">
        <v>325</v>
      </c>
      <c r="D2366" t="s">
        <v>11</v>
      </c>
      <c r="E2366" s="9">
        <v>49</v>
      </c>
      <c r="F2366" t="s">
        <v>12</v>
      </c>
      <c r="G2366" t="s">
        <v>33</v>
      </c>
      <c r="H2366" s="7">
        <v>42276</v>
      </c>
      <c r="I2366">
        <v>4735.8</v>
      </c>
      <c r="K2366" s="7"/>
    </row>
    <row r="2367" spans="1:11">
      <c r="A2367">
        <v>100002366</v>
      </c>
      <c r="B2367" t="s">
        <v>169</v>
      </c>
      <c r="C2367" t="s">
        <v>129</v>
      </c>
      <c r="D2367" t="s">
        <v>11</v>
      </c>
      <c r="E2367" s="9">
        <v>31</v>
      </c>
      <c r="F2367" t="s">
        <v>12</v>
      </c>
      <c r="G2367" t="s">
        <v>13</v>
      </c>
      <c r="H2367" s="8">
        <v>42276</v>
      </c>
      <c r="I2367">
        <v>36528.379999999997</v>
      </c>
      <c r="K2367" s="8"/>
    </row>
    <row r="2368" spans="1:11">
      <c r="A2368">
        <v>100002367</v>
      </c>
      <c r="B2368" t="s">
        <v>40</v>
      </c>
      <c r="C2368" t="s">
        <v>71</v>
      </c>
      <c r="D2368" t="s">
        <v>11</v>
      </c>
      <c r="E2368" s="9">
        <v>34</v>
      </c>
      <c r="F2368" t="s">
        <v>12</v>
      </c>
      <c r="G2368" t="s">
        <v>18</v>
      </c>
      <c r="H2368" s="7">
        <v>42276</v>
      </c>
      <c r="I2368">
        <v>135158.19</v>
      </c>
      <c r="K2368" s="7"/>
    </row>
    <row r="2369" spans="1:11">
      <c r="A2369">
        <v>100002368</v>
      </c>
      <c r="B2369" t="s">
        <v>89</v>
      </c>
      <c r="C2369" t="s">
        <v>94</v>
      </c>
      <c r="D2369" t="s">
        <v>11</v>
      </c>
      <c r="E2369" s="9">
        <v>37</v>
      </c>
      <c r="F2369" t="s">
        <v>12</v>
      </c>
      <c r="G2369" t="s">
        <v>13</v>
      </c>
      <c r="H2369" s="8">
        <v>42276</v>
      </c>
      <c r="I2369">
        <v>91665.23</v>
      </c>
      <c r="K2369" s="8"/>
    </row>
    <row r="2370" spans="1:11">
      <c r="A2370">
        <v>100002369</v>
      </c>
      <c r="B2370" t="s">
        <v>76</v>
      </c>
      <c r="C2370" t="s">
        <v>227</v>
      </c>
      <c r="D2370" t="s">
        <v>11</v>
      </c>
      <c r="E2370" s="9">
        <v>26</v>
      </c>
      <c r="F2370" t="s">
        <v>12</v>
      </c>
      <c r="G2370" t="s">
        <v>13</v>
      </c>
      <c r="H2370" s="7">
        <v>42276</v>
      </c>
      <c r="I2370">
        <v>61577.15</v>
      </c>
      <c r="K2370" s="7"/>
    </row>
    <row r="2371" spans="1:11">
      <c r="A2371">
        <v>100002370</v>
      </c>
      <c r="B2371" t="s">
        <v>44</v>
      </c>
      <c r="C2371" t="s">
        <v>237</v>
      </c>
      <c r="D2371" t="s">
        <v>16</v>
      </c>
      <c r="E2371" s="9">
        <v>32</v>
      </c>
      <c r="F2371" t="s">
        <v>12</v>
      </c>
      <c r="G2371" t="s">
        <v>13</v>
      </c>
      <c r="H2371" s="8">
        <v>42276</v>
      </c>
      <c r="I2371">
        <v>19995.78</v>
      </c>
      <c r="K2371" s="8"/>
    </row>
    <row r="2372" spans="1:11">
      <c r="A2372">
        <v>100002371</v>
      </c>
      <c r="B2372" t="s">
        <v>191</v>
      </c>
      <c r="C2372" t="s">
        <v>294</v>
      </c>
      <c r="D2372" t="s">
        <v>11</v>
      </c>
      <c r="E2372" s="9">
        <v>33</v>
      </c>
      <c r="F2372" t="s">
        <v>12</v>
      </c>
      <c r="G2372" t="s">
        <v>13</v>
      </c>
      <c r="H2372" s="7">
        <v>42276</v>
      </c>
      <c r="I2372">
        <v>23676.73</v>
      </c>
      <c r="K2372" s="7"/>
    </row>
    <row r="2373" spans="1:11">
      <c r="A2373">
        <v>100002372</v>
      </c>
      <c r="B2373" t="s">
        <v>244</v>
      </c>
      <c r="C2373" t="s">
        <v>96</v>
      </c>
      <c r="D2373" t="s">
        <v>16</v>
      </c>
      <c r="E2373" s="9">
        <v>26</v>
      </c>
      <c r="F2373" t="s">
        <v>12</v>
      </c>
      <c r="G2373" t="s">
        <v>13</v>
      </c>
      <c r="H2373" s="8">
        <v>42276</v>
      </c>
      <c r="I2373">
        <v>13836.11</v>
      </c>
      <c r="K2373" s="8"/>
    </row>
    <row r="2374" spans="1:11">
      <c r="A2374">
        <v>100002373</v>
      </c>
      <c r="B2374" t="s">
        <v>111</v>
      </c>
      <c r="C2374" t="s">
        <v>225</v>
      </c>
      <c r="D2374" t="s">
        <v>11</v>
      </c>
      <c r="E2374" s="9">
        <v>34</v>
      </c>
      <c r="F2374" t="s">
        <v>12</v>
      </c>
      <c r="G2374" t="s">
        <v>18</v>
      </c>
      <c r="H2374" s="7">
        <v>42276</v>
      </c>
      <c r="I2374">
        <v>30792.03</v>
      </c>
      <c r="K2374" s="7"/>
    </row>
    <row r="2375" spans="1:11">
      <c r="A2375">
        <v>200002374</v>
      </c>
      <c r="B2375" t="s">
        <v>213</v>
      </c>
      <c r="C2375" t="s">
        <v>198</v>
      </c>
      <c r="D2375" t="s">
        <v>11</v>
      </c>
      <c r="E2375" s="9">
        <v>38</v>
      </c>
      <c r="F2375" t="s">
        <v>32</v>
      </c>
      <c r="G2375" t="s">
        <v>18</v>
      </c>
      <c r="H2375" s="8">
        <v>42276</v>
      </c>
      <c r="I2375">
        <v>43582.09</v>
      </c>
      <c r="K2375" s="8"/>
    </row>
    <row r="2376" spans="1:11">
      <c r="A2376">
        <v>200002375</v>
      </c>
      <c r="B2376" t="s">
        <v>164</v>
      </c>
      <c r="C2376" t="s">
        <v>71</v>
      </c>
      <c r="D2376" t="s">
        <v>11</v>
      </c>
      <c r="E2376" s="9">
        <v>45</v>
      </c>
      <c r="F2376" t="s">
        <v>32</v>
      </c>
      <c r="G2376" t="s">
        <v>33</v>
      </c>
      <c r="H2376" s="7">
        <v>42276</v>
      </c>
      <c r="I2376">
        <v>64592.88</v>
      </c>
      <c r="K2376" s="7"/>
    </row>
    <row r="2377" spans="1:11">
      <c r="A2377">
        <v>200002376</v>
      </c>
      <c r="B2377" t="s">
        <v>143</v>
      </c>
      <c r="C2377" t="s">
        <v>246</v>
      </c>
      <c r="D2377" t="s">
        <v>11</v>
      </c>
      <c r="E2377" s="9">
        <v>43</v>
      </c>
      <c r="F2377" t="s">
        <v>32</v>
      </c>
      <c r="G2377" t="s">
        <v>18</v>
      </c>
      <c r="H2377" s="8">
        <v>42276</v>
      </c>
      <c r="I2377">
        <v>57784.39</v>
      </c>
      <c r="K2377" s="8"/>
    </row>
    <row r="2378" spans="1:11">
      <c r="A2378">
        <v>200002377</v>
      </c>
      <c r="B2378" t="s">
        <v>9</v>
      </c>
      <c r="C2378" t="s">
        <v>209</v>
      </c>
      <c r="D2378" t="s">
        <v>11</v>
      </c>
      <c r="E2378" s="9">
        <v>46</v>
      </c>
      <c r="F2378" t="s">
        <v>32</v>
      </c>
      <c r="G2378" t="s">
        <v>13</v>
      </c>
      <c r="H2378" s="7">
        <v>42276</v>
      </c>
      <c r="I2378">
        <v>12483.24</v>
      </c>
      <c r="K2378" s="7"/>
    </row>
    <row r="2379" spans="1:11">
      <c r="A2379">
        <v>200002378</v>
      </c>
      <c r="B2379" t="s">
        <v>101</v>
      </c>
      <c r="C2379" t="s">
        <v>237</v>
      </c>
      <c r="D2379" t="s">
        <v>11</v>
      </c>
      <c r="E2379" s="9">
        <v>58</v>
      </c>
      <c r="F2379" t="s">
        <v>32</v>
      </c>
      <c r="G2379" t="s">
        <v>33</v>
      </c>
      <c r="H2379" s="8">
        <v>42276</v>
      </c>
      <c r="I2379">
        <v>7185.59</v>
      </c>
      <c r="K2379" s="8"/>
    </row>
    <row r="2380" spans="1:11">
      <c r="A2380">
        <v>200002379</v>
      </c>
      <c r="B2380" t="s">
        <v>293</v>
      </c>
      <c r="C2380" t="s">
        <v>279</v>
      </c>
      <c r="D2380" t="s">
        <v>11</v>
      </c>
      <c r="E2380" s="9">
        <v>43</v>
      </c>
      <c r="F2380" t="s">
        <v>32</v>
      </c>
      <c r="G2380" t="s">
        <v>18</v>
      </c>
      <c r="H2380" s="7">
        <v>42276</v>
      </c>
      <c r="I2380">
        <v>21251.759999999998</v>
      </c>
      <c r="K2380" s="7"/>
    </row>
    <row r="2381" spans="1:11">
      <c r="A2381">
        <v>300002380</v>
      </c>
      <c r="B2381" t="s">
        <v>221</v>
      </c>
      <c r="C2381" t="s">
        <v>103</v>
      </c>
      <c r="D2381" t="s">
        <v>16</v>
      </c>
      <c r="E2381" s="9">
        <v>39</v>
      </c>
      <c r="F2381" t="s">
        <v>23</v>
      </c>
      <c r="G2381" t="s">
        <v>13</v>
      </c>
      <c r="H2381" s="8">
        <v>42276</v>
      </c>
      <c r="I2381">
        <v>100130.71</v>
      </c>
      <c r="K2381" s="8"/>
    </row>
    <row r="2382" spans="1:11">
      <c r="A2382">
        <v>400002381</v>
      </c>
      <c r="B2382" t="s">
        <v>128</v>
      </c>
      <c r="C2382" t="s">
        <v>189</v>
      </c>
      <c r="D2382" t="s">
        <v>16</v>
      </c>
      <c r="E2382" s="9">
        <v>43</v>
      </c>
      <c r="F2382" t="s">
        <v>17</v>
      </c>
      <c r="G2382" t="s">
        <v>33</v>
      </c>
      <c r="H2382" s="7">
        <v>42276</v>
      </c>
      <c r="I2382">
        <v>21607.48</v>
      </c>
      <c r="K2382" s="7"/>
    </row>
    <row r="2383" spans="1:11">
      <c r="A2383">
        <v>400002382</v>
      </c>
      <c r="B2383" t="s">
        <v>53</v>
      </c>
      <c r="C2383" t="s">
        <v>31</v>
      </c>
      <c r="D2383" t="s">
        <v>16</v>
      </c>
      <c r="E2383" s="9">
        <v>24</v>
      </c>
      <c r="F2383" t="s">
        <v>17</v>
      </c>
      <c r="G2383" t="s">
        <v>33</v>
      </c>
      <c r="H2383" s="8">
        <v>42276</v>
      </c>
      <c r="I2383">
        <v>899.97</v>
      </c>
      <c r="K2383" s="8"/>
    </row>
    <row r="2384" spans="1:11">
      <c r="A2384">
        <v>400002383</v>
      </c>
      <c r="B2384" t="s">
        <v>180</v>
      </c>
      <c r="C2384" t="s">
        <v>69</v>
      </c>
      <c r="D2384" t="s">
        <v>16</v>
      </c>
      <c r="E2384" s="9">
        <v>24</v>
      </c>
      <c r="F2384" t="s">
        <v>17</v>
      </c>
      <c r="G2384" t="s">
        <v>13</v>
      </c>
      <c r="H2384" s="7">
        <v>42276</v>
      </c>
      <c r="I2384">
        <v>17347.52</v>
      </c>
      <c r="K2384" s="7"/>
    </row>
    <row r="2385" spans="1:11">
      <c r="A2385">
        <v>100002384</v>
      </c>
      <c r="B2385" t="s">
        <v>251</v>
      </c>
      <c r="C2385" t="s">
        <v>281</v>
      </c>
      <c r="D2385" t="s">
        <v>16</v>
      </c>
      <c r="E2385" s="9">
        <v>33</v>
      </c>
      <c r="F2385" t="s">
        <v>12</v>
      </c>
      <c r="G2385" t="s">
        <v>13</v>
      </c>
      <c r="H2385" s="8">
        <v>42277</v>
      </c>
      <c r="I2385">
        <v>30454.03</v>
      </c>
      <c r="K2385" s="8"/>
    </row>
    <row r="2386" spans="1:11">
      <c r="A2386">
        <v>100002385</v>
      </c>
      <c r="B2386" t="s">
        <v>79</v>
      </c>
      <c r="C2386" t="s">
        <v>75</v>
      </c>
      <c r="D2386" t="s">
        <v>11</v>
      </c>
      <c r="E2386" s="9">
        <v>28</v>
      </c>
      <c r="F2386" t="s">
        <v>12</v>
      </c>
      <c r="G2386" t="s">
        <v>13</v>
      </c>
      <c r="H2386" s="7">
        <v>42277</v>
      </c>
      <c r="I2386">
        <v>73793.66</v>
      </c>
      <c r="K2386" s="7"/>
    </row>
    <row r="2387" spans="1:11">
      <c r="A2387">
        <v>100002386</v>
      </c>
      <c r="B2387" t="s">
        <v>184</v>
      </c>
      <c r="C2387" t="s">
        <v>257</v>
      </c>
      <c r="D2387" t="s">
        <v>16</v>
      </c>
      <c r="E2387" s="9">
        <v>46</v>
      </c>
      <c r="F2387" t="s">
        <v>12</v>
      </c>
      <c r="G2387" t="s">
        <v>13</v>
      </c>
      <c r="H2387" s="8">
        <v>42277</v>
      </c>
      <c r="I2387">
        <v>112571.21</v>
      </c>
      <c r="K2387" s="8"/>
    </row>
    <row r="2388" spans="1:11">
      <c r="A2388">
        <v>100002387</v>
      </c>
      <c r="B2388" t="s">
        <v>64</v>
      </c>
      <c r="C2388" t="s">
        <v>257</v>
      </c>
      <c r="D2388" t="s">
        <v>11</v>
      </c>
      <c r="E2388" s="9">
        <v>29</v>
      </c>
      <c r="F2388" t="s">
        <v>12</v>
      </c>
      <c r="G2388" t="s">
        <v>13</v>
      </c>
      <c r="H2388" s="7">
        <v>42277</v>
      </c>
      <c r="I2388">
        <v>58720.19</v>
      </c>
      <c r="K2388" s="7"/>
    </row>
    <row r="2389" spans="1:11">
      <c r="A2389">
        <v>100002388</v>
      </c>
      <c r="B2389" t="s">
        <v>249</v>
      </c>
      <c r="C2389" t="s">
        <v>37</v>
      </c>
      <c r="D2389" t="s">
        <v>16</v>
      </c>
      <c r="E2389" s="9">
        <v>38</v>
      </c>
      <c r="F2389" t="s">
        <v>12</v>
      </c>
      <c r="G2389" t="s">
        <v>18</v>
      </c>
      <c r="H2389" s="8">
        <v>42277</v>
      </c>
      <c r="I2389">
        <v>3761.07</v>
      </c>
      <c r="K2389" s="8"/>
    </row>
    <row r="2390" spans="1:11">
      <c r="A2390">
        <v>100002389</v>
      </c>
      <c r="B2390" t="s">
        <v>284</v>
      </c>
      <c r="C2390" t="s">
        <v>129</v>
      </c>
      <c r="D2390" t="s">
        <v>16</v>
      </c>
      <c r="E2390" s="9">
        <v>45</v>
      </c>
      <c r="F2390" t="s">
        <v>12</v>
      </c>
      <c r="G2390" t="s">
        <v>33</v>
      </c>
      <c r="H2390" s="7">
        <v>42277</v>
      </c>
      <c r="I2390">
        <v>12247.62</v>
      </c>
      <c r="K2390" s="7"/>
    </row>
    <row r="2391" spans="1:11">
      <c r="A2391">
        <v>100002390</v>
      </c>
      <c r="B2391" t="s">
        <v>226</v>
      </c>
      <c r="C2391" t="s">
        <v>132</v>
      </c>
      <c r="D2391" t="s">
        <v>16</v>
      </c>
      <c r="E2391" s="9">
        <v>45</v>
      </c>
      <c r="F2391" t="s">
        <v>12</v>
      </c>
      <c r="G2391" t="s">
        <v>13</v>
      </c>
      <c r="H2391" s="8">
        <v>42277</v>
      </c>
      <c r="I2391">
        <v>123159.76</v>
      </c>
      <c r="K2391" s="8"/>
    </row>
    <row r="2392" spans="1:11">
      <c r="A2392">
        <v>100002391</v>
      </c>
      <c r="B2392" t="s">
        <v>254</v>
      </c>
      <c r="C2392" t="s">
        <v>205</v>
      </c>
      <c r="D2392" t="s">
        <v>11</v>
      </c>
      <c r="E2392" s="9">
        <v>29</v>
      </c>
      <c r="F2392" t="s">
        <v>12</v>
      </c>
      <c r="G2392" t="s">
        <v>13</v>
      </c>
      <c r="H2392" s="7">
        <v>42277</v>
      </c>
      <c r="I2392">
        <v>9979.14</v>
      </c>
      <c r="K2392" s="7"/>
    </row>
    <row r="2393" spans="1:11">
      <c r="A2393">
        <v>100002392</v>
      </c>
      <c r="B2393" t="s">
        <v>311</v>
      </c>
      <c r="C2393" t="s">
        <v>47</v>
      </c>
      <c r="D2393" t="s">
        <v>11</v>
      </c>
      <c r="E2393" s="9">
        <v>30</v>
      </c>
      <c r="F2393" t="s">
        <v>12</v>
      </c>
      <c r="G2393" t="s">
        <v>33</v>
      </c>
      <c r="H2393" s="8">
        <v>42277</v>
      </c>
      <c r="I2393">
        <v>20821.23</v>
      </c>
      <c r="K2393" s="8"/>
    </row>
    <row r="2394" spans="1:11">
      <c r="A2394">
        <v>200002393</v>
      </c>
      <c r="B2394" t="s">
        <v>76</v>
      </c>
      <c r="C2394" t="s">
        <v>172</v>
      </c>
      <c r="D2394" t="s">
        <v>11</v>
      </c>
      <c r="E2394" s="9">
        <v>40</v>
      </c>
      <c r="F2394" t="s">
        <v>32</v>
      </c>
      <c r="G2394" t="s">
        <v>18</v>
      </c>
      <c r="H2394" s="7">
        <v>42277</v>
      </c>
      <c r="I2394">
        <v>64487.05</v>
      </c>
      <c r="K2394" s="7"/>
    </row>
    <row r="2395" spans="1:11">
      <c r="A2395">
        <v>200002394</v>
      </c>
      <c r="B2395" t="s">
        <v>194</v>
      </c>
      <c r="C2395" t="s">
        <v>129</v>
      </c>
      <c r="D2395" t="s">
        <v>16</v>
      </c>
      <c r="E2395" s="9">
        <v>44</v>
      </c>
      <c r="F2395" t="s">
        <v>32</v>
      </c>
      <c r="G2395" t="s">
        <v>33</v>
      </c>
      <c r="H2395" s="8">
        <v>42277</v>
      </c>
      <c r="I2395">
        <v>24636.06</v>
      </c>
      <c r="K2395" s="8"/>
    </row>
    <row r="2396" spans="1:11">
      <c r="A2396">
        <v>200002395</v>
      </c>
      <c r="B2396" t="s">
        <v>218</v>
      </c>
      <c r="C2396" t="s">
        <v>257</v>
      </c>
      <c r="D2396" t="s">
        <v>11</v>
      </c>
      <c r="E2396" s="9">
        <v>45</v>
      </c>
      <c r="F2396" t="s">
        <v>32</v>
      </c>
      <c r="G2396" t="s">
        <v>33</v>
      </c>
      <c r="H2396" s="7">
        <v>42277</v>
      </c>
      <c r="I2396">
        <v>81068.100000000006</v>
      </c>
      <c r="K2396" s="7"/>
    </row>
    <row r="2397" spans="1:11">
      <c r="A2397">
        <v>200002396</v>
      </c>
      <c r="B2397" t="s">
        <v>173</v>
      </c>
      <c r="C2397" t="s">
        <v>93</v>
      </c>
      <c r="D2397" t="s">
        <v>11</v>
      </c>
      <c r="E2397" s="9">
        <v>57</v>
      </c>
      <c r="F2397" t="s">
        <v>32</v>
      </c>
      <c r="G2397" t="s">
        <v>18</v>
      </c>
      <c r="H2397" s="8">
        <v>42277</v>
      </c>
      <c r="I2397">
        <v>49358.43</v>
      </c>
      <c r="K2397" s="8"/>
    </row>
    <row r="2398" spans="1:11">
      <c r="A2398">
        <v>200002397</v>
      </c>
      <c r="B2398" t="s">
        <v>143</v>
      </c>
      <c r="C2398" t="s">
        <v>290</v>
      </c>
      <c r="D2398" t="s">
        <v>11</v>
      </c>
      <c r="E2398" s="9">
        <v>50</v>
      </c>
      <c r="F2398" t="s">
        <v>32</v>
      </c>
      <c r="G2398" t="s">
        <v>18</v>
      </c>
      <c r="H2398" s="7">
        <v>42277</v>
      </c>
      <c r="I2398">
        <v>34740.160000000003</v>
      </c>
      <c r="K2398" s="7"/>
    </row>
    <row r="2399" spans="1:11">
      <c r="A2399">
        <v>200002398</v>
      </c>
      <c r="B2399" t="s">
        <v>293</v>
      </c>
      <c r="C2399" t="s">
        <v>299</v>
      </c>
      <c r="D2399" t="s">
        <v>11</v>
      </c>
      <c r="E2399" s="9">
        <v>55</v>
      </c>
      <c r="F2399" t="s">
        <v>32</v>
      </c>
      <c r="G2399" t="s">
        <v>18</v>
      </c>
      <c r="H2399" s="8">
        <v>42277</v>
      </c>
      <c r="I2399">
        <v>28781.46</v>
      </c>
      <c r="K2399" s="8"/>
    </row>
    <row r="2400" spans="1:11">
      <c r="A2400">
        <v>200002399</v>
      </c>
      <c r="B2400" t="s">
        <v>229</v>
      </c>
      <c r="C2400" t="s">
        <v>306</v>
      </c>
      <c r="D2400" t="s">
        <v>16</v>
      </c>
      <c r="E2400" s="9">
        <v>57</v>
      </c>
      <c r="F2400" t="s">
        <v>32</v>
      </c>
      <c r="G2400" t="s">
        <v>33</v>
      </c>
      <c r="H2400" s="7">
        <v>42277</v>
      </c>
      <c r="I2400">
        <v>4025.97</v>
      </c>
      <c r="K2400" s="7"/>
    </row>
    <row r="2401" spans="1:11">
      <c r="A2401">
        <v>300002400</v>
      </c>
      <c r="B2401" t="s">
        <v>324</v>
      </c>
      <c r="C2401" t="s">
        <v>58</v>
      </c>
      <c r="D2401" t="s">
        <v>16</v>
      </c>
      <c r="E2401" s="9">
        <v>36</v>
      </c>
      <c r="F2401" t="s">
        <v>23</v>
      </c>
      <c r="G2401" t="s">
        <v>18</v>
      </c>
      <c r="H2401" s="8">
        <v>42277</v>
      </c>
      <c r="I2401">
        <v>15245.28</v>
      </c>
      <c r="K2401" s="8"/>
    </row>
    <row r="2402" spans="1:11">
      <c r="A2402">
        <v>400002401</v>
      </c>
      <c r="B2402" t="s">
        <v>150</v>
      </c>
      <c r="C2402" t="s">
        <v>138</v>
      </c>
      <c r="D2402" t="s">
        <v>16</v>
      </c>
      <c r="E2402" s="9">
        <v>21</v>
      </c>
      <c r="F2402" t="s">
        <v>17</v>
      </c>
      <c r="G2402" t="s">
        <v>33</v>
      </c>
      <c r="H2402" s="7">
        <v>42277</v>
      </c>
      <c r="I2402">
        <v>50686.07</v>
      </c>
      <c r="K2402" s="7"/>
    </row>
    <row r="2403" spans="1:11">
      <c r="A2403">
        <v>100002402</v>
      </c>
      <c r="B2403" t="s">
        <v>148</v>
      </c>
      <c r="C2403" t="s">
        <v>279</v>
      </c>
      <c r="D2403" t="s">
        <v>11</v>
      </c>
      <c r="E2403" s="9">
        <v>47</v>
      </c>
      <c r="F2403" t="s">
        <v>12</v>
      </c>
      <c r="G2403" t="s">
        <v>13</v>
      </c>
      <c r="H2403" s="8">
        <v>42278</v>
      </c>
      <c r="I2403">
        <v>8964.65</v>
      </c>
      <c r="K2403" s="8"/>
    </row>
    <row r="2404" spans="1:11">
      <c r="A2404">
        <v>100002403</v>
      </c>
      <c r="B2404" t="s">
        <v>89</v>
      </c>
      <c r="C2404" t="s">
        <v>183</v>
      </c>
      <c r="D2404" t="s">
        <v>11</v>
      </c>
      <c r="E2404" s="9">
        <v>33</v>
      </c>
      <c r="F2404" t="s">
        <v>12</v>
      </c>
      <c r="G2404" t="s">
        <v>13</v>
      </c>
      <c r="H2404" s="7">
        <v>42278</v>
      </c>
      <c r="I2404">
        <v>13036.35</v>
      </c>
      <c r="K2404" s="7"/>
    </row>
    <row r="2405" spans="1:11">
      <c r="A2405">
        <v>100002404</v>
      </c>
      <c r="B2405" t="s">
        <v>206</v>
      </c>
      <c r="C2405" t="s">
        <v>292</v>
      </c>
      <c r="D2405" t="s">
        <v>11</v>
      </c>
      <c r="E2405" s="9">
        <v>43</v>
      </c>
      <c r="F2405" t="s">
        <v>12</v>
      </c>
      <c r="G2405" t="s">
        <v>13</v>
      </c>
      <c r="H2405" s="8">
        <v>42278</v>
      </c>
      <c r="I2405">
        <v>31840.240000000002</v>
      </c>
      <c r="K2405" s="8"/>
    </row>
    <row r="2406" spans="1:11">
      <c r="A2406">
        <v>100002405</v>
      </c>
      <c r="B2406" t="s">
        <v>298</v>
      </c>
      <c r="C2406" t="s">
        <v>257</v>
      </c>
      <c r="D2406" t="s">
        <v>16</v>
      </c>
      <c r="E2406" s="9">
        <v>34</v>
      </c>
      <c r="F2406" t="s">
        <v>12</v>
      </c>
      <c r="G2406" t="s">
        <v>13</v>
      </c>
      <c r="H2406" s="7">
        <v>42278</v>
      </c>
      <c r="I2406">
        <v>48696.83</v>
      </c>
      <c r="K2406" s="7"/>
    </row>
    <row r="2407" spans="1:11">
      <c r="A2407">
        <v>100002406</v>
      </c>
      <c r="B2407" t="s">
        <v>48</v>
      </c>
      <c r="C2407" t="s">
        <v>52</v>
      </c>
      <c r="D2407" t="s">
        <v>16</v>
      </c>
      <c r="E2407" s="9">
        <v>32</v>
      </c>
      <c r="F2407" t="s">
        <v>12</v>
      </c>
      <c r="G2407" t="s">
        <v>13</v>
      </c>
      <c r="H2407" s="8">
        <v>42278</v>
      </c>
      <c r="I2407">
        <v>31675.17</v>
      </c>
      <c r="K2407" s="8"/>
    </row>
    <row r="2408" spans="1:11">
      <c r="A2408">
        <v>100002407</v>
      </c>
      <c r="B2408" t="s">
        <v>254</v>
      </c>
      <c r="C2408" t="s">
        <v>100</v>
      </c>
      <c r="D2408" t="s">
        <v>11</v>
      </c>
      <c r="E2408" s="9">
        <v>34</v>
      </c>
      <c r="F2408" t="s">
        <v>12</v>
      </c>
      <c r="G2408" t="s">
        <v>18</v>
      </c>
      <c r="H2408" s="7">
        <v>42278</v>
      </c>
      <c r="I2408">
        <v>21360.89</v>
      </c>
      <c r="K2408" s="7"/>
    </row>
    <row r="2409" spans="1:11">
      <c r="A2409">
        <v>100002408</v>
      </c>
      <c r="B2409" t="s">
        <v>129</v>
      </c>
      <c r="C2409" t="s">
        <v>189</v>
      </c>
      <c r="D2409" t="s">
        <v>11</v>
      </c>
      <c r="E2409" s="9">
        <v>29</v>
      </c>
      <c r="F2409" t="s">
        <v>12</v>
      </c>
      <c r="G2409" t="s">
        <v>13</v>
      </c>
      <c r="H2409" s="8">
        <v>42278</v>
      </c>
      <c r="I2409">
        <v>5564.99</v>
      </c>
      <c r="K2409" s="8"/>
    </row>
    <row r="2410" spans="1:11">
      <c r="A2410">
        <v>200002409</v>
      </c>
      <c r="B2410" t="s">
        <v>245</v>
      </c>
      <c r="C2410" t="s">
        <v>138</v>
      </c>
      <c r="D2410" t="s">
        <v>11</v>
      </c>
      <c r="E2410" s="9">
        <v>53</v>
      </c>
      <c r="F2410" t="s">
        <v>32</v>
      </c>
      <c r="G2410" t="s">
        <v>18</v>
      </c>
      <c r="H2410" s="7">
        <v>42278</v>
      </c>
      <c r="I2410">
        <v>43276.26</v>
      </c>
      <c r="K2410" s="7"/>
    </row>
    <row r="2411" spans="1:11">
      <c r="A2411">
        <v>200002410</v>
      </c>
      <c r="B2411" t="s">
        <v>217</v>
      </c>
      <c r="C2411" t="s">
        <v>142</v>
      </c>
      <c r="D2411" t="s">
        <v>11</v>
      </c>
      <c r="E2411" s="9">
        <v>52</v>
      </c>
      <c r="F2411" t="s">
        <v>32</v>
      </c>
      <c r="G2411" t="s">
        <v>18</v>
      </c>
      <c r="H2411" s="8">
        <v>42278</v>
      </c>
      <c r="I2411">
        <v>47271.67</v>
      </c>
      <c r="K2411" s="8"/>
    </row>
    <row r="2412" spans="1:11">
      <c r="A2412">
        <v>200002411</v>
      </c>
      <c r="B2412" t="s">
        <v>126</v>
      </c>
      <c r="C2412" t="s">
        <v>178</v>
      </c>
      <c r="D2412" t="s">
        <v>16</v>
      </c>
      <c r="E2412" s="9">
        <v>56</v>
      </c>
      <c r="F2412" t="s">
        <v>32</v>
      </c>
      <c r="G2412" t="s">
        <v>33</v>
      </c>
      <c r="H2412" s="7">
        <v>42278</v>
      </c>
      <c r="I2412">
        <v>10029.709999999999</v>
      </c>
      <c r="K2412" s="7"/>
    </row>
    <row r="2413" spans="1:11">
      <c r="A2413">
        <v>200002412</v>
      </c>
      <c r="B2413" t="s">
        <v>137</v>
      </c>
      <c r="C2413" t="s">
        <v>277</v>
      </c>
      <c r="D2413" t="s">
        <v>11</v>
      </c>
      <c r="E2413" s="9">
        <v>54</v>
      </c>
      <c r="F2413" t="s">
        <v>32</v>
      </c>
      <c r="G2413" t="s">
        <v>18</v>
      </c>
      <c r="H2413" s="8">
        <v>42278</v>
      </c>
      <c r="I2413">
        <v>34987.42</v>
      </c>
      <c r="K2413" s="8"/>
    </row>
    <row r="2414" spans="1:11">
      <c r="A2414">
        <v>200002413</v>
      </c>
      <c r="B2414" t="s">
        <v>321</v>
      </c>
      <c r="C2414" t="s">
        <v>187</v>
      </c>
      <c r="D2414" t="s">
        <v>16</v>
      </c>
      <c r="E2414" s="9">
        <v>51</v>
      </c>
      <c r="F2414" t="s">
        <v>32</v>
      </c>
      <c r="G2414" t="s">
        <v>33</v>
      </c>
      <c r="H2414" s="7">
        <v>42278</v>
      </c>
      <c r="I2414">
        <v>5467.19</v>
      </c>
      <c r="K2414" s="7"/>
    </row>
    <row r="2415" spans="1:11">
      <c r="A2415">
        <v>100002414</v>
      </c>
      <c r="B2415" t="s">
        <v>72</v>
      </c>
      <c r="C2415" t="s">
        <v>39</v>
      </c>
      <c r="D2415" t="s">
        <v>11</v>
      </c>
      <c r="E2415" s="9">
        <v>37</v>
      </c>
      <c r="F2415" t="s">
        <v>12</v>
      </c>
      <c r="G2415" t="s">
        <v>13</v>
      </c>
      <c r="H2415" s="8">
        <v>42279</v>
      </c>
      <c r="I2415">
        <v>28809.98</v>
      </c>
      <c r="K2415" s="8"/>
    </row>
    <row r="2416" spans="1:11">
      <c r="A2416">
        <v>100002415</v>
      </c>
      <c r="B2416" t="s">
        <v>236</v>
      </c>
      <c r="C2416" t="s">
        <v>198</v>
      </c>
      <c r="D2416" t="s">
        <v>16</v>
      </c>
      <c r="E2416" s="9">
        <v>41</v>
      </c>
      <c r="F2416" t="s">
        <v>12</v>
      </c>
      <c r="G2416" t="s">
        <v>33</v>
      </c>
      <c r="H2416" s="7">
        <v>42279</v>
      </c>
      <c r="I2416">
        <v>19938.810000000001</v>
      </c>
      <c r="K2416" s="7"/>
    </row>
    <row r="2417" spans="1:11">
      <c r="A2417">
        <v>100002416</v>
      </c>
      <c r="B2417" t="s">
        <v>84</v>
      </c>
      <c r="C2417" t="s">
        <v>290</v>
      </c>
      <c r="D2417" t="s">
        <v>16</v>
      </c>
      <c r="E2417" s="9">
        <v>32</v>
      </c>
      <c r="F2417" t="s">
        <v>12</v>
      </c>
      <c r="G2417" t="s">
        <v>13</v>
      </c>
      <c r="H2417" s="8">
        <v>42279</v>
      </c>
      <c r="I2417">
        <v>50111.16</v>
      </c>
      <c r="K2417" s="8"/>
    </row>
    <row r="2418" spans="1:11">
      <c r="A2418">
        <v>100002417</v>
      </c>
      <c r="B2418" t="s">
        <v>194</v>
      </c>
      <c r="C2418" t="s">
        <v>35</v>
      </c>
      <c r="D2418" t="s">
        <v>16</v>
      </c>
      <c r="E2418" s="9">
        <v>34</v>
      </c>
      <c r="F2418" t="s">
        <v>12</v>
      </c>
      <c r="G2418" t="s">
        <v>13</v>
      </c>
      <c r="H2418" s="7">
        <v>42279</v>
      </c>
      <c r="I2418">
        <v>24006.93</v>
      </c>
      <c r="K2418" s="7"/>
    </row>
    <row r="2419" spans="1:11">
      <c r="A2419">
        <v>100002418</v>
      </c>
      <c r="B2419" t="s">
        <v>129</v>
      </c>
      <c r="C2419" t="s">
        <v>325</v>
      </c>
      <c r="D2419" t="s">
        <v>11</v>
      </c>
      <c r="E2419" s="9">
        <v>38</v>
      </c>
      <c r="F2419" t="s">
        <v>12</v>
      </c>
      <c r="G2419" t="s">
        <v>33</v>
      </c>
      <c r="H2419" s="8">
        <v>42279</v>
      </c>
      <c r="I2419">
        <v>59261.81</v>
      </c>
      <c r="K2419" s="8"/>
    </row>
    <row r="2420" spans="1:11">
      <c r="A2420">
        <v>100002419</v>
      </c>
      <c r="B2420" t="s">
        <v>92</v>
      </c>
      <c r="C2420" t="s">
        <v>104</v>
      </c>
      <c r="D2420" t="s">
        <v>16</v>
      </c>
      <c r="E2420" s="9">
        <v>33</v>
      </c>
      <c r="F2420" t="s">
        <v>12</v>
      </c>
      <c r="G2420" t="s">
        <v>13</v>
      </c>
      <c r="H2420" s="7">
        <v>42279</v>
      </c>
      <c r="I2420">
        <v>46035.81</v>
      </c>
      <c r="K2420" s="7"/>
    </row>
    <row r="2421" spans="1:11">
      <c r="A2421">
        <v>100002420</v>
      </c>
      <c r="B2421" t="s">
        <v>300</v>
      </c>
      <c r="C2421" t="s">
        <v>39</v>
      </c>
      <c r="D2421" t="s">
        <v>16</v>
      </c>
      <c r="E2421" s="9">
        <v>42</v>
      </c>
      <c r="F2421" t="s">
        <v>12</v>
      </c>
      <c r="G2421" t="s">
        <v>13</v>
      </c>
      <c r="H2421" s="8">
        <v>42279</v>
      </c>
      <c r="I2421">
        <v>14989.3</v>
      </c>
      <c r="K2421" s="8"/>
    </row>
    <row r="2422" spans="1:11">
      <c r="A2422">
        <v>100002421</v>
      </c>
      <c r="B2422" t="s">
        <v>64</v>
      </c>
      <c r="C2422" t="s">
        <v>237</v>
      </c>
      <c r="D2422" t="s">
        <v>11</v>
      </c>
      <c r="E2422" s="9">
        <v>28</v>
      </c>
      <c r="F2422" t="s">
        <v>12</v>
      </c>
      <c r="G2422" t="s">
        <v>13</v>
      </c>
      <c r="H2422" s="7">
        <v>42279</v>
      </c>
      <c r="I2422">
        <v>14448.61</v>
      </c>
      <c r="K2422" s="7"/>
    </row>
    <row r="2423" spans="1:11">
      <c r="A2423">
        <v>100002422</v>
      </c>
      <c r="B2423" t="s">
        <v>38</v>
      </c>
      <c r="C2423" t="s">
        <v>47</v>
      </c>
      <c r="D2423" t="s">
        <v>11</v>
      </c>
      <c r="E2423" s="9">
        <v>28</v>
      </c>
      <c r="F2423" t="s">
        <v>12</v>
      </c>
      <c r="G2423" t="s">
        <v>13</v>
      </c>
      <c r="H2423" s="8">
        <v>42279</v>
      </c>
      <c r="I2423">
        <v>23076.43</v>
      </c>
      <c r="K2423" s="8"/>
    </row>
    <row r="2424" spans="1:11">
      <c r="A2424">
        <v>100002423</v>
      </c>
      <c r="B2424" t="s">
        <v>261</v>
      </c>
      <c r="C2424" t="s">
        <v>274</v>
      </c>
      <c r="D2424" t="s">
        <v>11</v>
      </c>
      <c r="E2424" s="9">
        <v>33</v>
      </c>
      <c r="F2424" t="s">
        <v>12</v>
      </c>
      <c r="G2424" t="s">
        <v>13</v>
      </c>
      <c r="H2424" s="7">
        <v>42279</v>
      </c>
      <c r="I2424">
        <v>48286.35</v>
      </c>
      <c r="K2424" s="7"/>
    </row>
    <row r="2425" spans="1:11">
      <c r="A2425">
        <v>100002424</v>
      </c>
      <c r="B2425" t="s">
        <v>229</v>
      </c>
      <c r="C2425" t="s">
        <v>266</v>
      </c>
      <c r="D2425" t="s">
        <v>16</v>
      </c>
      <c r="E2425" s="9">
        <v>41</v>
      </c>
      <c r="F2425" t="s">
        <v>12</v>
      </c>
      <c r="G2425" t="s">
        <v>18</v>
      </c>
      <c r="H2425" s="8">
        <v>42279</v>
      </c>
      <c r="I2425">
        <v>964.1</v>
      </c>
      <c r="K2425" s="8"/>
    </row>
    <row r="2426" spans="1:11">
      <c r="A2426">
        <v>100002425</v>
      </c>
      <c r="B2426" t="s">
        <v>311</v>
      </c>
      <c r="C2426" t="s">
        <v>183</v>
      </c>
      <c r="D2426" t="s">
        <v>11</v>
      </c>
      <c r="E2426" s="9">
        <v>31</v>
      </c>
      <c r="F2426" t="s">
        <v>12</v>
      </c>
      <c r="G2426" t="s">
        <v>18</v>
      </c>
      <c r="H2426" s="7">
        <v>42279</v>
      </c>
      <c r="I2426">
        <v>79314.11</v>
      </c>
      <c r="K2426" s="7"/>
    </row>
    <row r="2427" spans="1:11">
      <c r="A2427">
        <v>200002426</v>
      </c>
      <c r="B2427" t="s">
        <v>89</v>
      </c>
      <c r="C2427" t="s">
        <v>307</v>
      </c>
      <c r="D2427" t="s">
        <v>11</v>
      </c>
      <c r="E2427" s="9">
        <v>48</v>
      </c>
      <c r="F2427" t="s">
        <v>32</v>
      </c>
      <c r="G2427" t="s">
        <v>18</v>
      </c>
      <c r="H2427" s="8">
        <v>42279</v>
      </c>
      <c r="I2427">
        <v>54817.88</v>
      </c>
      <c r="K2427" s="8"/>
    </row>
    <row r="2428" spans="1:11">
      <c r="A2428">
        <v>200002427</v>
      </c>
      <c r="B2428" t="s">
        <v>276</v>
      </c>
      <c r="C2428" t="s">
        <v>113</v>
      </c>
      <c r="D2428" t="s">
        <v>16</v>
      </c>
      <c r="E2428" s="9">
        <v>40</v>
      </c>
      <c r="F2428" t="s">
        <v>32</v>
      </c>
      <c r="G2428" t="s">
        <v>33</v>
      </c>
      <c r="H2428" s="7">
        <v>42279</v>
      </c>
      <c r="I2428">
        <v>36530.74</v>
      </c>
      <c r="K2428" s="7"/>
    </row>
    <row r="2429" spans="1:11">
      <c r="A2429">
        <v>300002428</v>
      </c>
      <c r="B2429" t="s">
        <v>202</v>
      </c>
      <c r="C2429" t="s">
        <v>240</v>
      </c>
      <c r="D2429" t="s">
        <v>11</v>
      </c>
      <c r="E2429" s="9">
        <v>36</v>
      </c>
      <c r="F2429" t="s">
        <v>23</v>
      </c>
      <c r="G2429" t="s">
        <v>13</v>
      </c>
      <c r="H2429" s="8">
        <v>42279</v>
      </c>
      <c r="I2429">
        <v>23291.89</v>
      </c>
      <c r="K2429" s="8"/>
    </row>
    <row r="2430" spans="1:11">
      <c r="A2430">
        <v>100002429</v>
      </c>
      <c r="B2430" t="s">
        <v>168</v>
      </c>
      <c r="C2430" t="s">
        <v>275</v>
      </c>
      <c r="D2430" t="s">
        <v>16</v>
      </c>
      <c r="E2430" s="9">
        <v>43</v>
      </c>
      <c r="F2430" t="s">
        <v>12</v>
      </c>
      <c r="G2430" t="s">
        <v>13</v>
      </c>
      <c r="H2430" s="7">
        <v>42280</v>
      </c>
      <c r="I2430">
        <v>42972.72</v>
      </c>
      <c r="K2430" s="7"/>
    </row>
    <row r="2431" spans="1:11">
      <c r="A2431">
        <v>100002430</v>
      </c>
      <c r="B2431" t="s">
        <v>175</v>
      </c>
      <c r="C2431" t="s">
        <v>325</v>
      </c>
      <c r="D2431" t="s">
        <v>11</v>
      </c>
      <c r="E2431" s="9">
        <v>36</v>
      </c>
      <c r="F2431" t="s">
        <v>12</v>
      </c>
      <c r="G2431" t="s">
        <v>13</v>
      </c>
      <c r="H2431" s="8">
        <v>42280</v>
      </c>
      <c r="I2431">
        <v>22675.26</v>
      </c>
      <c r="K2431" s="8"/>
    </row>
    <row r="2432" spans="1:11">
      <c r="A2432">
        <v>100002431</v>
      </c>
      <c r="B2432" t="s">
        <v>264</v>
      </c>
      <c r="C2432" t="s">
        <v>279</v>
      </c>
      <c r="D2432" t="s">
        <v>11</v>
      </c>
      <c r="E2432" s="9">
        <v>40</v>
      </c>
      <c r="F2432" t="s">
        <v>12</v>
      </c>
      <c r="G2432" t="s">
        <v>13</v>
      </c>
      <c r="H2432" s="7">
        <v>42280</v>
      </c>
      <c r="I2432">
        <v>12622.63</v>
      </c>
      <c r="K2432" s="7"/>
    </row>
    <row r="2433" spans="1:11">
      <c r="A2433">
        <v>100002432</v>
      </c>
      <c r="B2433" t="s">
        <v>150</v>
      </c>
      <c r="C2433" t="s">
        <v>75</v>
      </c>
      <c r="D2433" t="s">
        <v>16</v>
      </c>
      <c r="E2433" s="9">
        <v>43</v>
      </c>
      <c r="F2433" t="s">
        <v>12</v>
      </c>
      <c r="G2433" t="s">
        <v>13</v>
      </c>
      <c r="H2433" s="8">
        <v>42280</v>
      </c>
      <c r="I2433">
        <v>23251.07</v>
      </c>
      <c r="K2433" s="8"/>
    </row>
    <row r="2434" spans="1:11">
      <c r="A2434">
        <v>100002433</v>
      </c>
      <c r="B2434" t="s">
        <v>117</v>
      </c>
      <c r="C2434" t="s">
        <v>279</v>
      </c>
      <c r="D2434" t="s">
        <v>16</v>
      </c>
      <c r="E2434" s="9">
        <v>45</v>
      </c>
      <c r="F2434" t="s">
        <v>12</v>
      </c>
      <c r="G2434" t="s">
        <v>13</v>
      </c>
      <c r="H2434" s="7">
        <v>42280</v>
      </c>
      <c r="I2434">
        <v>53536.19</v>
      </c>
      <c r="K2434" s="7"/>
    </row>
    <row r="2435" spans="1:11">
      <c r="A2435">
        <v>100002434</v>
      </c>
      <c r="B2435" t="s">
        <v>218</v>
      </c>
      <c r="C2435" t="s">
        <v>290</v>
      </c>
      <c r="D2435" t="s">
        <v>11</v>
      </c>
      <c r="E2435" s="9">
        <v>32</v>
      </c>
      <c r="F2435" t="s">
        <v>12</v>
      </c>
      <c r="G2435" t="s">
        <v>13</v>
      </c>
      <c r="H2435" s="8">
        <v>42280</v>
      </c>
      <c r="I2435">
        <v>16127.3</v>
      </c>
      <c r="K2435" s="8"/>
    </row>
    <row r="2436" spans="1:11">
      <c r="A2436">
        <v>100002435</v>
      </c>
      <c r="B2436" t="s">
        <v>55</v>
      </c>
      <c r="C2436" t="s">
        <v>216</v>
      </c>
      <c r="D2436" t="s">
        <v>11</v>
      </c>
      <c r="E2436" s="9">
        <v>36</v>
      </c>
      <c r="F2436" t="s">
        <v>12</v>
      </c>
      <c r="G2436" t="s">
        <v>13</v>
      </c>
      <c r="H2436" s="7">
        <v>42280</v>
      </c>
      <c r="I2436">
        <v>43882.44</v>
      </c>
      <c r="K2436" s="7"/>
    </row>
    <row r="2437" spans="1:11">
      <c r="A2437">
        <v>100002436</v>
      </c>
      <c r="B2437" t="s">
        <v>206</v>
      </c>
      <c r="C2437" t="s">
        <v>222</v>
      </c>
      <c r="D2437" t="s">
        <v>11</v>
      </c>
      <c r="E2437" s="9">
        <v>40</v>
      </c>
      <c r="F2437" t="s">
        <v>12</v>
      </c>
      <c r="G2437" t="s">
        <v>13</v>
      </c>
      <c r="H2437" s="8">
        <v>42280</v>
      </c>
      <c r="I2437">
        <v>7741.38</v>
      </c>
      <c r="K2437" s="8"/>
    </row>
    <row r="2438" spans="1:11">
      <c r="A2438">
        <v>100002437</v>
      </c>
      <c r="B2438" t="s">
        <v>112</v>
      </c>
      <c r="C2438" t="s">
        <v>281</v>
      </c>
      <c r="D2438" t="s">
        <v>11</v>
      </c>
      <c r="E2438" s="9">
        <v>33</v>
      </c>
      <c r="F2438" t="s">
        <v>12</v>
      </c>
      <c r="G2438" t="s">
        <v>13</v>
      </c>
      <c r="H2438" s="7">
        <v>42280</v>
      </c>
      <c r="I2438">
        <v>39625</v>
      </c>
      <c r="K2438" s="7"/>
    </row>
    <row r="2439" spans="1:11">
      <c r="A2439">
        <v>100002438</v>
      </c>
      <c r="B2439" t="s">
        <v>48</v>
      </c>
      <c r="C2439" t="s">
        <v>179</v>
      </c>
      <c r="D2439" t="s">
        <v>16</v>
      </c>
      <c r="E2439" s="9">
        <v>30</v>
      </c>
      <c r="F2439" t="s">
        <v>12</v>
      </c>
      <c r="G2439" t="s">
        <v>13</v>
      </c>
      <c r="H2439" s="8">
        <v>42280</v>
      </c>
      <c r="I2439">
        <v>138086.22</v>
      </c>
      <c r="K2439" s="8"/>
    </row>
    <row r="2440" spans="1:11">
      <c r="A2440">
        <v>100002439</v>
      </c>
      <c r="B2440" t="s">
        <v>231</v>
      </c>
      <c r="C2440" t="s">
        <v>278</v>
      </c>
      <c r="D2440" t="s">
        <v>11</v>
      </c>
      <c r="E2440" s="9">
        <v>42</v>
      </c>
      <c r="F2440" t="s">
        <v>12</v>
      </c>
      <c r="G2440" t="s">
        <v>13</v>
      </c>
      <c r="H2440" s="7">
        <v>42280</v>
      </c>
      <c r="I2440">
        <v>32973.730000000003</v>
      </c>
      <c r="K2440" s="7"/>
    </row>
    <row r="2441" spans="1:11">
      <c r="A2441">
        <v>100002440</v>
      </c>
      <c r="B2441" t="s">
        <v>302</v>
      </c>
      <c r="C2441" t="s">
        <v>196</v>
      </c>
      <c r="D2441" t="s">
        <v>16</v>
      </c>
      <c r="E2441" s="9">
        <v>28</v>
      </c>
      <c r="F2441" t="s">
        <v>12</v>
      </c>
      <c r="G2441" t="s">
        <v>13</v>
      </c>
      <c r="H2441" s="8">
        <v>42280</v>
      </c>
      <c r="I2441">
        <v>76304.75</v>
      </c>
      <c r="K2441" s="8"/>
    </row>
    <row r="2442" spans="1:11">
      <c r="A2442">
        <v>200002441</v>
      </c>
      <c r="B2442" t="s">
        <v>214</v>
      </c>
      <c r="C2442" t="s">
        <v>31</v>
      </c>
      <c r="D2442" t="s">
        <v>11</v>
      </c>
      <c r="E2442" s="9">
        <v>26</v>
      </c>
      <c r="F2442" t="s">
        <v>32</v>
      </c>
      <c r="G2442" t="s">
        <v>18</v>
      </c>
      <c r="H2442" s="7">
        <v>42280</v>
      </c>
      <c r="I2442">
        <v>69903.960000000006</v>
      </c>
      <c r="K2442" s="7"/>
    </row>
    <row r="2443" spans="1:11">
      <c r="A2443">
        <v>200002442</v>
      </c>
      <c r="B2443" t="s">
        <v>152</v>
      </c>
      <c r="C2443" t="s">
        <v>155</v>
      </c>
      <c r="D2443" t="s">
        <v>11</v>
      </c>
      <c r="E2443" s="9">
        <v>52</v>
      </c>
      <c r="F2443" t="s">
        <v>32</v>
      </c>
      <c r="G2443" t="s">
        <v>18</v>
      </c>
      <c r="H2443" s="8">
        <v>42280</v>
      </c>
      <c r="I2443">
        <v>40011.42</v>
      </c>
      <c r="K2443" s="8"/>
    </row>
    <row r="2444" spans="1:11">
      <c r="A2444">
        <v>200002443</v>
      </c>
      <c r="B2444" t="s">
        <v>190</v>
      </c>
      <c r="C2444" t="s">
        <v>136</v>
      </c>
      <c r="D2444" t="s">
        <v>11</v>
      </c>
      <c r="E2444" s="9">
        <v>58</v>
      </c>
      <c r="F2444" t="s">
        <v>32</v>
      </c>
      <c r="G2444" t="s">
        <v>18</v>
      </c>
      <c r="H2444" s="7">
        <v>42280</v>
      </c>
      <c r="I2444">
        <v>31082.12</v>
      </c>
      <c r="K2444" s="7"/>
    </row>
    <row r="2445" spans="1:11">
      <c r="A2445">
        <v>200002444</v>
      </c>
      <c r="B2445" t="s">
        <v>235</v>
      </c>
      <c r="C2445" t="s">
        <v>260</v>
      </c>
      <c r="D2445" t="s">
        <v>11</v>
      </c>
      <c r="E2445" s="9">
        <v>47</v>
      </c>
      <c r="F2445" t="s">
        <v>32</v>
      </c>
      <c r="G2445" t="s">
        <v>33</v>
      </c>
      <c r="H2445" s="8">
        <v>42280</v>
      </c>
      <c r="I2445">
        <v>87669.32</v>
      </c>
      <c r="K2445" s="8"/>
    </row>
    <row r="2446" spans="1:11">
      <c r="A2446">
        <v>200002445</v>
      </c>
      <c r="B2446" t="s">
        <v>99</v>
      </c>
      <c r="C2446" t="s">
        <v>87</v>
      </c>
      <c r="D2446" t="s">
        <v>16</v>
      </c>
      <c r="E2446" s="9">
        <v>48</v>
      </c>
      <c r="F2446" t="s">
        <v>32</v>
      </c>
      <c r="G2446" t="s">
        <v>33</v>
      </c>
      <c r="H2446" s="7">
        <v>42280</v>
      </c>
      <c r="I2446">
        <v>12405.42</v>
      </c>
      <c r="K2446" s="7"/>
    </row>
    <row r="2447" spans="1:11">
      <c r="A2447">
        <v>200002446</v>
      </c>
      <c r="B2447" t="s">
        <v>235</v>
      </c>
      <c r="C2447" t="s">
        <v>322</v>
      </c>
      <c r="D2447" t="s">
        <v>11</v>
      </c>
      <c r="E2447" s="9">
        <v>50</v>
      </c>
      <c r="F2447" t="s">
        <v>32</v>
      </c>
      <c r="G2447" t="s">
        <v>18</v>
      </c>
      <c r="H2447" s="8">
        <v>42280</v>
      </c>
      <c r="I2447">
        <v>21885.91</v>
      </c>
      <c r="K2447" s="8"/>
    </row>
    <row r="2448" spans="1:11">
      <c r="A2448">
        <v>200002447</v>
      </c>
      <c r="B2448" t="s">
        <v>214</v>
      </c>
      <c r="C2448" t="s">
        <v>269</v>
      </c>
      <c r="D2448" t="s">
        <v>11</v>
      </c>
      <c r="E2448" s="9">
        <v>58</v>
      </c>
      <c r="F2448" t="s">
        <v>32</v>
      </c>
      <c r="G2448" t="s">
        <v>18</v>
      </c>
      <c r="H2448" s="7">
        <v>42280</v>
      </c>
      <c r="I2448">
        <v>13230.47</v>
      </c>
      <c r="K2448" s="7"/>
    </row>
    <row r="2449" spans="1:11">
      <c r="A2449">
        <v>300002448</v>
      </c>
      <c r="B2449" t="s">
        <v>169</v>
      </c>
      <c r="C2449" t="s">
        <v>123</v>
      </c>
      <c r="D2449" t="s">
        <v>11</v>
      </c>
      <c r="E2449" s="9">
        <v>41</v>
      </c>
      <c r="F2449" t="s">
        <v>23</v>
      </c>
      <c r="G2449" t="s">
        <v>18</v>
      </c>
      <c r="H2449" s="8">
        <v>42280</v>
      </c>
      <c r="I2449">
        <v>32837.019999999997</v>
      </c>
      <c r="K2449" s="8"/>
    </row>
    <row r="2450" spans="1:11">
      <c r="A2450">
        <v>100002449</v>
      </c>
      <c r="B2450" t="s">
        <v>190</v>
      </c>
      <c r="C2450" t="s">
        <v>41</v>
      </c>
      <c r="D2450" t="s">
        <v>11</v>
      </c>
      <c r="E2450" s="9">
        <v>27</v>
      </c>
      <c r="F2450" t="s">
        <v>12</v>
      </c>
      <c r="G2450" t="s">
        <v>18</v>
      </c>
      <c r="H2450" s="7">
        <v>42281</v>
      </c>
      <c r="I2450">
        <v>7385.38</v>
      </c>
      <c r="K2450" s="7"/>
    </row>
    <row r="2451" spans="1:11">
      <c r="A2451">
        <v>100002450</v>
      </c>
      <c r="B2451" t="s">
        <v>180</v>
      </c>
      <c r="C2451" t="s">
        <v>49</v>
      </c>
      <c r="D2451" t="s">
        <v>16</v>
      </c>
      <c r="E2451" s="9">
        <v>42</v>
      </c>
      <c r="F2451" t="s">
        <v>12</v>
      </c>
      <c r="G2451" t="s">
        <v>33</v>
      </c>
      <c r="H2451" s="8">
        <v>42281</v>
      </c>
      <c r="I2451">
        <v>10562.39</v>
      </c>
      <c r="K2451" s="8"/>
    </row>
    <row r="2452" spans="1:11">
      <c r="A2452">
        <v>100002451</v>
      </c>
      <c r="B2452" t="s">
        <v>76</v>
      </c>
      <c r="C2452" t="s">
        <v>210</v>
      </c>
      <c r="D2452" t="s">
        <v>11</v>
      </c>
      <c r="E2452" s="9">
        <v>41</v>
      </c>
      <c r="F2452" t="s">
        <v>12</v>
      </c>
      <c r="G2452" t="s">
        <v>13</v>
      </c>
      <c r="H2452" s="7">
        <v>42281</v>
      </c>
      <c r="I2452">
        <v>54256.9</v>
      </c>
      <c r="K2452" s="7"/>
    </row>
    <row r="2453" spans="1:11">
      <c r="A2453">
        <v>100002452</v>
      </c>
      <c r="B2453" t="s">
        <v>158</v>
      </c>
      <c r="C2453" t="s">
        <v>85</v>
      </c>
      <c r="D2453" t="s">
        <v>16</v>
      </c>
      <c r="E2453" s="9">
        <v>25</v>
      </c>
      <c r="F2453" t="s">
        <v>12</v>
      </c>
      <c r="G2453" t="s">
        <v>18</v>
      </c>
      <c r="H2453" s="8">
        <v>42281</v>
      </c>
      <c r="I2453">
        <v>5490.74</v>
      </c>
      <c r="K2453" s="8"/>
    </row>
    <row r="2454" spans="1:11">
      <c r="A2454">
        <v>100002453</v>
      </c>
      <c r="B2454" t="s">
        <v>229</v>
      </c>
      <c r="C2454" t="s">
        <v>272</v>
      </c>
      <c r="D2454" t="s">
        <v>16</v>
      </c>
      <c r="E2454" s="9">
        <v>34</v>
      </c>
      <c r="F2454" t="s">
        <v>12</v>
      </c>
      <c r="G2454" t="s">
        <v>13</v>
      </c>
      <c r="H2454" s="7">
        <v>42281</v>
      </c>
      <c r="I2454">
        <v>10594.11</v>
      </c>
      <c r="K2454" s="7"/>
    </row>
    <row r="2455" spans="1:11">
      <c r="A2455">
        <v>100002454</v>
      </c>
      <c r="B2455" t="s">
        <v>213</v>
      </c>
      <c r="C2455" t="s">
        <v>189</v>
      </c>
      <c r="D2455" t="s">
        <v>11</v>
      </c>
      <c r="E2455" s="9">
        <v>47</v>
      </c>
      <c r="F2455" t="s">
        <v>12</v>
      </c>
      <c r="G2455" t="s">
        <v>13</v>
      </c>
      <c r="H2455" s="8">
        <v>42281</v>
      </c>
      <c r="I2455">
        <v>53788.44</v>
      </c>
      <c r="K2455" s="8"/>
    </row>
    <row r="2456" spans="1:11">
      <c r="A2456">
        <v>100002455</v>
      </c>
      <c r="B2456" t="s">
        <v>34</v>
      </c>
      <c r="C2456" t="s">
        <v>78</v>
      </c>
      <c r="D2456" t="s">
        <v>16</v>
      </c>
      <c r="E2456" s="9">
        <v>28</v>
      </c>
      <c r="F2456" t="s">
        <v>12</v>
      </c>
      <c r="G2456" t="s">
        <v>13</v>
      </c>
      <c r="H2456" s="7">
        <v>42281</v>
      </c>
      <c r="I2456">
        <v>19866.919999999998</v>
      </c>
      <c r="K2456" s="7"/>
    </row>
    <row r="2457" spans="1:11">
      <c r="A2457">
        <v>100002456</v>
      </c>
      <c r="B2457" t="s">
        <v>107</v>
      </c>
      <c r="C2457" t="s">
        <v>107</v>
      </c>
      <c r="D2457" t="s">
        <v>11</v>
      </c>
      <c r="E2457" s="9">
        <v>44</v>
      </c>
      <c r="F2457" t="s">
        <v>12</v>
      </c>
      <c r="G2457" t="s">
        <v>33</v>
      </c>
      <c r="H2457" s="8">
        <v>42281</v>
      </c>
      <c r="I2457">
        <v>54062.080000000002</v>
      </c>
      <c r="K2457" s="8"/>
    </row>
    <row r="2458" spans="1:11">
      <c r="A2458">
        <v>100002457</v>
      </c>
      <c r="B2458" t="s">
        <v>280</v>
      </c>
      <c r="C2458" t="s">
        <v>259</v>
      </c>
      <c r="D2458" t="s">
        <v>11</v>
      </c>
      <c r="E2458" s="9">
        <v>39</v>
      </c>
      <c r="F2458" t="s">
        <v>12</v>
      </c>
      <c r="G2458" t="s">
        <v>18</v>
      </c>
      <c r="H2458" s="7">
        <v>42281</v>
      </c>
      <c r="I2458">
        <v>9947.41</v>
      </c>
      <c r="K2458" s="7"/>
    </row>
    <row r="2459" spans="1:11">
      <c r="A2459">
        <v>100002458</v>
      </c>
      <c r="B2459" t="s">
        <v>150</v>
      </c>
      <c r="C2459" t="s">
        <v>162</v>
      </c>
      <c r="D2459" t="s">
        <v>16</v>
      </c>
      <c r="E2459" s="9">
        <v>38</v>
      </c>
      <c r="F2459" t="s">
        <v>12</v>
      </c>
      <c r="G2459" t="s">
        <v>13</v>
      </c>
      <c r="H2459" s="8">
        <v>42281</v>
      </c>
      <c r="I2459">
        <v>67842.28</v>
      </c>
      <c r="K2459" s="8"/>
    </row>
    <row r="2460" spans="1:11">
      <c r="A2460">
        <v>100002459</v>
      </c>
      <c r="B2460" t="s">
        <v>193</v>
      </c>
      <c r="C2460" t="s">
        <v>103</v>
      </c>
      <c r="D2460" t="s">
        <v>11</v>
      </c>
      <c r="E2460" s="9">
        <v>37</v>
      </c>
      <c r="F2460" t="s">
        <v>12</v>
      </c>
      <c r="G2460" t="s">
        <v>13</v>
      </c>
      <c r="H2460" s="7">
        <v>42281</v>
      </c>
      <c r="I2460">
        <v>19014.05</v>
      </c>
      <c r="K2460" s="7"/>
    </row>
    <row r="2461" spans="1:11">
      <c r="A2461">
        <v>100002460</v>
      </c>
      <c r="B2461" t="s">
        <v>190</v>
      </c>
      <c r="C2461" t="s">
        <v>266</v>
      </c>
      <c r="D2461" t="s">
        <v>11</v>
      </c>
      <c r="E2461" s="9">
        <v>22</v>
      </c>
      <c r="F2461" t="s">
        <v>12</v>
      </c>
      <c r="G2461" t="s">
        <v>13</v>
      </c>
      <c r="H2461" s="8">
        <v>42281</v>
      </c>
      <c r="I2461">
        <v>781.84</v>
      </c>
      <c r="K2461" s="8"/>
    </row>
    <row r="2462" spans="1:11">
      <c r="A2462">
        <v>100002461</v>
      </c>
      <c r="B2462" t="s">
        <v>86</v>
      </c>
      <c r="C2462" t="s">
        <v>219</v>
      </c>
      <c r="D2462" t="s">
        <v>11</v>
      </c>
      <c r="E2462" s="9">
        <v>34</v>
      </c>
      <c r="F2462" t="s">
        <v>12</v>
      </c>
      <c r="G2462" t="s">
        <v>13</v>
      </c>
      <c r="H2462" s="7">
        <v>42281</v>
      </c>
      <c r="I2462">
        <v>99934.82</v>
      </c>
      <c r="K2462" s="7"/>
    </row>
    <row r="2463" spans="1:11">
      <c r="A2463">
        <v>200002462</v>
      </c>
      <c r="B2463" t="s">
        <v>301</v>
      </c>
      <c r="C2463" t="s">
        <v>15</v>
      </c>
      <c r="D2463" t="s">
        <v>16</v>
      </c>
      <c r="E2463" s="9">
        <v>49</v>
      </c>
      <c r="F2463" t="s">
        <v>32</v>
      </c>
      <c r="G2463" t="s">
        <v>13</v>
      </c>
      <c r="H2463" s="8">
        <v>42281</v>
      </c>
      <c r="I2463">
        <v>64721.73</v>
      </c>
      <c r="K2463" s="8"/>
    </row>
    <row r="2464" spans="1:11">
      <c r="A2464">
        <v>200002463</v>
      </c>
      <c r="B2464" t="s">
        <v>166</v>
      </c>
      <c r="C2464" t="s">
        <v>82</v>
      </c>
      <c r="D2464" t="s">
        <v>16</v>
      </c>
      <c r="E2464" s="9">
        <v>53</v>
      </c>
      <c r="F2464" t="s">
        <v>32</v>
      </c>
      <c r="G2464" t="s">
        <v>33</v>
      </c>
      <c r="H2464" s="7">
        <v>42281</v>
      </c>
      <c r="I2464">
        <v>7887.99</v>
      </c>
      <c r="K2464" s="7"/>
    </row>
    <row r="2465" spans="1:11">
      <c r="A2465">
        <v>100002464</v>
      </c>
      <c r="B2465" t="s">
        <v>320</v>
      </c>
      <c r="C2465" t="s">
        <v>71</v>
      </c>
      <c r="D2465" t="s">
        <v>16</v>
      </c>
      <c r="E2465" s="9">
        <v>36</v>
      </c>
      <c r="F2465" t="s">
        <v>12</v>
      </c>
      <c r="G2465" t="s">
        <v>13</v>
      </c>
      <c r="H2465" s="8">
        <v>42282</v>
      </c>
      <c r="I2465">
        <v>51614.58</v>
      </c>
      <c r="K2465" s="8"/>
    </row>
    <row r="2466" spans="1:11">
      <c r="A2466">
        <v>100002465</v>
      </c>
      <c r="B2466" t="s">
        <v>180</v>
      </c>
      <c r="C2466" t="s">
        <v>54</v>
      </c>
      <c r="D2466" t="s">
        <v>16</v>
      </c>
      <c r="E2466" s="9">
        <v>34</v>
      </c>
      <c r="F2466" t="s">
        <v>12</v>
      </c>
      <c r="G2466" t="s">
        <v>13</v>
      </c>
      <c r="H2466" s="7">
        <v>42282</v>
      </c>
      <c r="I2466">
        <v>9286.99</v>
      </c>
      <c r="K2466" s="7"/>
    </row>
    <row r="2467" spans="1:11">
      <c r="A2467">
        <v>100002466</v>
      </c>
      <c r="B2467" t="s">
        <v>192</v>
      </c>
      <c r="C2467" t="s">
        <v>272</v>
      </c>
      <c r="D2467" t="s">
        <v>16</v>
      </c>
      <c r="E2467" s="9">
        <v>27</v>
      </c>
      <c r="F2467" t="s">
        <v>12</v>
      </c>
      <c r="G2467" t="s">
        <v>18</v>
      </c>
      <c r="H2467" s="8">
        <v>42282</v>
      </c>
      <c r="I2467">
        <v>3471.22</v>
      </c>
      <c r="K2467" s="8"/>
    </row>
    <row r="2468" spans="1:11">
      <c r="A2468">
        <v>100002467</v>
      </c>
      <c r="B2468" t="s">
        <v>232</v>
      </c>
      <c r="C2468" t="s">
        <v>20</v>
      </c>
      <c r="D2468" t="s">
        <v>16</v>
      </c>
      <c r="E2468" s="9">
        <v>35</v>
      </c>
      <c r="F2468" t="s">
        <v>12</v>
      </c>
      <c r="G2468" t="s">
        <v>18</v>
      </c>
      <c r="H2468" s="7">
        <v>42282</v>
      </c>
      <c r="I2468">
        <v>39047.449999999997</v>
      </c>
      <c r="K2468" s="7"/>
    </row>
    <row r="2469" spans="1:11">
      <c r="A2469">
        <v>100002468</v>
      </c>
      <c r="B2469" t="s">
        <v>86</v>
      </c>
      <c r="C2469" t="s">
        <v>125</v>
      </c>
      <c r="D2469" t="s">
        <v>11</v>
      </c>
      <c r="E2469" s="9">
        <v>42</v>
      </c>
      <c r="F2469" t="s">
        <v>12</v>
      </c>
      <c r="G2469" t="s">
        <v>13</v>
      </c>
      <c r="H2469" s="8">
        <v>42282</v>
      </c>
      <c r="I2469">
        <v>368.53</v>
      </c>
      <c r="K2469" s="8"/>
    </row>
    <row r="2470" spans="1:11">
      <c r="A2470">
        <v>100002469</v>
      </c>
      <c r="B2470" t="s">
        <v>135</v>
      </c>
      <c r="C2470" t="s">
        <v>167</v>
      </c>
      <c r="D2470" t="s">
        <v>11</v>
      </c>
      <c r="E2470" s="9">
        <v>22</v>
      </c>
      <c r="F2470" t="s">
        <v>12</v>
      </c>
      <c r="G2470" t="s">
        <v>13</v>
      </c>
      <c r="H2470" s="7">
        <v>42282</v>
      </c>
      <c r="I2470">
        <v>66480.850000000006</v>
      </c>
      <c r="K2470" s="7"/>
    </row>
    <row r="2471" spans="1:11">
      <c r="A2471">
        <v>200002470</v>
      </c>
      <c r="B2471" t="s">
        <v>181</v>
      </c>
      <c r="C2471" t="s">
        <v>75</v>
      </c>
      <c r="D2471" t="s">
        <v>11</v>
      </c>
      <c r="E2471" s="9">
        <v>61</v>
      </c>
      <c r="F2471" t="s">
        <v>32</v>
      </c>
      <c r="G2471" t="s">
        <v>33</v>
      </c>
      <c r="H2471" s="8">
        <v>42282</v>
      </c>
      <c r="I2471">
        <v>35341.040000000001</v>
      </c>
      <c r="K2471" s="8"/>
    </row>
    <row r="2472" spans="1:11">
      <c r="A2472">
        <v>300002471</v>
      </c>
      <c r="B2472" t="s">
        <v>102</v>
      </c>
      <c r="C2472" t="s">
        <v>41</v>
      </c>
      <c r="D2472" t="s">
        <v>16</v>
      </c>
      <c r="E2472" s="9">
        <v>44</v>
      </c>
      <c r="F2472" t="s">
        <v>23</v>
      </c>
      <c r="G2472" t="s">
        <v>33</v>
      </c>
      <c r="H2472" s="7">
        <v>42282</v>
      </c>
      <c r="I2472">
        <v>1884.22</v>
      </c>
      <c r="K2472" s="7"/>
    </row>
    <row r="2473" spans="1:11">
      <c r="A2473">
        <v>400002472</v>
      </c>
      <c r="B2473" t="s">
        <v>154</v>
      </c>
      <c r="C2473" t="s">
        <v>80</v>
      </c>
      <c r="D2473" t="s">
        <v>16</v>
      </c>
      <c r="E2473" s="9">
        <v>46</v>
      </c>
      <c r="F2473" t="s">
        <v>17</v>
      </c>
      <c r="G2473" t="s">
        <v>33</v>
      </c>
      <c r="H2473" s="8">
        <v>42282</v>
      </c>
      <c r="I2473">
        <v>44875.11</v>
      </c>
      <c r="K2473" s="8"/>
    </row>
    <row r="2474" spans="1:11">
      <c r="A2474">
        <v>100002473</v>
      </c>
      <c r="B2474" t="s">
        <v>79</v>
      </c>
      <c r="C2474" t="s">
        <v>95</v>
      </c>
      <c r="D2474" t="s">
        <v>11</v>
      </c>
      <c r="E2474" s="9">
        <v>31</v>
      </c>
      <c r="F2474" t="s">
        <v>12</v>
      </c>
      <c r="G2474" t="s">
        <v>18</v>
      </c>
      <c r="H2474" s="7">
        <v>42283</v>
      </c>
      <c r="I2474">
        <v>56801.98</v>
      </c>
      <c r="K2474" s="7"/>
    </row>
    <row r="2475" spans="1:11">
      <c r="A2475">
        <v>100002474</v>
      </c>
      <c r="B2475" t="s">
        <v>316</v>
      </c>
      <c r="C2475" t="s">
        <v>167</v>
      </c>
      <c r="D2475" t="s">
        <v>16</v>
      </c>
      <c r="E2475" s="9">
        <v>22</v>
      </c>
      <c r="F2475" t="s">
        <v>12</v>
      </c>
      <c r="G2475" t="s">
        <v>18</v>
      </c>
      <c r="H2475" s="8">
        <v>42283</v>
      </c>
      <c r="I2475">
        <v>2301.9</v>
      </c>
      <c r="K2475" s="8"/>
    </row>
    <row r="2476" spans="1:11">
      <c r="A2476">
        <v>100002475</v>
      </c>
      <c r="B2476" t="s">
        <v>92</v>
      </c>
      <c r="C2476" t="s">
        <v>47</v>
      </c>
      <c r="D2476" t="s">
        <v>16</v>
      </c>
      <c r="E2476" s="9">
        <v>25</v>
      </c>
      <c r="F2476" t="s">
        <v>12</v>
      </c>
      <c r="G2476" t="s">
        <v>13</v>
      </c>
      <c r="H2476" s="7">
        <v>42283</v>
      </c>
      <c r="I2476">
        <v>29770.55</v>
      </c>
      <c r="K2476" s="7"/>
    </row>
    <row r="2477" spans="1:11">
      <c r="A2477">
        <v>100002476</v>
      </c>
      <c r="B2477" t="s">
        <v>177</v>
      </c>
      <c r="C2477" t="s">
        <v>260</v>
      </c>
      <c r="D2477" t="s">
        <v>11</v>
      </c>
      <c r="E2477" s="9">
        <v>47</v>
      </c>
      <c r="F2477" t="s">
        <v>12</v>
      </c>
      <c r="G2477" t="s">
        <v>13</v>
      </c>
      <c r="H2477" s="8">
        <v>42283</v>
      </c>
      <c r="I2477">
        <v>63746.78</v>
      </c>
      <c r="K2477" s="8"/>
    </row>
    <row r="2478" spans="1:11">
      <c r="A2478">
        <v>100002477</v>
      </c>
      <c r="B2478" t="s">
        <v>21</v>
      </c>
      <c r="C2478" t="s">
        <v>80</v>
      </c>
      <c r="D2478" t="s">
        <v>11</v>
      </c>
      <c r="E2478" s="9">
        <v>26</v>
      </c>
      <c r="F2478" t="s">
        <v>12</v>
      </c>
      <c r="G2478" t="s">
        <v>13</v>
      </c>
      <c r="H2478" s="7">
        <v>42283</v>
      </c>
      <c r="I2478">
        <v>81489.429999999993</v>
      </c>
      <c r="K2478" s="7"/>
    </row>
    <row r="2479" spans="1:11">
      <c r="A2479">
        <v>100002478</v>
      </c>
      <c r="B2479" t="s">
        <v>92</v>
      </c>
      <c r="C2479" t="s">
        <v>163</v>
      </c>
      <c r="D2479" t="s">
        <v>16</v>
      </c>
      <c r="E2479" s="9">
        <v>38</v>
      </c>
      <c r="F2479" t="s">
        <v>12</v>
      </c>
      <c r="G2479" t="s">
        <v>33</v>
      </c>
      <c r="H2479" s="8">
        <v>42283</v>
      </c>
      <c r="I2479">
        <v>37142.39</v>
      </c>
      <c r="K2479" s="8"/>
    </row>
    <row r="2480" spans="1:11">
      <c r="A2480">
        <v>100002479</v>
      </c>
      <c r="B2480" t="s">
        <v>208</v>
      </c>
      <c r="C2480" t="s">
        <v>129</v>
      </c>
      <c r="D2480" t="s">
        <v>11</v>
      </c>
      <c r="E2480" s="9">
        <v>37</v>
      </c>
      <c r="F2480" t="s">
        <v>12</v>
      </c>
      <c r="G2480" t="s">
        <v>13</v>
      </c>
      <c r="H2480" s="7">
        <v>42283</v>
      </c>
      <c r="I2480">
        <v>27526.79</v>
      </c>
      <c r="K2480" s="7"/>
    </row>
    <row r="2481" spans="1:11">
      <c r="A2481">
        <v>100002480</v>
      </c>
      <c r="B2481" t="s">
        <v>24</v>
      </c>
      <c r="C2481" t="s">
        <v>144</v>
      </c>
      <c r="D2481" t="s">
        <v>16</v>
      </c>
      <c r="E2481" s="9">
        <v>27</v>
      </c>
      <c r="F2481" t="s">
        <v>12</v>
      </c>
      <c r="G2481" t="s">
        <v>18</v>
      </c>
      <c r="H2481" s="8">
        <v>42283</v>
      </c>
      <c r="I2481">
        <v>115220.03</v>
      </c>
      <c r="K2481" s="8"/>
    </row>
    <row r="2482" spans="1:11">
      <c r="A2482">
        <v>100002481</v>
      </c>
      <c r="B2482" t="s">
        <v>304</v>
      </c>
      <c r="C2482" t="s">
        <v>164</v>
      </c>
      <c r="D2482" t="s">
        <v>16</v>
      </c>
      <c r="E2482" s="9">
        <v>25</v>
      </c>
      <c r="F2482" t="s">
        <v>12</v>
      </c>
      <c r="G2482" t="s">
        <v>18</v>
      </c>
      <c r="H2482" s="7">
        <v>42283</v>
      </c>
      <c r="I2482">
        <v>31113.33</v>
      </c>
      <c r="K2482" s="7"/>
    </row>
    <row r="2483" spans="1:11">
      <c r="A2483">
        <v>100002482</v>
      </c>
      <c r="B2483" t="s">
        <v>83</v>
      </c>
      <c r="C2483" t="s">
        <v>310</v>
      </c>
      <c r="D2483" t="s">
        <v>16</v>
      </c>
      <c r="E2483" s="9">
        <v>20</v>
      </c>
      <c r="F2483" t="s">
        <v>12</v>
      </c>
      <c r="G2483" t="s">
        <v>13</v>
      </c>
      <c r="H2483" s="8">
        <v>42283</v>
      </c>
      <c r="I2483">
        <v>74880.210000000006</v>
      </c>
      <c r="K2483" s="8"/>
    </row>
    <row r="2484" spans="1:11">
      <c r="A2484">
        <v>200002483</v>
      </c>
      <c r="B2484" t="s">
        <v>161</v>
      </c>
      <c r="C2484" t="s">
        <v>20</v>
      </c>
      <c r="D2484" t="s">
        <v>16</v>
      </c>
      <c r="E2484" s="9">
        <v>45</v>
      </c>
      <c r="F2484" t="s">
        <v>32</v>
      </c>
      <c r="G2484" t="s">
        <v>33</v>
      </c>
      <c r="H2484" s="7">
        <v>42283</v>
      </c>
      <c r="I2484">
        <v>24993.27</v>
      </c>
      <c r="K2484" s="7"/>
    </row>
    <row r="2485" spans="1:11">
      <c r="A2485">
        <v>200002484</v>
      </c>
      <c r="B2485" t="s">
        <v>76</v>
      </c>
      <c r="C2485" t="s">
        <v>242</v>
      </c>
      <c r="D2485" t="s">
        <v>11</v>
      </c>
      <c r="E2485" s="9">
        <v>50</v>
      </c>
      <c r="F2485" t="s">
        <v>32</v>
      </c>
      <c r="G2485" t="s">
        <v>18</v>
      </c>
      <c r="H2485" s="8">
        <v>42283</v>
      </c>
      <c r="I2485">
        <v>1566.53</v>
      </c>
      <c r="K2485" s="8"/>
    </row>
    <row r="2486" spans="1:11">
      <c r="A2486">
        <v>200002485</v>
      </c>
      <c r="B2486" t="s">
        <v>161</v>
      </c>
      <c r="C2486" t="s">
        <v>198</v>
      </c>
      <c r="D2486" t="s">
        <v>16</v>
      </c>
      <c r="E2486" s="9">
        <v>53</v>
      </c>
      <c r="F2486" t="s">
        <v>32</v>
      </c>
      <c r="G2486" t="s">
        <v>33</v>
      </c>
      <c r="H2486" s="7">
        <v>42283</v>
      </c>
      <c r="I2486">
        <v>12769.93</v>
      </c>
      <c r="K2486" s="7"/>
    </row>
    <row r="2487" spans="1:11">
      <c r="A2487">
        <v>200002486</v>
      </c>
      <c r="B2487" t="s">
        <v>158</v>
      </c>
      <c r="C2487" t="s">
        <v>325</v>
      </c>
      <c r="D2487" t="s">
        <v>16</v>
      </c>
      <c r="E2487" s="9">
        <v>52</v>
      </c>
      <c r="F2487" t="s">
        <v>32</v>
      </c>
      <c r="G2487" t="s">
        <v>33</v>
      </c>
      <c r="H2487" s="8">
        <v>42283</v>
      </c>
      <c r="I2487">
        <v>6222.21</v>
      </c>
      <c r="K2487" s="8"/>
    </row>
    <row r="2488" spans="1:11">
      <c r="A2488">
        <v>200002487</v>
      </c>
      <c r="B2488" t="s">
        <v>21</v>
      </c>
      <c r="C2488" t="s">
        <v>82</v>
      </c>
      <c r="D2488" t="s">
        <v>11</v>
      </c>
      <c r="E2488" s="9">
        <v>58</v>
      </c>
      <c r="F2488" t="s">
        <v>32</v>
      </c>
      <c r="G2488" t="s">
        <v>18</v>
      </c>
      <c r="H2488" s="7">
        <v>42283</v>
      </c>
      <c r="I2488">
        <v>51723.62</v>
      </c>
      <c r="K2488" s="7"/>
    </row>
    <row r="2489" spans="1:11">
      <c r="A2489">
        <v>300002488</v>
      </c>
      <c r="B2489" t="s">
        <v>9</v>
      </c>
      <c r="C2489" t="s">
        <v>179</v>
      </c>
      <c r="D2489" t="s">
        <v>11</v>
      </c>
      <c r="E2489" s="9">
        <v>42</v>
      </c>
      <c r="F2489" t="s">
        <v>23</v>
      </c>
      <c r="G2489" t="s">
        <v>13</v>
      </c>
      <c r="H2489" s="8">
        <v>42283</v>
      </c>
      <c r="I2489">
        <v>5436</v>
      </c>
      <c r="K2489" s="8"/>
    </row>
    <row r="2490" spans="1:11">
      <c r="A2490">
        <v>300002489</v>
      </c>
      <c r="B2490" t="s">
        <v>208</v>
      </c>
      <c r="C2490" t="s">
        <v>288</v>
      </c>
      <c r="D2490" t="s">
        <v>11</v>
      </c>
      <c r="E2490" s="9">
        <v>37</v>
      </c>
      <c r="F2490" t="s">
        <v>23</v>
      </c>
      <c r="G2490" t="s">
        <v>13</v>
      </c>
      <c r="H2490" s="7">
        <v>42283</v>
      </c>
      <c r="I2490">
        <v>13005.94</v>
      </c>
      <c r="K2490" s="7"/>
    </row>
    <row r="2491" spans="1:11">
      <c r="A2491">
        <v>300002490</v>
      </c>
      <c r="B2491" t="s">
        <v>228</v>
      </c>
      <c r="C2491" t="s">
        <v>22</v>
      </c>
      <c r="D2491" t="s">
        <v>11</v>
      </c>
      <c r="E2491" s="9">
        <v>31</v>
      </c>
      <c r="F2491" t="s">
        <v>23</v>
      </c>
      <c r="G2491" t="s">
        <v>18</v>
      </c>
      <c r="H2491" s="8">
        <v>42283</v>
      </c>
      <c r="I2491">
        <v>40081.67</v>
      </c>
      <c r="K2491" s="8"/>
    </row>
    <row r="2492" spans="1:11">
      <c r="A2492">
        <v>300002491</v>
      </c>
      <c r="B2492" t="s">
        <v>165</v>
      </c>
      <c r="C2492" t="s">
        <v>35</v>
      </c>
      <c r="D2492" t="s">
        <v>16</v>
      </c>
      <c r="E2492" s="9">
        <v>24</v>
      </c>
      <c r="F2492" t="s">
        <v>23</v>
      </c>
      <c r="G2492" t="s">
        <v>18</v>
      </c>
      <c r="H2492" s="7">
        <v>42283</v>
      </c>
      <c r="I2492">
        <v>16527</v>
      </c>
      <c r="K2492" s="7"/>
    </row>
    <row r="2493" spans="1:11">
      <c r="A2493">
        <v>300002492</v>
      </c>
      <c r="B2493" t="s">
        <v>120</v>
      </c>
      <c r="C2493" t="s">
        <v>195</v>
      </c>
      <c r="D2493" t="s">
        <v>16</v>
      </c>
      <c r="E2493" s="9">
        <v>36</v>
      </c>
      <c r="F2493" t="s">
        <v>23</v>
      </c>
      <c r="G2493" t="s">
        <v>13</v>
      </c>
      <c r="H2493" s="8">
        <v>42283</v>
      </c>
      <c r="I2493">
        <v>1576.57</v>
      </c>
      <c r="K2493" s="8"/>
    </row>
    <row r="2494" spans="1:11">
      <c r="A2494">
        <v>100002493</v>
      </c>
      <c r="B2494" t="s">
        <v>256</v>
      </c>
      <c r="C2494" t="s">
        <v>248</v>
      </c>
      <c r="D2494" t="s">
        <v>16</v>
      </c>
      <c r="E2494" s="9">
        <v>43</v>
      </c>
      <c r="F2494" t="s">
        <v>12</v>
      </c>
      <c r="G2494" t="s">
        <v>18</v>
      </c>
      <c r="H2494" s="7">
        <v>42284</v>
      </c>
      <c r="I2494">
        <v>20996.83</v>
      </c>
      <c r="K2494" s="7"/>
    </row>
    <row r="2495" spans="1:11">
      <c r="A2495">
        <v>100002494</v>
      </c>
      <c r="B2495" t="s">
        <v>50</v>
      </c>
      <c r="C2495" t="s">
        <v>98</v>
      </c>
      <c r="D2495" t="s">
        <v>16</v>
      </c>
      <c r="E2495" s="9">
        <v>38</v>
      </c>
      <c r="F2495" t="s">
        <v>12</v>
      </c>
      <c r="G2495" t="s">
        <v>13</v>
      </c>
      <c r="H2495" s="8">
        <v>42284</v>
      </c>
      <c r="I2495">
        <v>33589.65</v>
      </c>
      <c r="K2495" s="8"/>
    </row>
    <row r="2496" spans="1:11">
      <c r="A2496">
        <v>100002495</v>
      </c>
      <c r="B2496" t="s">
        <v>129</v>
      </c>
      <c r="C2496" t="s">
        <v>259</v>
      </c>
      <c r="D2496" t="s">
        <v>11</v>
      </c>
      <c r="E2496" s="9">
        <v>30</v>
      </c>
      <c r="F2496" t="s">
        <v>12</v>
      </c>
      <c r="G2496" t="s">
        <v>13</v>
      </c>
      <c r="H2496" s="7">
        <v>42284</v>
      </c>
      <c r="I2496">
        <v>54432.83</v>
      </c>
      <c r="K2496" s="7"/>
    </row>
    <row r="2497" spans="1:11">
      <c r="A2497">
        <v>100002496</v>
      </c>
      <c r="B2497" t="s">
        <v>186</v>
      </c>
      <c r="C2497" t="s">
        <v>77</v>
      </c>
      <c r="D2497" t="s">
        <v>11</v>
      </c>
      <c r="E2497" s="9">
        <v>37</v>
      </c>
      <c r="F2497" t="s">
        <v>12</v>
      </c>
      <c r="G2497" t="s">
        <v>13</v>
      </c>
      <c r="H2497" s="8">
        <v>42284</v>
      </c>
      <c r="I2497">
        <v>24607.65</v>
      </c>
      <c r="K2497" s="8"/>
    </row>
    <row r="2498" spans="1:11">
      <c r="A2498">
        <v>100002497</v>
      </c>
      <c r="B2498" t="s">
        <v>83</v>
      </c>
      <c r="C2498" t="s">
        <v>277</v>
      </c>
      <c r="D2498" t="s">
        <v>16</v>
      </c>
      <c r="E2498" s="9">
        <v>36</v>
      </c>
      <c r="F2498" t="s">
        <v>12</v>
      </c>
      <c r="G2498" t="s">
        <v>13</v>
      </c>
      <c r="H2498" s="7">
        <v>42284</v>
      </c>
      <c r="I2498">
        <v>111371.69</v>
      </c>
      <c r="K2498" s="7"/>
    </row>
    <row r="2499" spans="1:11">
      <c r="A2499">
        <v>100002498</v>
      </c>
      <c r="B2499" t="s">
        <v>60</v>
      </c>
      <c r="C2499" t="s">
        <v>252</v>
      </c>
      <c r="D2499" t="s">
        <v>11</v>
      </c>
      <c r="E2499" s="9">
        <v>30</v>
      </c>
      <c r="F2499" t="s">
        <v>12</v>
      </c>
      <c r="G2499" t="s">
        <v>13</v>
      </c>
      <c r="H2499" s="8">
        <v>42284</v>
      </c>
      <c r="I2499">
        <v>40488.29</v>
      </c>
      <c r="K2499" s="8"/>
    </row>
    <row r="2500" spans="1:11">
      <c r="A2500">
        <v>200002499</v>
      </c>
      <c r="B2500" t="s">
        <v>218</v>
      </c>
      <c r="C2500" t="s">
        <v>163</v>
      </c>
      <c r="D2500" t="s">
        <v>11</v>
      </c>
      <c r="E2500" s="9">
        <v>32</v>
      </c>
      <c r="F2500" t="s">
        <v>32</v>
      </c>
      <c r="G2500" t="s">
        <v>18</v>
      </c>
      <c r="H2500" s="7">
        <v>42284</v>
      </c>
      <c r="I2500">
        <v>701.13</v>
      </c>
      <c r="K2500" s="7"/>
    </row>
    <row r="2501" spans="1:11">
      <c r="A2501">
        <v>200002500</v>
      </c>
      <c r="B2501" t="s">
        <v>159</v>
      </c>
      <c r="C2501" t="s">
        <v>290</v>
      </c>
      <c r="D2501" t="s">
        <v>11</v>
      </c>
      <c r="E2501" s="9">
        <v>56</v>
      </c>
      <c r="F2501" t="s">
        <v>32</v>
      </c>
      <c r="G2501" t="s">
        <v>18</v>
      </c>
      <c r="H2501" s="8">
        <v>42284</v>
      </c>
      <c r="I2501">
        <v>21196.37</v>
      </c>
      <c r="K2501" s="8"/>
    </row>
    <row r="2502" spans="1:11">
      <c r="A2502">
        <v>200002501</v>
      </c>
      <c r="B2502" t="s">
        <v>76</v>
      </c>
      <c r="C2502" t="s">
        <v>306</v>
      </c>
      <c r="D2502" t="s">
        <v>11</v>
      </c>
      <c r="E2502" s="9">
        <v>59</v>
      </c>
      <c r="F2502" t="s">
        <v>32</v>
      </c>
      <c r="G2502" t="s">
        <v>18</v>
      </c>
      <c r="H2502" s="7">
        <v>42284</v>
      </c>
      <c r="I2502">
        <v>690.99</v>
      </c>
      <c r="K2502" s="7"/>
    </row>
    <row r="2503" spans="1:11">
      <c r="A2503">
        <v>300002502</v>
      </c>
      <c r="B2503" t="s">
        <v>154</v>
      </c>
      <c r="C2503" t="s">
        <v>106</v>
      </c>
      <c r="D2503" t="s">
        <v>16</v>
      </c>
      <c r="E2503" s="9">
        <v>26</v>
      </c>
      <c r="F2503" t="s">
        <v>23</v>
      </c>
      <c r="G2503" t="s">
        <v>13</v>
      </c>
      <c r="H2503" s="8">
        <v>42284</v>
      </c>
      <c r="I2503">
        <v>37590.69</v>
      </c>
      <c r="K2503" s="8"/>
    </row>
    <row r="2504" spans="1:11">
      <c r="A2504">
        <v>100002503</v>
      </c>
      <c r="B2504" t="s">
        <v>218</v>
      </c>
      <c r="C2504" t="s">
        <v>258</v>
      </c>
      <c r="D2504" t="s">
        <v>11</v>
      </c>
      <c r="E2504" s="9">
        <v>28</v>
      </c>
      <c r="F2504" t="s">
        <v>12</v>
      </c>
      <c r="G2504" t="s">
        <v>18</v>
      </c>
      <c r="H2504" s="7">
        <v>42285</v>
      </c>
      <c r="I2504">
        <v>102952.98</v>
      </c>
      <c r="K2504" s="7"/>
    </row>
    <row r="2505" spans="1:11">
      <c r="A2505">
        <v>100002504</v>
      </c>
      <c r="B2505" t="s">
        <v>262</v>
      </c>
      <c r="C2505" t="s">
        <v>167</v>
      </c>
      <c r="D2505" t="s">
        <v>16</v>
      </c>
      <c r="E2505" s="9">
        <v>35</v>
      </c>
      <c r="F2505" t="s">
        <v>12</v>
      </c>
      <c r="G2505" t="s">
        <v>33</v>
      </c>
      <c r="H2505" s="8">
        <v>42285</v>
      </c>
      <c r="I2505">
        <v>42162.2</v>
      </c>
      <c r="K2505" s="8"/>
    </row>
    <row r="2506" spans="1:11">
      <c r="A2506">
        <v>100002505</v>
      </c>
      <c r="B2506" t="s">
        <v>190</v>
      </c>
      <c r="C2506" t="s">
        <v>282</v>
      </c>
      <c r="D2506" t="s">
        <v>11</v>
      </c>
      <c r="E2506" s="9">
        <v>46</v>
      </c>
      <c r="F2506" t="s">
        <v>12</v>
      </c>
      <c r="G2506" t="s">
        <v>18</v>
      </c>
      <c r="H2506" s="7">
        <v>42285</v>
      </c>
      <c r="I2506">
        <v>22318.080000000002</v>
      </c>
      <c r="K2506" s="7"/>
    </row>
    <row r="2507" spans="1:11">
      <c r="A2507">
        <v>100002506</v>
      </c>
      <c r="B2507" t="s">
        <v>234</v>
      </c>
      <c r="C2507" t="s">
        <v>134</v>
      </c>
      <c r="D2507" t="s">
        <v>11</v>
      </c>
      <c r="E2507" s="9">
        <v>41</v>
      </c>
      <c r="F2507" t="s">
        <v>12</v>
      </c>
      <c r="G2507" t="s">
        <v>13</v>
      </c>
      <c r="H2507" s="8">
        <v>42285</v>
      </c>
      <c r="I2507">
        <v>28479.51</v>
      </c>
      <c r="K2507" s="8"/>
    </row>
    <row r="2508" spans="1:11">
      <c r="A2508">
        <v>100002507</v>
      </c>
      <c r="B2508" t="s">
        <v>223</v>
      </c>
      <c r="C2508" t="s">
        <v>116</v>
      </c>
      <c r="D2508" t="s">
        <v>16</v>
      </c>
      <c r="E2508" s="9">
        <v>42</v>
      </c>
      <c r="F2508" t="s">
        <v>12</v>
      </c>
      <c r="G2508" t="s">
        <v>13</v>
      </c>
      <c r="H2508" s="7">
        <v>42285</v>
      </c>
      <c r="I2508">
        <v>55193.59</v>
      </c>
      <c r="K2508" s="7"/>
    </row>
    <row r="2509" spans="1:11">
      <c r="A2509">
        <v>100002508</v>
      </c>
      <c r="B2509" t="s">
        <v>89</v>
      </c>
      <c r="C2509" t="s">
        <v>318</v>
      </c>
      <c r="D2509" t="s">
        <v>11</v>
      </c>
      <c r="E2509" s="9">
        <v>42</v>
      </c>
      <c r="F2509" t="s">
        <v>12</v>
      </c>
      <c r="G2509" t="s">
        <v>13</v>
      </c>
      <c r="H2509" s="8">
        <v>42285</v>
      </c>
      <c r="I2509">
        <v>33299.64</v>
      </c>
      <c r="K2509" s="8"/>
    </row>
    <row r="2510" spans="1:11">
      <c r="A2510">
        <v>100002509</v>
      </c>
      <c r="B2510" t="s">
        <v>46</v>
      </c>
      <c r="C2510" t="s">
        <v>58</v>
      </c>
      <c r="D2510" t="s">
        <v>11</v>
      </c>
      <c r="E2510" s="9">
        <v>30</v>
      </c>
      <c r="F2510" t="s">
        <v>12</v>
      </c>
      <c r="G2510" t="s">
        <v>18</v>
      </c>
      <c r="H2510" s="7">
        <v>42285</v>
      </c>
      <c r="I2510">
        <v>2603.66</v>
      </c>
      <c r="K2510" s="7"/>
    </row>
    <row r="2511" spans="1:11">
      <c r="A2511">
        <v>100002510</v>
      </c>
      <c r="B2511" t="s">
        <v>204</v>
      </c>
      <c r="C2511" t="s">
        <v>22</v>
      </c>
      <c r="D2511" t="s">
        <v>11</v>
      </c>
      <c r="E2511" s="9">
        <v>37</v>
      </c>
      <c r="F2511" t="s">
        <v>12</v>
      </c>
      <c r="G2511" t="s">
        <v>18</v>
      </c>
      <c r="H2511" s="8">
        <v>42285</v>
      </c>
      <c r="I2511">
        <v>28386.21</v>
      </c>
      <c r="K2511" s="8"/>
    </row>
    <row r="2512" spans="1:11">
      <c r="A2512">
        <v>100002511</v>
      </c>
      <c r="B2512" t="s">
        <v>145</v>
      </c>
      <c r="C2512" t="s">
        <v>63</v>
      </c>
      <c r="D2512" t="s">
        <v>11</v>
      </c>
      <c r="E2512" s="9">
        <v>37</v>
      </c>
      <c r="F2512" t="s">
        <v>12</v>
      </c>
      <c r="G2512" t="s">
        <v>33</v>
      </c>
      <c r="H2512" s="7">
        <v>42285</v>
      </c>
      <c r="I2512">
        <v>8819.9</v>
      </c>
      <c r="K2512" s="7"/>
    </row>
    <row r="2513" spans="1:11">
      <c r="A2513">
        <v>100002512</v>
      </c>
      <c r="B2513" t="s">
        <v>182</v>
      </c>
      <c r="C2513" t="s">
        <v>275</v>
      </c>
      <c r="D2513" t="s">
        <v>16</v>
      </c>
      <c r="E2513" s="9">
        <v>41</v>
      </c>
      <c r="F2513" t="s">
        <v>12</v>
      </c>
      <c r="G2513" t="s">
        <v>13</v>
      </c>
      <c r="H2513" s="8">
        <v>42285</v>
      </c>
      <c r="I2513">
        <v>36174.14</v>
      </c>
      <c r="K2513" s="8"/>
    </row>
    <row r="2514" spans="1:11">
      <c r="A2514">
        <v>100002513</v>
      </c>
      <c r="B2514" t="s">
        <v>321</v>
      </c>
      <c r="C2514" t="s">
        <v>325</v>
      </c>
      <c r="D2514" t="s">
        <v>16</v>
      </c>
      <c r="E2514" s="9">
        <v>31</v>
      </c>
      <c r="F2514" t="s">
        <v>12</v>
      </c>
      <c r="G2514" t="s">
        <v>13</v>
      </c>
      <c r="H2514" s="7">
        <v>42285</v>
      </c>
      <c r="I2514">
        <v>10512.25</v>
      </c>
      <c r="K2514" s="7"/>
    </row>
    <row r="2515" spans="1:11">
      <c r="A2515">
        <v>200002514</v>
      </c>
      <c r="B2515" t="s">
        <v>76</v>
      </c>
      <c r="C2515" t="s">
        <v>242</v>
      </c>
      <c r="D2515" t="s">
        <v>11</v>
      </c>
      <c r="E2515" s="9">
        <v>62</v>
      </c>
      <c r="F2515" t="s">
        <v>32</v>
      </c>
      <c r="G2515" t="s">
        <v>18</v>
      </c>
      <c r="H2515" s="8">
        <v>42285</v>
      </c>
      <c r="I2515">
        <v>83595.789999999994</v>
      </c>
      <c r="K2515" s="8"/>
    </row>
    <row r="2516" spans="1:11">
      <c r="A2516">
        <v>200002515</v>
      </c>
      <c r="B2516" t="s">
        <v>235</v>
      </c>
      <c r="C2516" t="s">
        <v>15</v>
      </c>
      <c r="D2516" t="s">
        <v>11</v>
      </c>
      <c r="E2516" s="9">
        <v>46</v>
      </c>
      <c r="F2516" t="s">
        <v>32</v>
      </c>
      <c r="G2516" t="s">
        <v>33</v>
      </c>
      <c r="H2516" s="7">
        <v>42285</v>
      </c>
      <c r="I2516">
        <v>76601.08</v>
      </c>
      <c r="K2516" s="7"/>
    </row>
    <row r="2517" spans="1:11">
      <c r="A2517">
        <v>200002516</v>
      </c>
      <c r="B2517" t="s">
        <v>36</v>
      </c>
      <c r="C2517" t="s">
        <v>269</v>
      </c>
      <c r="D2517" t="s">
        <v>11</v>
      </c>
      <c r="E2517" s="9">
        <v>54</v>
      </c>
      <c r="F2517" t="s">
        <v>32</v>
      </c>
      <c r="G2517" t="s">
        <v>18</v>
      </c>
      <c r="H2517" s="8">
        <v>42285</v>
      </c>
      <c r="I2517">
        <v>96359.91</v>
      </c>
      <c r="K2517" s="8"/>
    </row>
    <row r="2518" spans="1:11">
      <c r="A2518">
        <v>200002517</v>
      </c>
      <c r="B2518" t="s">
        <v>149</v>
      </c>
      <c r="C2518" t="s">
        <v>313</v>
      </c>
      <c r="D2518" t="s">
        <v>16</v>
      </c>
      <c r="E2518" s="9">
        <v>60</v>
      </c>
      <c r="F2518" t="s">
        <v>32</v>
      </c>
      <c r="G2518" t="s">
        <v>33</v>
      </c>
      <c r="H2518" s="7">
        <v>42285</v>
      </c>
      <c r="I2518">
        <v>47942.04</v>
      </c>
      <c r="K2518" s="7"/>
    </row>
    <row r="2519" spans="1:11">
      <c r="A2519">
        <v>200002518</v>
      </c>
      <c r="B2519" t="s">
        <v>148</v>
      </c>
      <c r="C2519" t="s">
        <v>259</v>
      </c>
      <c r="D2519" t="s">
        <v>11</v>
      </c>
      <c r="E2519" s="9">
        <v>44</v>
      </c>
      <c r="F2519" t="s">
        <v>32</v>
      </c>
      <c r="G2519" t="s">
        <v>18</v>
      </c>
      <c r="H2519" s="8">
        <v>42285</v>
      </c>
      <c r="I2519">
        <v>6697.68</v>
      </c>
      <c r="K2519" s="8"/>
    </row>
    <row r="2520" spans="1:11">
      <c r="A2520">
        <v>200002519</v>
      </c>
      <c r="B2520" t="s">
        <v>311</v>
      </c>
      <c r="C2520" t="s">
        <v>113</v>
      </c>
      <c r="D2520" t="s">
        <v>11</v>
      </c>
      <c r="E2520" s="9">
        <v>52</v>
      </c>
      <c r="F2520" t="s">
        <v>32</v>
      </c>
      <c r="G2520" t="s">
        <v>18</v>
      </c>
      <c r="H2520" s="7">
        <v>42285</v>
      </c>
      <c r="I2520">
        <v>675.08</v>
      </c>
      <c r="K2520" s="7"/>
    </row>
    <row r="2521" spans="1:11">
      <c r="A2521">
        <v>300002520</v>
      </c>
      <c r="B2521" t="s">
        <v>220</v>
      </c>
      <c r="C2521" t="s">
        <v>75</v>
      </c>
      <c r="D2521" t="s">
        <v>16</v>
      </c>
      <c r="E2521" s="9">
        <v>44</v>
      </c>
      <c r="F2521" t="s">
        <v>23</v>
      </c>
      <c r="G2521" t="s">
        <v>13</v>
      </c>
      <c r="H2521" s="8">
        <v>42285</v>
      </c>
      <c r="I2521">
        <v>94722.42</v>
      </c>
      <c r="K2521" s="8"/>
    </row>
    <row r="2522" spans="1:11">
      <c r="A2522">
        <v>400002521</v>
      </c>
      <c r="B2522" t="s">
        <v>226</v>
      </c>
      <c r="C2522" t="s">
        <v>277</v>
      </c>
      <c r="D2522" t="s">
        <v>16</v>
      </c>
      <c r="E2522" s="9">
        <v>20</v>
      </c>
      <c r="F2522" t="s">
        <v>17</v>
      </c>
      <c r="G2522" t="s">
        <v>33</v>
      </c>
      <c r="H2522" s="7">
        <v>42285</v>
      </c>
      <c r="I2522">
        <v>9707.9500000000007</v>
      </c>
      <c r="K2522" s="7"/>
    </row>
    <row r="2523" spans="1:11">
      <c r="A2523">
        <v>400002522</v>
      </c>
      <c r="B2523" t="s">
        <v>309</v>
      </c>
      <c r="C2523" t="s">
        <v>153</v>
      </c>
      <c r="D2523" t="s">
        <v>16</v>
      </c>
      <c r="E2523" s="9">
        <v>40</v>
      </c>
      <c r="F2523" t="s">
        <v>17</v>
      </c>
      <c r="G2523" t="s">
        <v>18</v>
      </c>
      <c r="H2523" s="8">
        <v>42285</v>
      </c>
      <c r="I2523">
        <v>58691.17</v>
      </c>
      <c r="K2523" s="8"/>
    </row>
    <row r="2524" spans="1:11">
      <c r="A2524">
        <v>100002523</v>
      </c>
      <c r="B2524" t="s">
        <v>79</v>
      </c>
      <c r="C2524" t="s">
        <v>163</v>
      </c>
      <c r="D2524" t="s">
        <v>11</v>
      </c>
      <c r="E2524" s="9">
        <v>40</v>
      </c>
      <c r="F2524" t="s">
        <v>12</v>
      </c>
      <c r="G2524" t="s">
        <v>18</v>
      </c>
      <c r="H2524" s="7">
        <v>42286</v>
      </c>
      <c r="I2524">
        <v>41371.519999999997</v>
      </c>
      <c r="K2524" s="7"/>
    </row>
    <row r="2525" spans="1:11">
      <c r="A2525">
        <v>100002524</v>
      </c>
      <c r="B2525" t="s">
        <v>74</v>
      </c>
      <c r="C2525" t="s">
        <v>136</v>
      </c>
      <c r="D2525" t="s">
        <v>16</v>
      </c>
      <c r="E2525" s="9">
        <v>31</v>
      </c>
      <c r="F2525" t="s">
        <v>12</v>
      </c>
      <c r="G2525" t="s">
        <v>13</v>
      </c>
      <c r="H2525" s="8">
        <v>42286</v>
      </c>
      <c r="I2525">
        <v>20953.3</v>
      </c>
      <c r="K2525" s="8"/>
    </row>
    <row r="2526" spans="1:11">
      <c r="A2526">
        <v>100002525</v>
      </c>
      <c r="B2526" t="s">
        <v>46</v>
      </c>
      <c r="C2526" t="s">
        <v>325</v>
      </c>
      <c r="D2526" t="s">
        <v>11</v>
      </c>
      <c r="E2526" s="9">
        <v>33</v>
      </c>
      <c r="F2526" t="s">
        <v>12</v>
      </c>
      <c r="G2526" t="s">
        <v>18</v>
      </c>
      <c r="H2526" s="7">
        <v>42286</v>
      </c>
      <c r="I2526">
        <v>12798.63</v>
      </c>
      <c r="K2526" s="7"/>
    </row>
    <row r="2527" spans="1:11">
      <c r="A2527">
        <v>100002526</v>
      </c>
      <c r="B2527" t="s">
        <v>168</v>
      </c>
      <c r="C2527" t="s">
        <v>67</v>
      </c>
      <c r="D2527" t="s">
        <v>16</v>
      </c>
      <c r="E2527" s="9">
        <v>34</v>
      </c>
      <c r="F2527" t="s">
        <v>12</v>
      </c>
      <c r="G2527" t="s">
        <v>13</v>
      </c>
      <c r="H2527" s="8">
        <v>42286</v>
      </c>
      <c r="I2527">
        <v>30002.9</v>
      </c>
      <c r="K2527" s="8"/>
    </row>
    <row r="2528" spans="1:11">
      <c r="A2528">
        <v>100002527</v>
      </c>
      <c r="B2528" t="s">
        <v>197</v>
      </c>
      <c r="C2528" t="s">
        <v>305</v>
      </c>
      <c r="D2528" t="s">
        <v>11</v>
      </c>
      <c r="E2528" s="9">
        <v>27</v>
      </c>
      <c r="F2528" t="s">
        <v>12</v>
      </c>
      <c r="G2528" t="s">
        <v>13</v>
      </c>
      <c r="H2528" s="7">
        <v>42286</v>
      </c>
      <c r="I2528">
        <v>8121.14</v>
      </c>
      <c r="K2528" s="7"/>
    </row>
    <row r="2529" spans="1:11">
      <c r="A2529">
        <v>100002528</v>
      </c>
      <c r="B2529" t="s">
        <v>207</v>
      </c>
      <c r="C2529" t="s">
        <v>107</v>
      </c>
      <c r="D2529" t="s">
        <v>11</v>
      </c>
      <c r="E2529" s="9">
        <v>34</v>
      </c>
      <c r="F2529" t="s">
        <v>12</v>
      </c>
      <c r="G2529" t="s">
        <v>13</v>
      </c>
      <c r="H2529" s="8">
        <v>42286</v>
      </c>
      <c r="I2529">
        <v>3014.85</v>
      </c>
      <c r="K2529" s="8"/>
    </row>
    <row r="2530" spans="1:11">
      <c r="A2530">
        <v>100002529</v>
      </c>
      <c r="B2530" t="s">
        <v>250</v>
      </c>
      <c r="C2530" t="s">
        <v>73</v>
      </c>
      <c r="D2530" t="s">
        <v>16</v>
      </c>
      <c r="E2530" s="9">
        <v>36</v>
      </c>
      <c r="F2530" t="s">
        <v>12</v>
      </c>
      <c r="G2530" t="s">
        <v>13</v>
      </c>
      <c r="H2530" s="7">
        <v>42286</v>
      </c>
      <c r="I2530">
        <v>24177.3</v>
      </c>
      <c r="K2530" s="7"/>
    </row>
    <row r="2531" spans="1:11">
      <c r="A2531">
        <v>100002530</v>
      </c>
      <c r="B2531" t="s">
        <v>74</v>
      </c>
      <c r="C2531" t="s">
        <v>270</v>
      </c>
      <c r="D2531" t="s">
        <v>16</v>
      </c>
      <c r="E2531" s="9">
        <v>39</v>
      </c>
      <c r="F2531" t="s">
        <v>12</v>
      </c>
      <c r="G2531" t="s">
        <v>13</v>
      </c>
      <c r="H2531" s="8">
        <v>42286</v>
      </c>
      <c r="I2531">
        <v>33703.11</v>
      </c>
      <c r="K2531" s="8"/>
    </row>
    <row r="2532" spans="1:11">
      <c r="A2532">
        <v>100002531</v>
      </c>
      <c r="B2532" t="s">
        <v>302</v>
      </c>
      <c r="C2532" t="s">
        <v>132</v>
      </c>
      <c r="D2532" t="s">
        <v>16</v>
      </c>
      <c r="E2532" s="9">
        <v>38</v>
      </c>
      <c r="F2532" t="s">
        <v>12</v>
      </c>
      <c r="G2532" t="s">
        <v>13</v>
      </c>
      <c r="H2532" s="7">
        <v>42286</v>
      </c>
      <c r="I2532">
        <v>35992.01</v>
      </c>
      <c r="K2532" s="7"/>
    </row>
    <row r="2533" spans="1:11">
      <c r="A2533">
        <v>100002532</v>
      </c>
      <c r="B2533" t="s">
        <v>311</v>
      </c>
      <c r="C2533" t="s">
        <v>35</v>
      </c>
      <c r="D2533" t="s">
        <v>11</v>
      </c>
      <c r="E2533" s="9">
        <v>30</v>
      </c>
      <c r="F2533" t="s">
        <v>12</v>
      </c>
      <c r="G2533" t="s">
        <v>13</v>
      </c>
      <c r="H2533" s="8">
        <v>42286</v>
      </c>
      <c r="I2533">
        <v>20362.27</v>
      </c>
      <c r="K2533" s="8"/>
    </row>
    <row r="2534" spans="1:11">
      <c r="A2534">
        <v>200002533</v>
      </c>
      <c r="B2534" t="s">
        <v>312</v>
      </c>
      <c r="C2534" t="s">
        <v>153</v>
      </c>
      <c r="D2534" t="s">
        <v>11</v>
      </c>
      <c r="E2534" s="9">
        <v>47</v>
      </c>
      <c r="F2534" t="s">
        <v>32</v>
      </c>
      <c r="G2534" t="s">
        <v>18</v>
      </c>
      <c r="H2534" s="7">
        <v>42286</v>
      </c>
      <c r="I2534">
        <v>17274.32</v>
      </c>
      <c r="K2534" s="7"/>
    </row>
    <row r="2535" spans="1:11">
      <c r="A2535">
        <v>200002534</v>
      </c>
      <c r="B2535" t="s">
        <v>117</v>
      </c>
      <c r="C2535" t="s">
        <v>305</v>
      </c>
      <c r="D2535" t="s">
        <v>16</v>
      </c>
      <c r="E2535" s="9">
        <v>52</v>
      </c>
      <c r="F2535" t="s">
        <v>32</v>
      </c>
      <c r="G2535" t="s">
        <v>18</v>
      </c>
      <c r="H2535" s="8">
        <v>42286</v>
      </c>
      <c r="I2535">
        <v>34890.300000000003</v>
      </c>
      <c r="K2535" s="8"/>
    </row>
    <row r="2536" spans="1:11">
      <c r="A2536">
        <v>200002535</v>
      </c>
      <c r="B2536" t="s">
        <v>312</v>
      </c>
      <c r="C2536" t="s">
        <v>299</v>
      </c>
      <c r="D2536" t="s">
        <v>11</v>
      </c>
      <c r="E2536" s="9">
        <v>60</v>
      </c>
      <c r="F2536" t="s">
        <v>32</v>
      </c>
      <c r="G2536" t="s">
        <v>18</v>
      </c>
      <c r="H2536" s="7">
        <v>42286</v>
      </c>
      <c r="I2536">
        <v>11663.35</v>
      </c>
      <c r="K2536" s="7"/>
    </row>
    <row r="2537" spans="1:11">
      <c r="A2537">
        <v>200002536</v>
      </c>
      <c r="B2537" t="s">
        <v>273</v>
      </c>
      <c r="C2537" t="s">
        <v>93</v>
      </c>
      <c r="D2537" t="s">
        <v>11</v>
      </c>
      <c r="E2537" s="9">
        <v>54</v>
      </c>
      <c r="F2537" t="s">
        <v>32</v>
      </c>
      <c r="G2537" t="s">
        <v>18</v>
      </c>
      <c r="H2537" s="8">
        <v>42286</v>
      </c>
      <c r="I2537">
        <v>96381.84</v>
      </c>
      <c r="K2537" s="8"/>
    </row>
    <row r="2538" spans="1:11">
      <c r="A2538">
        <v>300002537</v>
      </c>
      <c r="B2538" t="s">
        <v>206</v>
      </c>
      <c r="C2538" t="s">
        <v>167</v>
      </c>
      <c r="D2538" t="s">
        <v>11</v>
      </c>
      <c r="E2538" s="9">
        <v>39</v>
      </c>
      <c r="F2538" t="s">
        <v>23</v>
      </c>
      <c r="G2538" t="s">
        <v>33</v>
      </c>
      <c r="H2538" s="7">
        <v>42286</v>
      </c>
      <c r="I2538">
        <v>3575.21</v>
      </c>
      <c r="K2538" s="7"/>
    </row>
    <row r="2539" spans="1:11">
      <c r="A2539">
        <v>300002538</v>
      </c>
      <c r="B2539" t="s">
        <v>182</v>
      </c>
      <c r="C2539" t="s">
        <v>152</v>
      </c>
      <c r="D2539" t="s">
        <v>16</v>
      </c>
      <c r="E2539" s="9">
        <v>38</v>
      </c>
      <c r="F2539" t="s">
        <v>23</v>
      </c>
      <c r="G2539" t="s">
        <v>13</v>
      </c>
      <c r="H2539" s="8">
        <v>42286</v>
      </c>
      <c r="I2539">
        <v>30345.62</v>
      </c>
      <c r="K2539" s="8"/>
    </row>
    <row r="2540" spans="1:11">
      <c r="A2540">
        <v>300002539</v>
      </c>
      <c r="B2540" t="s">
        <v>264</v>
      </c>
      <c r="C2540" t="s">
        <v>144</v>
      </c>
      <c r="D2540" t="s">
        <v>11</v>
      </c>
      <c r="E2540" s="9">
        <v>35</v>
      </c>
      <c r="F2540" t="s">
        <v>23</v>
      </c>
      <c r="G2540" t="s">
        <v>33</v>
      </c>
      <c r="H2540" s="7">
        <v>42286</v>
      </c>
      <c r="I2540">
        <v>136365.51999999999</v>
      </c>
      <c r="K2540" s="7"/>
    </row>
    <row r="2541" spans="1:11">
      <c r="A2541">
        <v>400002540</v>
      </c>
      <c r="B2541" t="s">
        <v>24</v>
      </c>
      <c r="C2541" t="s">
        <v>183</v>
      </c>
      <c r="D2541" t="s">
        <v>16</v>
      </c>
      <c r="E2541" s="9">
        <v>30</v>
      </c>
      <c r="F2541" t="s">
        <v>17</v>
      </c>
      <c r="G2541" t="s">
        <v>33</v>
      </c>
      <c r="H2541" s="8">
        <v>42286</v>
      </c>
      <c r="I2541">
        <v>60385.3</v>
      </c>
      <c r="K2541" s="8"/>
    </row>
    <row r="2542" spans="1:11">
      <c r="A2542">
        <v>400002541</v>
      </c>
      <c r="B2542" t="s">
        <v>324</v>
      </c>
      <c r="C2542" t="s">
        <v>266</v>
      </c>
      <c r="D2542" t="s">
        <v>16</v>
      </c>
      <c r="E2542" s="9">
        <v>31</v>
      </c>
      <c r="F2542" t="s">
        <v>17</v>
      </c>
      <c r="G2542" t="s">
        <v>13</v>
      </c>
      <c r="H2542" s="7">
        <v>42286</v>
      </c>
      <c r="I2542">
        <v>48247.85</v>
      </c>
      <c r="K2542" s="7"/>
    </row>
    <row r="2543" spans="1:11">
      <c r="A2543">
        <v>100002542</v>
      </c>
      <c r="B2543" t="s">
        <v>51</v>
      </c>
      <c r="C2543" t="s">
        <v>216</v>
      </c>
      <c r="D2543" t="s">
        <v>11</v>
      </c>
      <c r="E2543" s="9">
        <v>37</v>
      </c>
      <c r="F2543" t="s">
        <v>12</v>
      </c>
      <c r="G2543" t="s">
        <v>13</v>
      </c>
      <c r="H2543" s="8">
        <v>42287</v>
      </c>
      <c r="I2543">
        <v>118379.33</v>
      </c>
      <c r="K2543" s="8"/>
    </row>
    <row r="2544" spans="1:11">
      <c r="A2544">
        <v>100002543</v>
      </c>
      <c r="B2544" t="s">
        <v>250</v>
      </c>
      <c r="C2544" t="s">
        <v>310</v>
      </c>
      <c r="D2544" t="s">
        <v>16</v>
      </c>
      <c r="E2544" s="9">
        <v>19</v>
      </c>
      <c r="F2544" t="s">
        <v>12</v>
      </c>
      <c r="G2544" t="s">
        <v>13</v>
      </c>
      <c r="H2544" s="7">
        <v>42287</v>
      </c>
      <c r="I2544">
        <v>37946.239999999998</v>
      </c>
      <c r="K2544" s="7"/>
    </row>
    <row r="2545" spans="1:11">
      <c r="A2545">
        <v>100002544</v>
      </c>
      <c r="B2545" t="s">
        <v>118</v>
      </c>
      <c r="C2545" t="s">
        <v>216</v>
      </c>
      <c r="D2545" t="s">
        <v>11</v>
      </c>
      <c r="E2545" s="9">
        <v>33</v>
      </c>
      <c r="F2545" t="s">
        <v>12</v>
      </c>
      <c r="G2545" t="s">
        <v>18</v>
      </c>
      <c r="H2545" s="8">
        <v>42287</v>
      </c>
      <c r="I2545">
        <v>4706.6899999999996</v>
      </c>
      <c r="K2545" s="8"/>
    </row>
    <row r="2546" spans="1:11">
      <c r="A2546">
        <v>100002545</v>
      </c>
      <c r="B2546" t="s">
        <v>175</v>
      </c>
      <c r="C2546" t="s">
        <v>20</v>
      </c>
      <c r="D2546" t="s">
        <v>11</v>
      </c>
      <c r="E2546" s="9">
        <v>36</v>
      </c>
      <c r="F2546" t="s">
        <v>12</v>
      </c>
      <c r="G2546" t="s">
        <v>13</v>
      </c>
      <c r="H2546" s="7">
        <v>42287</v>
      </c>
      <c r="I2546">
        <v>41643.519999999997</v>
      </c>
      <c r="K2546" s="7"/>
    </row>
    <row r="2547" spans="1:11">
      <c r="A2547">
        <v>100002546</v>
      </c>
      <c r="B2547" t="s">
        <v>122</v>
      </c>
      <c r="C2547" t="s">
        <v>29</v>
      </c>
      <c r="D2547" t="s">
        <v>11</v>
      </c>
      <c r="E2547" s="9">
        <v>48</v>
      </c>
      <c r="F2547" t="s">
        <v>12</v>
      </c>
      <c r="G2547" t="s">
        <v>33</v>
      </c>
      <c r="H2547" s="8">
        <v>42287</v>
      </c>
      <c r="I2547">
        <v>39445.699999999997</v>
      </c>
      <c r="K2547" s="8"/>
    </row>
    <row r="2548" spans="1:11">
      <c r="A2548">
        <v>100002547</v>
      </c>
      <c r="B2548" t="s">
        <v>220</v>
      </c>
      <c r="C2548" t="s">
        <v>248</v>
      </c>
      <c r="D2548" t="s">
        <v>16</v>
      </c>
      <c r="E2548" s="9">
        <v>25</v>
      </c>
      <c r="F2548" t="s">
        <v>12</v>
      </c>
      <c r="G2548" t="s">
        <v>13</v>
      </c>
      <c r="H2548" s="7">
        <v>42287</v>
      </c>
      <c r="I2548">
        <v>41415.129999999997</v>
      </c>
      <c r="K2548" s="7"/>
    </row>
    <row r="2549" spans="1:11">
      <c r="A2549">
        <v>200002548</v>
      </c>
      <c r="B2549" t="s">
        <v>207</v>
      </c>
      <c r="C2549" t="s">
        <v>216</v>
      </c>
      <c r="D2549" t="s">
        <v>11</v>
      </c>
      <c r="E2549" s="9">
        <v>52</v>
      </c>
      <c r="F2549" t="s">
        <v>32</v>
      </c>
      <c r="G2549" t="s">
        <v>18</v>
      </c>
      <c r="H2549" s="8">
        <v>42287</v>
      </c>
      <c r="I2549">
        <v>34118.28</v>
      </c>
      <c r="K2549" s="8"/>
    </row>
    <row r="2550" spans="1:11">
      <c r="A2550">
        <v>300002549</v>
      </c>
      <c r="B2550" t="s">
        <v>303</v>
      </c>
      <c r="C2550" t="s">
        <v>93</v>
      </c>
      <c r="D2550" t="s">
        <v>11</v>
      </c>
      <c r="E2550" s="9">
        <v>39</v>
      </c>
      <c r="F2550" t="s">
        <v>23</v>
      </c>
      <c r="G2550" t="s">
        <v>13</v>
      </c>
      <c r="H2550" s="7">
        <v>42287</v>
      </c>
      <c r="I2550">
        <v>28142.18</v>
      </c>
      <c r="K2550" s="7"/>
    </row>
    <row r="2551" spans="1:11">
      <c r="A2551">
        <v>400002550</v>
      </c>
      <c r="B2551" t="s">
        <v>268</v>
      </c>
      <c r="C2551" t="s">
        <v>253</v>
      </c>
      <c r="D2551" t="s">
        <v>16</v>
      </c>
      <c r="E2551" s="9">
        <v>23</v>
      </c>
      <c r="F2551" t="s">
        <v>17</v>
      </c>
      <c r="G2551" t="s">
        <v>33</v>
      </c>
      <c r="H2551" s="8">
        <v>42287</v>
      </c>
      <c r="I2551">
        <v>55821.07</v>
      </c>
      <c r="K2551" s="8"/>
    </row>
    <row r="2552" spans="1:11">
      <c r="A2552">
        <v>400002551</v>
      </c>
      <c r="B2552" t="s">
        <v>131</v>
      </c>
      <c r="C2552" t="s">
        <v>78</v>
      </c>
      <c r="D2552" t="s">
        <v>16</v>
      </c>
      <c r="E2552" s="9">
        <v>43</v>
      </c>
      <c r="F2552" t="s">
        <v>17</v>
      </c>
      <c r="G2552" t="s">
        <v>33</v>
      </c>
      <c r="H2552" s="7">
        <v>42287</v>
      </c>
      <c r="I2552">
        <v>29990.71</v>
      </c>
      <c r="K2552" s="7"/>
    </row>
    <row r="2553" spans="1:11">
      <c r="A2553">
        <v>100002552</v>
      </c>
      <c r="B2553" t="s">
        <v>74</v>
      </c>
      <c r="C2553" t="s">
        <v>95</v>
      </c>
      <c r="D2553" t="s">
        <v>16</v>
      </c>
      <c r="E2553" s="9">
        <v>24</v>
      </c>
      <c r="F2553" t="s">
        <v>12</v>
      </c>
      <c r="G2553" t="s">
        <v>13</v>
      </c>
      <c r="H2553" s="8">
        <v>42288</v>
      </c>
      <c r="I2553">
        <v>27806.65</v>
      </c>
      <c r="K2553" s="8"/>
    </row>
    <row r="2554" spans="1:11">
      <c r="A2554">
        <v>100002553</v>
      </c>
      <c r="B2554" t="s">
        <v>276</v>
      </c>
      <c r="C2554" t="s">
        <v>138</v>
      </c>
      <c r="D2554" t="s">
        <v>16</v>
      </c>
      <c r="E2554" s="9">
        <v>31</v>
      </c>
      <c r="F2554" t="s">
        <v>12</v>
      </c>
      <c r="G2554" t="s">
        <v>13</v>
      </c>
      <c r="H2554" s="7">
        <v>42288</v>
      </c>
      <c r="I2554">
        <v>5062.51</v>
      </c>
      <c r="K2554" s="7"/>
    </row>
    <row r="2555" spans="1:11">
      <c r="A2555">
        <v>100002554</v>
      </c>
      <c r="B2555" t="s">
        <v>36</v>
      </c>
      <c r="C2555" t="s">
        <v>230</v>
      </c>
      <c r="D2555" t="s">
        <v>11</v>
      </c>
      <c r="E2555" s="9">
        <v>24</v>
      </c>
      <c r="F2555" t="s">
        <v>12</v>
      </c>
      <c r="G2555" t="s">
        <v>18</v>
      </c>
      <c r="H2555" s="8">
        <v>42288</v>
      </c>
      <c r="I2555">
        <v>5396.97</v>
      </c>
      <c r="K2555" s="8"/>
    </row>
    <row r="2556" spans="1:11">
      <c r="A2556">
        <v>100002555</v>
      </c>
      <c r="B2556" t="s">
        <v>28</v>
      </c>
      <c r="C2556" t="s">
        <v>187</v>
      </c>
      <c r="D2556" t="s">
        <v>16</v>
      </c>
      <c r="E2556" s="9">
        <v>31</v>
      </c>
      <c r="F2556" t="s">
        <v>12</v>
      </c>
      <c r="G2556" t="s">
        <v>13</v>
      </c>
      <c r="H2556" s="7">
        <v>42288</v>
      </c>
      <c r="I2556">
        <v>87684.33</v>
      </c>
      <c r="K2556" s="7"/>
    </row>
    <row r="2557" spans="1:11">
      <c r="A2557">
        <v>100002556</v>
      </c>
      <c r="B2557" t="s">
        <v>171</v>
      </c>
      <c r="C2557" t="s">
        <v>252</v>
      </c>
      <c r="D2557" t="s">
        <v>16</v>
      </c>
      <c r="E2557" s="9">
        <v>29</v>
      </c>
      <c r="F2557" t="s">
        <v>12</v>
      </c>
      <c r="G2557" t="s">
        <v>13</v>
      </c>
      <c r="H2557" s="8">
        <v>42288</v>
      </c>
      <c r="I2557">
        <v>9622.64</v>
      </c>
      <c r="K2557" s="8"/>
    </row>
    <row r="2558" spans="1:11">
      <c r="A2558">
        <v>100002557</v>
      </c>
      <c r="B2558" t="s">
        <v>251</v>
      </c>
      <c r="C2558" t="s">
        <v>43</v>
      </c>
      <c r="D2558" t="s">
        <v>16</v>
      </c>
      <c r="E2558" s="9">
        <v>25</v>
      </c>
      <c r="F2558" t="s">
        <v>12</v>
      </c>
      <c r="G2558" t="s">
        <v>13</v>
      </c>
      <c r="H2558" s="7">
        <v>42288</v>
      </c>
      <c r="I2558">
        <v>20412.43</v>
      </c>
      <c r="K2558" s="7"/>
    </row>
    <row r="2559" spans="1:11">
      <c r="A2559">
        <v>100002558</v>
      </c>
      <c r="B2559" t="s">
        <v>147</v>
      </c>
      <c r="C2559" t="s">
        <v>15</v>
      </c>
      <c r="D2559" t="s">
        <v>11</v>
      </c>
      <c r="E2559" s="9">
        <v>30</v>
      </c>
      <c r="F2559" t="s">
        <v>12</v>
      </c>
      <c r="G2559" t="s">
        <v>13</v>
      </c>
      <c r="H2559" s="8">
        <v>42288</v>
      </c>
      <c r="I2559">
        <v>23025.61</v>
      </c>
      <c r="K2559" s="8"/>
    </row>
    <row r="2560" spans="1:11">
      <c r="A2560">
        <v>100002559</v>
      </c>
      <c r="B2560" t="s">
        <v>249</v>
      </c>
      <c r="C2560" t="s">
        <v>98</v>
      </c>
      <c r="D2560" t="s">
        <v>16</v>
      </c>
      <c r="E2560" s="9">
        <v>32</v>
      </c>
      <c r="F2560" t="s">
        <v>12</v>
      </c>
      <c r="G2560" t="s">
        <v>13</v>
      </c>
      <c r="H2560" s="7">
        <v>42288</v>
      </c>
      <c r="I2560">
        <v>31476.35</v>
      </c>
      <c r="K2560" s="7"/>
    </row>
    <row r="2561" spans="1:11">
      <c r="A2561">
        <v>100002560</v>
      </c>
      <c r="B2561" t="s">
        <v>303</v>
      </c>
      <c r="C2561" t="s">
        <v>103</v>
      </c>
      <c r="D2561" t="s">
        <v>11</v>
      </c>
      <c r="E2561" s="9">
        <v>29</v>
      </c>
      <c r="F2561" t="s">
        <v>12</v>
      </c>
      <c r="G2561" t="s">
        <v>13</v>
      </c>
      <c r="H2561" s="8">
        <v>42288</v>
      </c>
      <c r="I2561">
        <v>11246.02</v>
      </c>
      <c r="K2561" s="8"/>
    </row>
    <row r="2562" spans="1:11">
      <c r="A2562">
        <v>100002561</v>
      </c>
      <c r="B2562" t="s">
        <v>34</v>
      </c>
      <c r="C2562" t="s">
        <v>138</v>
      </c>
      <c r="D2562" t="s">
        <v>16</v>
      </c>
      <c r="E2562" s="9">
        <v>21</v>
      </c>
      <c r="F2562" t="s">
        <v>12</v>
      </c>
      <c r="G2562" t="s">
        <v>13</v>
      </c>
      <c r="H2562" s="7">
        <v>42288</v>
      </c>
      <c r="I2562">
        <v>14599.55</v>
      </c>
      <c r="K2562" s="7"/>
    </row>
    <row r="2563" spans="1:11">
      <c r="A2563">
        <v>100002562</v>
      </c>
      <c r="B2563" t="s">
        <v>46</v>
      </c>
      <c r="C2563" t="s">
        <v>167</v>
      </c>
      <c r="D2563" t="s">
        <v>11</v>
      </c>
      <c r="E2563" s="9">
        <v>48</v>
      </c>
      <c r="F2563" t="s">
        <v>12</v>
      </c>
      <c r="G2563" t="s">
        <v>13</v>
      </c>
      <c r="H2563" s="8">
        <v>42288</v>
      </c>
      <c r="I2563">
        <v>3961.9</v>
      </c>
      <c r="K2563" s="8"/>
    </row>
    <row r="2564" spans="1:11">
      <c r="A2564">
        <v>200002563</v>
      </c>
      <c r="B2564" t="s">
        <v>84</v>
      </c>
      <c r="C2564" t="s">
        <v>157</v>
      </c>
      <c r="D2564" t="s">
        <v>16</v>
      </c>
      <c r="E2564" s="9">
        <v>59</v>
      </c>
      <c r="F2564" t="s">
        <v>32</v>
      </c>
      <c r="G2564" t="s">
        <v>13</v>
      </c>
      <c r="H2564" s="7">
        <v>42288</v>
      </c>
      <c r="I2564">
        <v>28221.97</v>
      </c>
      <c r="K2564" s="7"/>
    </row>
    <row r="2565" spans="1:11">
      <c r="A2565">
        <v>200002564</v>
      </c>
      <c r="B2565" t="s">
        <v>97</v>
      </c>
      <c r="C2565" t="s">
        <v>239</v>
      </c>
      <c r="D2565" t="s">
        <v>16</v>
      </c>
      <c r="E2565" s="9">
        <v>54</v>
      </c>
      <c r="F2565" t="s">
        <v>32</v>
      </c>
      <c r="G2565" t="s">
        <v>33</v>
      </c>
      <c r="H2565" s="8">
        <v>42288</v>
      </c>
      <c r="I2565">
        <v>40691.519999999997</v>
      </c>
      <c r="K2565" s="8"/>
    </row>
    <row r="2566" spans="1:11">
      <c r="A2566">
        <v>200002565</v>
      </c>
      <c r="B2566" t="s">
        <v>145</v>
      </c>
      <c r="C2566" t="s">
        <v>134</v>
      </c>
      <c r="D2566" t="s">
        <v>11</v>
      </c>
      <c r="E2566" s="9">
        <v>50</v>
      </c>
      <c r="F2566" t="s">
        <v>32</v>
      </c>
      <c r="G2566" t="s">
        <v>18</v>
      </c>
      <c r="H2566" s="7">
        <v>42288</v>
      </c>
      <c r="I2566">
        <v>34772.99</v>
      </c>
      <c r="K2566" s="7"/>
    </row>
    <row r="2567" spans="1:11">
      <c r="A2567">
        <v>300002566</v>
      </c>
      <c r="B2567" t="s">
        <v>51</v>
      </c>
      <c r="C2567" t="s">
        <v>123</v>
      </c>
      <c r="D2567" t="s">
        <v>11</v>
      </c>
      <c r="E2567" s="9">
        <v>30</v>
      </c>
      <c r="F2567" t="s">
        <v>23</v>
      </c>
      <c r="G2567" t="s">
        <v>18</v>
      </c>
      <c r="H2567" s="8">
        <v>42288</v>
      </c>
      <c r="I2567">
        <v>42008.82</v>
      </c>
      <c r="K2567" s="8"/>
    </row>
    <row r="2568" spans="1:11">
      <c r="A2568">
        <v>300002567</v>
      </c>
      <c r="B2568" t="s">
        <v>220</v>
      </c>
      <c r="C2568" t="s">
        <v>132</v>
      </c>
      <c r="D2568" t="s">
        <v>16</v>
      </c>
      <c r="E2568" s="9">
        <v>46</v>
      </c>
      <c r="F2568" t="s">
        <v>23</v>
      </c>
      <c r="G2568" t="s">
        <v>13</v>
      </c>
      <c r="H2568" s="7">
        <v>42288</v>
      </c>
      <c r="I2568">
        <v>54711.28</v>
      </c>
      <c r="K2568" s="7"/>
    </row>
    <row r="2569" spans="1:11">
      <c r="A2569">
        <v>300002568</v>
      </c>
      <c r="B2569" t="s">
        <v>55</v>
      </c>
      <c r="C2569" t="s">
        <v>78</v>
      </c>
      <c r="D2569" t="s">
        <v>11</v>
      </c>
      <c r="E2569" s="9">
        <v>27</v>
      </c>
      <c r="F2569" t="s">
        <v>23</v>
      </c>
      <c r="G2569" t="s">
        <v>13</v>
      </c>
      <c r="H2569" s="8">
        <v>42288</v>
      </c>
      <c r="I2569">
        <v>99502.56</v>
      </c>
      <c r="K2569" s="8"/>
    </row>
    <row r="2570" spans="1:11">
      <c r="A2570">
        <v>400002569</v>
      </c>
      <c r="B2570" t="s">
        <v>283</v>
      </c>
      <c r="C2570" t="s">
        <v>125</v>
      </c>
      <c r="D2570" t="s">
        <v>11</v>
      </c>
      <c r="E2570" s="9">
        <v>28</v>
      </c>
      <c r="F2570" t="s">
        <v>17</v>
      </c>
      <c r="G2570" t="s">
        <v>18</v>
      </c>
      <c r="H2570" s="7">
        <v>42288</v>
      </c>
      <c r="I2570">
        <v>33551.51</v>
      </c>
      <c r="K2570" s="7"/>
    </row>
    <row r="2571" spans="1:11">
      <c r="A2571">
        <v>100002570</v>
      </c>
      <c r="B2571" t="s">
        <v>122</v>
      </c>
      <c r="C2571" t="s">
        <v>201</v>
      </c>
      <c r="D2571" t="s">
        <v>11</v>
      </c>
      <c r="E2571" s="9">
        <v>39</v>
      </c>
      <c r="F2571" t="s">
        <v>12</v>
      </c>
      <c r="G2571" t="s">
        <v>13</v>
      </c>
      <c r="H2571" s="8">
        <v>42289</v>
      </c>
      <c r="I2571">
        <v>53388.21</v>
      </c>
      <c r="K2571" s="8"/>
    </row>
    <row r="2572" spans="1:11">
      <c r="A2572">
        <v>100002571</v>
      </c>
      <c r="B2572" t="s">
        <v>175</v>
      </c>
      <c r="C2572" t="s">
        <v>225</v>
      </c>
      <c r="D2572" t="s">
        <v>11</v>
      </c>
      <c r="E2572" s="9">
        <v>41</v>
      </c>
      <c r="F2572" t="s">
        <v>12</v>
      </c>
      <c r="G2572" t="s">
        <v>13</v>
      </c>
      <c r="H2572" s="7">
        <v>42289</v>
      </c>
      <c r="I2572">
        <v>14800.36</v>
      </c>
      <c r="K2572" s="7"/>
    </row>
    <row r="2573" spans="1:11">
      <c r="A2573">
        <v>100002572</v>
      </c>
      <c r="B2573" t="s">
        <v>28</v>
      </c>
      <c r="C2573" t="s">
        <v>27</v>
      </c>
      <c r="D2573" t="s">
        <v>16</v>
      </c>
      <c r="E2573" s="9">
        <v>32</v>
      </c>
      <c r="F2573" t="s">
        <v>12</v>
      </c>
      <c r="G2573" t="s">
        <v>13</v>
      </c>
      <c r="H2573" s="8">
        <v>42289</v>
      </c>
      <c r="I2573">
        <v>89329.33</v>
      </c>
      <c r="K2573" s="8"/>
    </row>
    <row r="2574" spans="1:11">
      <c r="A2574">
        <v>100002573</v>
      </c>
      <c r="B2574" t="s">
        <v>173</v>
      </c>
      <c r="C2574" t="s">
        <v>109</v>
      </c>
      <c r="D2574" t="s">
        <v>11</v>
      </c>
      <c r="E2574" s="9">
        <v>32</v>
      </c>
      <c r="F2574" t="s">
        <v>12</v>
      </c>
      <c r="G2574" t="s">
        <v>13</v>
      </c>
      <c r="H2574" s="7">
        <v>42289</v>
      </c>
      <c r="I2574">
        <v>44978.01</v>
      </c>
      <c r="K2574" s="7"/>
    </row>
    <row r="2575" spans="1:11">
      <c r="A2575">
        <v>100002574</v>
      </c>
      <c r="B2575" t="s">
        <v>120</v>
      </c>
      <c r="C2575" t="s">
        <v>109</v>
      </c>
      <c r="D2575" t="s">
        <v>16</v>
      </c>
      <c r="E2575" s="9">
        <v>34</v>
      </c>
      <c r="F2575" t="s">
        <v>12</v>
      </c>
      <c r="G2575" t="s">
        <v>13</v>
      </c>
      <c r="H2575" s="8">
        <v>42289</v>
      </c>
      <c r="I2575">
        <v>51621.8</v>
      </c>
      <c r="K2575" s="8"/>
    </row>
    <row r="2576" spans="1:11">
      <c r="A2576">
        <v>100002575</v>
      </c>
      <c r="B2576" t="s">
        <v>208</v>
      </c>
      <c r="C2576" t="s">
        <v>41</v>
      </c>
      <c r="D2576" t="s">
        <v>11</v>
      </c>
      <c r="E2576" s="9">
        <v>31</v>
      </c>
      <c r="F2576" t="s">
        <v>12</v>
      </c>
      <c r="G2576" t="s">
        <v>13</v>
      </c>
      <c r="H2576" s="7">
        <v>42289</v>
      </c>
      <c r="I2576">
        <v>26913.26</v>
      </c>
      <c r="K2576" s="7"/>
    </row>
    <row r="2577" spans="1:11">
      <c r="A2577">
        <v>100002576</v>
      </c>
      <c r="B2577" t="s">
        <v>26</v>
      </c>
      <c r="C2577" t="s">
        <v>151</v>
      </c>
      <c r="D2577" t="s">
        <v>16</v>
      </c>
      <c r="E2577" s="9">
        <v>39</v>
      </c>
      <c r="F2577" t="s">
        <v>12</v>
      </c>
      <c r="G2577" t="s">
        <v>18</v>
      </c>
      <c r="H2577" s="8">
        <v>42289</v>
      </c>
      <c r="I2577">
        <v>21924.560000000001</v>
      </c>
      <c r="K2577" s="8"/>
    </row>
    <row r="2578" spans="1:11">
      <c r="A2578">
        <v>100002577</v>
      </c>
      <c r="B2578" t="s">
        <v>316</v>
      </c>
      <c r="C2578" t="s">
        <v>241</v>
      </c>
      <c r="D2578" t="s">
        <v>16</v>
      </c>
      <c r="E2578" s="9">
        <v>37</v>
      </c>
      <c r="F2578" t="s">
        <v>12</v>
      </c>
      <c r="G2578" t="s">
        <v>13</v>
      </c>
      <c r="H2578" s="7">
        <v>42289</v>
      </c>
      <c r="I2578">
        <v>47843.83</v>
      </c>
      <c r="K2578" s="7"/>
    </row>
    <row r="2579" spans="1:11">
      <c r="A2579">
        <v>100002578</v>
      </c>
      <c r="B2579" t="s">
        <v>120</v>
      </c>
      <c r="C2579" t="s">
        <v>108</v>
      </c>
      <c r="D2579" t="s">
        <v>16</v>
      </c>
      <c r="E2579" s="9">
        <v>40</v>
      </c>
      <c r="F2579" t="s">
        <v>12</v>
      </c>
      <c r="G2579" t="s">
        <v>13</v>
      </c>
      <c r="H2579" s="8">
        <v>42289</v>
      </c>
      <c r="I2579">
        <v>1949.08</v>
      </c>
      <c r="K2579" s="8"/>
    </row>
    <row r="2580" spans="1:11">
      <c r="A2580">
        <v>200002579</v>
      </c>
      <c r="B2580" t="s">
        <v>293</v>
      </c>
      <c r="C2580" t="s">
        <v>195</v>
      </c>
      <c r="D2580" t="s">
        <v>11</v>
      </c>
      <c r="E2580" s="9">
        <v>46</v>
      </c>
      <c r="F2580" t="s">
        <v>32</v>
      </c>
      <c r="G2580" t="s">
        <v>18</v>
      </c>
      <c r="H2580" s="7">
        <v>42289</v>
      </c>
      <c r="I2580">
        <v>94688.11</v>
      </c>
      <c r="K2580" s="7"/>
    </row>
    <row r="2581" spans="1:11">
      <c r="A2581">
        <v>200002580</v>
      </c>
      <c r="B2581" t="s">
        <v>188</v>
      </c>
      <c r="C2581" t="s">
        <v>225</v>
      </c>
      <c r="D2581" t="s">
        <v>11</v>
      </c>
      <c r="E2581" s="9">
        <v>61</v>
      </c>
      <c r="F2581" t="s">
        <v>32</v>
      </c>
      <c r="G2581" t="s">
        <v>33</v>
      </c>
      <c r="H2581" s="8">
        <v>42289</v>
      </c>
      <c r="I2581">
        <v>42472.71</v>
      </c>
      <c r="K2581" s="8"/>
    </row>
    <row r="2582" spans="1:11">
      <c r="A2582">
        <v>200002581</v>
      </c>
      <c r="B2582" t="s">
        <v>202</v>
      </c>
      <c r="C2582" t="s">
        <v>163</v>
      </c>
      <c r="D2582" t="s">
        <v>11</v>
      </c>
      <c r="E2582" s="9">
        <v>44</v>
      </c>
      <c r="F2582" t="s">
        <v>32</v>
      </c>
      <c r="G2582" t="s">
        <v>18</v>
      </c>
      <c r="H2582" s="7">
        <v>42289</v>
      </c>
      <c r="I2582">
        <v>23676.9</v>
      </c>
      <c r="K2582" s="7"/>
    </row>
    <row r="2583" spans="1:11">
      <c r="A2583">
        <v>300002582</v>
      </c>
      <c r="B2583" t="s">
        <v>176</v>
      </c>
      <c r="C2583" t="s">
        <v>123</v>
      </c>
      <c r="D2583" t="s">
        <v>16</v>
      </c>
      <c r="E2583" s="9">
        <v>23</v>
      </c>
      <c r="F2583" t="s">
        <v>23</v>
      </c>
      <c r="G2583" t="s">
        <v>13</v>
      </c>
      <c r="H2583" s="8">
        <v>42289</v>
      </c>
      <c r="I2583">
        <v>65640.070000000007</v>
      </c>
      <c r="K2583" s="8"/>
    </row>
    <row r="2584" spans="1:11">
      <c r="A2584">
        <v>300002583</v>
      </c>
      <c r="B2584" t="s">
        <v>323</v>
      </c>
      <c r="C2584" t="s">
        <v>269</v>
      </c>
      <c r="D2584" t="s">
        <v>16</v>
      </c>
      <c r="E2584" s="9">
        <v>36</v>
      </c>
      <c r="F2584" t="s">
        <v>23</v>
      </c>
      <c r="G2584" t="s">
        <v>13</v>
      </c>
      <c r="H2584" s="7">
        <v>42289</v>
      </c>
      <c r="I2584">
        <v>35852.79</v>
      </c>
      <c r="K2584" s="7"/>
    </row>
    <row r="2585" spans="1:11">
      <c r="A2585">
        <v>300002584</v>
      </c>
      <c r="B2585" t="s">
        <v>83</v>
      </c>
      <c r="C2585" t="s">
        <v>160</v>
      </c>
      <c r="D2585" t="s">
        <v>16</v>
      </c>
      <c r="E2585" s="9">
        <v>32</v>
      </c>
      <c r="F2585" t="s">
        <v>23</v>
      </c>
      <c r="G2585" t="s">
        <v>13</v>
      </c>
      <c r="H2585" s="8">
        <v>42289</v>
      </c>
      <c r="I2585">
        <v>51208.53</v>
      </c>
      <c r="K2585" s="8"/>
    </row>
    <row r="2586" spans="1:11">
      <c r="A2586">
        <v>400002585</v>
      </c>
      <c r="B2586" t="s">
        <v>265</v>
      </c>
      <c r="C2586" t="s">
        <v>258</v>
      </c>
      <c r="D2586" t="s">
        <v>16</v>
      </c>
      <c r="E2586" s="9">
        <v>29</v>
      </c>
      <c r="F2586" t="s">
        <v>17</v>
      </c>
      <c r="G2586" t="s">
        <v>18</v>
      </c>
      <c r="H2586" s="7">
        <v>42289</v>
      </c>
      <c r="I2586">
        <v>13733.52</v>
      </c>
      <c r="K2586" s="7"/>
    </row>
    <row r="2587" spans="1:11">
      <c r="A2587">
        <v>100002586</v>
      </c>
      <c r="B2587" t="s">
        <v>324</v>
      </c>
      <c r="C2587" t="s">
        <v>155</v>
      </c>
      <c r="D2587" t="s">
        <v>16</v>
      </c>
      <c r="E2587" s="9">
        <v>43</v>
      </c>
      <c r="F2587" t="s">
        <v>12</v>
      </c>
      <c r="G2587" t="s">
        <v>13</v>
      </c>
      <c r="H2587" s="8">
        <v>42290</v>
      </c>
      <c r="I2587">
        <v>14523.72</v>
      </c>
      <c r="K2587" s="8"/>
    </row>
    <row r="2588" spans="1:11">
      <c r="A2588">
        <v>100002587</v>
      </c>
      <c r="B2588" t="s">
        <v>283</v>
      </c>
      <c r="C2588" t="s">
        <v>91</v>
      </c>
      <c r="D2588" t="s">
        <v>11</v>
      </c>
      <c r="E2588" s="9">
        <v>33</v>
      </c>
      <c r="F2588" t="s">
        <v>12</v>
      </c>
      <c r="G2588" t="s">
        <v>13</v>
      </c>
      <c r="H2588" s="7">
        <v>42290</v>
      </c>
      <c r="I2588">
        <v>9987.42</v>
      </c>
      <c r="K2588" s="7"/>
    </row>
    <row r="2589" spans="1:11">
      <c r="A2589">
        <v>100002588</v>
      </c>
      <c r="B2589" t="s">
        <v>165</v>
      </c>
      <c r="C2589" t="s">
        <v>54</v>
      </c>
      <c r="D2589" t="s">
        <v>16</v>
      </c>
      <c r="E2589" s="9">
        <v>39</v>
      </c>
      <c r="F2589" t="s">
        <v>12</v>
      </c>
      <c r="G2589" t="s">
        <v>13</v>
      </c>
      <c r="H2589" s="8">
        <v>42290</v>
      </c>
      <c r="I2589">
        <v>62902.54</v>
      </c>
      <c r="K2589" s="8"/>
    </row>
    <row r="2590" spans="1:11">
      <c r="A2590">
        <v>100002589</v>
      </c>
      <c r="B2590" t="s">
        <v>232</v>
      </c>
      <c r="C2590" t="s">
        <v>129</v>
      </c>
      <c r="D2590" t="s">
        <v>16</v>
      </c>
      <c r="E2590" s="9">
        <v>41</v>
      </c>
      <c r="F2590" t="s">
        <v>12</v>
      </c>
      <c r="G2590" t="s">
        <v>18</v>
      </c>
      <c r="H2590" s="7">
        <v>42290</v>
      </c>
      <c r="I2590">
        <v>45505.77</v>
      </c>
      <c r="K2590" s="7"/>
    </row>
    <row r="2591" spans="1:11">
      <c r="A2591">
        <v>100002590</v>
      </c>
      <c r="B2591" t="s">
        <v>173</v>
      </c>
      <c r="C2591" t="s">
        <v>61</v>
      </c>
      <c r="D2591" t="s">
        <v>11</v>
      </c>
      <c r="E2591" s="9">
        <v>35</v>
      </c>
      <c r="F2591" t="s">
        <v>12</v>
      </c>
      <c r="G2591" t="s">
        <v>13</v>
      </c>
      <c r="H2591" s="8">
        <v>42290</v>
      </c>
      <c r="I2591">
        <v>76480.41</v>
      </c>
      <c r="K2591" s="8"/>
    </row>
    <row r="2592" spans="1:11">
      <c r="A2592">
        <v>100002591</v>
      </c>
      <c r="B2592" t="s">
        <v>263</v>
      </c>
      <c r="C2592" t="s">
        <v>288</v>
      </c>
      <c r="D2592" t="s">
        <v>16</v>
      </c>
      <c r="E2592" s="9">
        <v>30</v>
      </c>
      <c r="F2592" t="s">
        <v>12</v>
      </c>
      <c r="G2592" t="s">
        <v>18</v>
      </c>
      <c r="H2592" s="7">
        <v>42290</v>
      </c>
      <c r="I2592">
        <v>27944.23</v>
      </c>
      <c r="K2592" s="7"/>
    </row>
    <row r="2593" spans="1:11">
      <c r="A2593">
        <v>100002592</v>
      </c>
      <c r="B2593" t="s">
        <v>251</v>
      </c>
      <c r="C2593" t="s">
        <v>241</v>
      </c>
      <c r="D2593" t="s">
        <v>16</v>
      </c>
      <c r="E2593" s="9">
        <v>34</v>
      </c>
      <c r="F2593" t="s">
        <v>12</v>
      </c>
      <c r="G2593" t="s">
        <v>13</v>
      </c>
      <c r="H2593" s="8">
        <v>42290</v>
      </c>
      <c r="I2593">
        <v>17928.419999999998</v>
      </c>
      <c r="K2593" s="8"/>
    </row>
    <row r="2594" spans="1:11">
      <c r="A2594">
        <v>100002593</v>
      </c>
      <c r="B2594" t="s">
        <v>320</v>
      </c>
      <c r="C2594" t="s">
        <v>315</v>
      </c>
      <c r="D2594" t="s">
        <v>16</v>
      </c>
      <c r="E2594" s="9">
        <v>35</v>
      </c>
      <c r="F2594" t="s">
        <v>12</v>
      </c>
      <c r="G2594" t="s">
        <v>13</v>
      </c>
      <c r="H2594" s="7">
        <v>42290</v>
      </c>
      <c r="I2594">
        <v>2120.44</v>
      </c>
      <c r="K2594" s="7"/>
    </row>
    <row r="2595" spans="1:11">
      <c r="A2595">
        <v>100002594</v>
      </c>
      <c r="B2595" t="s">
        <v>89</v>
      </c>
      <c r="C2595" t="s">
        <v>210</v>
      </c>
      <c r="D2595" t="s">
        <v>11</v>
      </c>
      <c r="E2595" s="9">
        <v>34</v>
      </c>
      <c r="F2595" t="s">
        <v>12</v>
      </c>
      <c r="G2595" t="s">
        <v>13</v>
      </c>
      <c r="H2595" s="8">
        <v>42290</v>
      </c>
      <c r="I2595">
        <v>17007.150000000001</v>
      </c>
      <c r="K2595" s="8"/>
    </row>
    <row r="2596" spans="1:11">
      <c r="A2596">
        <v>100002595</v>
      </c>
      <c r="B2596" t="s">
        <v>229</v>
      </c>
      <c r="C2596" t="s">
        <v>212</v>
      </c>
      <c r="D2596" t="s">
        <v>16</v>
      </c>
      <c r="E2596" s="9">
        <v>24</v>
      </c>
      <c r="F2596" t="s">
        <v>12</v>
      </c>
      <c r="G2596" t="s">
        <v>13</v>
      </c>
      <c r="H2596" s="7">
        <v>42290</v>
      </c>
      <c r="I2596">
        <v>2590.6</v>
      </c>
      <c r="K2596" s="7"/>
    </row>
    <row r="2597" spans="1:11">
      <c r="A2597">
        <v>100002596</v>
      </c>
      <c r="B2597" t="s">
        <v>81</v>
      </c>
      <c r="C2597" t="s">
        <v>153</v>
      </c>
      <c r="D2597" t="s">
        <v>16</v>
      </c>
      <c r="E2597" s="9">
        <v>32</v>
      </c>
      <c r="F2597" t="s">
        <v>12</v>
      </c>
      <c r="G2597" t="s">
        <v>13</v>
      </c>
      <c r="H2597" s="8">
        <v>42290</v>
      </c>
      <c r="I2597">
        <v>27985.759999999998</v>
      </c>
      <c r="K2597" s="8"/>
    </row>
    <row r="2598" spans="1:11">
      <c r="A2598">
        <v>200002597</v>
      </c>
      <c r="B2598" t="s">
        <v>245</v>
      </c>
      <c r="C2598" t="s">
        <v>219</v>
      </c>
      <c r="D2598" t="s">
        <v>11</v>
      </c>
      <c r="E2598" s="9">
        <v>43</v>
      </c>
      <c r="F2598" t="s">
        <v>32</v>
      </c>
      <c r="G2598" t="s">
        <v>33</v>
      </c>
      <c r="H2598" s="7">
        <v>42290</v>
      </c>
      <c r="I2598">
        <v>9546.56</v>
      </c>
      <c r="K2598" s="7"/>
    </row>
    <row r="2599" spans="1:11">
      <c r="A2599">
        <v>200002598</v>
      </c>
      <c r="B2599" t="s">
        <v>206</v>
      </c>
      <c r="C2599" t="s">
        <v>87</v>
      </c>
      <c r="D2599" t="s">
        <v>11</v>
      </c>
      <c r="E2599" s="9">
        <v>52</v>
      </c>
      <c r="F2599" t="s">
        <v>32</v>
      </c>
      <c r="G2599" t="s">
        <v>33</v>
      </c>
      <c r="H2599" s="8">
        <v>42290</v>
      </c>
      <c r="I2599">
        <v>45992.160000000003</v>
      </c>
      <c r="K2599" s="8"/>
    </row>
    <row r="2600" spans="1:11">
      <c r="A2600">
        <v>200002599</v>
      </c>
      <c r="B2600" t="s">
        <v>296</v>
      </c>
      <c r="C2600" t="s">
        <v>130</v>
      </c>
      <c r="D2600" t="s">
        <v>11</v>
      </c>
      <c r="E2600" s="9">
        <v>51</v>
      </c>
      <c r="F2600" t="s">
        <v>32</v>
      </c>
      <c r="G2600" t="s">
        <v>13</v>
      </c>
      <c r="H2600" s="7">
        <v>42290</v>
      </c>
      <c r="I2600">
        <v>24745.8</v>
      </c>
      <c r="K2600" s="7"/>
    </row>
    <row r="2601" spans="1:11">
      <c r="A2601">
        <v>200002600</v>
      </c>
      <c r="B2601" t="s">
        <v>173</v>
      </c>
      <c r="C2601" t="s">
        <v>285</v>
      </c>
      <c r="D2601" t="s">
        <v>11</v>
      </c>
      <c r="E2601" s="9">
        <v>55</v>
      </c>
      <c r="F2601" t="s">
        <v>32</v>
      </c>
      <c r="G2601" t="s">
        <v>33</v>
      </c>
      <c r="H2601" s="8">
        <v>42290</v>
      </c>
      <c r="I2601">
        <v>74534.05</v>
      </c>
      <c r="K2601" s="8"/>
    </row>
    <row r="2602" spans="1:11">
      <c r="A2602">
        <v>200002601</v>
      </c>
      <c r="B2602" t="s">
        <v>79</v>
      </c>
      <c r="C2602" t="s">
        <v>67</v>
      </c>
      <c r="D2602" t="s">
        <v>11</v>
      </c>
      <c r="E2602" s="9">
        <v>58</v>
      </c>
      <c r="F2602" t="s">
        <v>32</v>
      </c>
      <c r="G2602" t="s">
        <v>18</v>
      </c>
      <c r="H2602" s="7">
        <v>42290</v>
      </c>
      <c r="I2602">
        <v>128259.93</v>
      </c>
      <c r="K2602" s="7"/>
    </row>
    <row r="2603" spans="1:11">
      <c r="A2603">
        <v>200002602</v>
      </c>
      <c r="B2603" t="s">
        <v>264</v>
      </c>
      <c r="C2603" t="s">
        <v>88</v>
      </c>
      <c r="D2603" t="s">
        <v>11</v>
      </c>
      <c r="E2603" s="9">
        <v>44</v>
      </c>
      <c r="F2603" t="s">
        <v>32</v>
      </c>
      <c r="G2603" t="s">
        <v>18</v>
      </c>
      <c r="H2603" s="8">
        <v>42290</v>
      </c>
      <c r="I2603">
        <v>65479.32</v>
      </c>
      <c r="K2603" s="8"/>
    </row>
    <row r="2604" spans="1:11">
      <c r="A2604">
        <v>300002603</v>
      </c>
      <c r="B2604" t="s">
        <v>249</v>
      </c>
      <c r="C2604" t="s">
        <v>260</v>
      </c>
      <c r="D2604" t="s">
        <v>16</v>
      </c>
      <c r="E2604" s="9">
        <v>33</v>
      </c>
      <c r="F2604" t="s">
        <v>23</v>
      </c>
      <c r="G2604" t="s">
        <v>13</v>
      </c>
      <c r="H2604" s="7">
        <v>42290</v>
      </c>
      <c r="I2604">
        <v>53133.68</v>
      </c>
      <c r="K2604" s="7"/>
    </row>
    <row r="2605" spans="1:11">
      <c r="A2605">
        <v>300002604</v>
      </c>
      <c r="B2605" t="s">
        <v>14</v>
      </c>
      <c r="C2605" t="s">
        <v>47</v>
      </c>
      <c r="D2605" t="s">
        <v>16</v>
      </c>
      <c r="E2605" s="9">
        <v>31</v>
      </c>
      <c r="F2605" t="s">
        <v>23</v>
      </c>
      <c r="G2605" t="s">
        <v>33</v>
      </c>
      <c r="H2605" s="8">
        <v>42290</v>
      </c>
      <c r="I2605">
        <v>14961.53</v>
      </c>
      <c r="K2605" s="8"/>
    </row>
    <row r="2606" spans="1:11">
      <c r="A2606">
        <v>400002605</v>
      </c>
      <c r="B2606" t="s">
        <v>308</v>
      </c>
      <c r="C2606" t="s">
        <v>246</v>
      </c>
      <c r="D2606" t="s">
        <v>16</v>
      </c>
      <c r="E2606" s="9">
        <v>22</v>
      </c>
      <c r="F2606" t="s">
        <v>17</v>
      </c>
      <c r="G2606" t="s">
        <v>33</v>
      </c>
      <c r="H2606" s="7">
        <v>42290</v>
      </c>
      <c r="I2606">
        <v>18299.03</v>
      </c>
      <c r="K2606" s="7"/>
    </row>
    <row r="2607" spans="1:11">
      <c r="A2607">
        <v>100002606</v>
      </c>
      <c r="B2607" t="s">
        <v>133</v>
      </c>
      <c r="C2607" t="s">
        <v>56</v>
      </c>
      <c r="D2607" t="s">
        <v>11</v>
      </c>
      <c r="E2607" s="9">
        <v>29</v>
      </c>
      <c r="F2607" t="s">
        <v>12</v>
      </c>
      <c r="G2607" t="s">
        <v>13</v>
      </c>
      <c r="H2607" s="8">
        <v>42291</v>
      </c>
      <c r="I2607">
        <v>36582.31</v>
      </c>
      <c r="K2607" s="8"/>
    </row>
    <row r="2608" spans="1:11">
      <c r="A2608">
        <v>100002607</v>
      </c>
      <c r="B2608" t="s">
        <v>34</v>
      </c>
      <c r="C2608" t="s">
        <v>20</v>
      </c>
      <c r="D2608" t="s">
        <v>16</v>
      </c>
      <c r="E2608" s="9">
        <v>25</v>
      </c>
      <c r="F2608" t="s">
        <v>12</v>
      </c>
      <c r="G2608" t="s">
        <v>13</v>
      </c>
      <c r="H2608" s="7">
        <v>42291</v>
      </c>
      <c r="I2608">
        <v>23571.9</v>
      </c>
      <c r="K2608" s="7"/>
    </row>
    <row r="2609" spans="1:11">
      <c r="A2609">
        <v>100002608</v>
      </c>
      <c r="B2609" t="s">
        <v>207</v>
      </c>
      <c r="C2609" t="s">
        <v>240</v>
      </c>
      <c r="D2609" t="s">
        <v>11</v>
      </c>
      <c r="E2609" s="9">
        <v>38</v>
      </c>
      <c r="F2609" t="s">
        <v>12</v>
      </c>
      <c r="G2609" t="s">
        <v>13</v>
      </c>
      <c r="H2609" s="8">
        <v>42291</v>
      </c>
      <c r="I2609">
        <v>90250.17</v>
      </c>
      <c r="K2609" s="8"/>
    </row>
    <row r="2610" spans="1:11">
      <c r="A2610">
        <v>100002609</v>
      </c>
      <c r="B2610" t="s">
        <v>53</v>
      </c>
      <c r="C2610" t="s">
        <v>325</v>
      </c>
      <c r="D2610" t="s">
        <v>16</v>
      </c>
      <c r="E2610" s="9">
        <v>40</v>
      </c>
      <c r="F2610" t="s">
        <v>12</v>
      </c>
      <c r="G2610" t="s">
        <v>33</v>
      </c>
      <c r="H2610" s="7">
        <v>42291</v>
      </c>
      <c r="I2610">
        <v>1795.2</v>
      </c>
      <c r="K2610" s="7"/>
    </row>
    <row r="2611" spans="1:11">
      <c r="A2611">
        <v>100002610</v>
      </c>
      <c r="B2611" t="s">
        <v>283</v>
      </c>
      <c r="C2611" t="s">
        <v>113</v>
      </c>
      <c r="D2611" t="s">
        <v>11</v>
      </c>
      <c r="E2611" s="9">
        <v>40</v>
      </c>
      <c r="F2611" t="s">
        <v>12</v>
      </c>
      <c r="G2611" t="s">
        <v>13</v>
      </c>
      <c r="H2611" s="8">
        <v>42291</v>
      </c>
      <c r="I2611">
        <v>38282.11</v>
      </c>
      <c r="K2611" s="8"/>
    </row>
    <row r="2612" spans="1:11">
      <c r="A2612">
        <v>100002611</v>
      </c>
      <c r="B2612" t="s">
        <v>57</v>
      </c>
      <c r="C2612" t="s">
        <v>306</v>
      </c>
      <c r="D2612" t="s">
        <v>11</v>
      </c>
      <c r="E2612" s="9">
        <v>38</v>
      </c>
      <c r="F2612" t="s">
        <v>12</v>
      </c>
      <c r="G2612" t="s">
        <v>18</v>
      </c>
      <c r="H2612" s="7">
        <v>42291</v>
      </c>
      <c r="I2612">
        <v>83131.72</v>
      </c>
      <c r="K2612" s="7"/>
    </row>
    <row r="2613" spans="1:11">
      <c r="A2613">
        <v>100002612</v>
      </c>
      <c r="B2613" t="s">
        <v>76</v>
      </c>
      <c r="C2613" t="s">
        <v>237</v>
      </c>
      <c r="D2613" t="s">
        <v>11</v>
      </c>
      <c r="E2613" s="9">
        <v>28</v>
      </c>
      <c r="F2613" t="s">
        <v>12</v>
      </c>
      <c r="G2613" t="s">
        <v>13</v>
      </c>
      <c r="H2613" s="8">
        <v>42291</v>
      </c>
      <c r="I2613">
        <v>12028.2</v>
      </c>
      <c r="K2613" s="8"/>
    </row>
    <row r="2614" spans="1:11">
      <c r="A2614">
        <v>200002613</v>
      </c>
      <c r="B2614" t="s">
        <v>152</v>
      </c>
      <c r="C2614" t="s">
        <v>87</v>
      </c>
      <c r="D2614" t="s">
        <v>11</v>
      </c>
      <c r="E2614" s="9">
        <v>60</v>
      </c>
      <c r="F2614" t="s">
        <v>32</v>
      </c>
      <c r="G2614" t="s">
        <v>18</v>
      </c>
      <c r="H2614" s="7">
        <v>42291</v>
      </c>
      <c r="I2614">
        <v>23011.89</v>
      </c>
      <c r="K2614" s="7"/>
    </row>
    <row r="2615" spans="1:11">
      <c r="A2615">
        <v>200002614</v>
      </c>
      <c r="B2615" t="s">
        <v>283</v>
      </c>
      <c r="C2615" t="s">
        <v>167</v>
      </c>
      <c r="D2615" t="s">
        <v>11</v>
      </c>
      <c r="E2615" s="9">
        <v>44</v>
      </c>
      <c r="F2615" t="s">
        <v>32</v>
      </c>
      <c r="G2615" t="s">
        <v>18</v>
      </c>
      <c r="H2615" s="8">
        <v>42291</v>
      </c>
      <c r="I2615">
        <v>18393.7</v>
      </c>
      <c r="K2615" s="8"/>
    </row>
    <row r="2616" spans="1:11">
      <c r="A2616">
        <v>300002615</v>
      </c>
      <c r="B2616" t="s">
        <v>186</v>
      </c>
      <c r="C2616" t="s">
        <v>107</v>
      </c>
      <c r="D2616" t="s">
        <v>11</v>
      </c>
      <c r="E2616" s="9">
        <v>31</v>
      </c>
      <c r="F2616" t="s">
        <v>23</v>
      </c>
      <c r="G2616" t="s">
        <v>18</v>
      </c>
      <c r="H2616" s="7">
        <v>42291</v>
      </c>
      <c r="I2616">
        <v>56035.34</v>
      </c>
      <c r="K2616" s="7"/>
    </row>
    <row r="2617" spans="1:11">
      <c r="A2617">
        <v>300002616</v>
      </c>
      <c r="B2617" t="s">
        <v>254</v>
      </c>
      <c r="C2617" t="s">
        <v>291</v>
      </c>
      <c r="D2617" t="s">
        <v>11</v>
      </c>
      <c r="E2617" s="9">
        <v>36</v>
      </c>
      <c r="F2617" t="s">
        <v>23</v>
      </c>
      <c r="G2617" t="s">
        <v>18</v>
      </c>
      <c r="H2617" s="8">
        <v>42291</v>
      </c>
      <c r="I2617">
        <v>56449.04</v>
      </c>
      <c r="K2617" s="8"/>
    </row>
    <row r="2618" spans="1:11">
      <c r="A2618">
        <v>300002617</v>
      </c>
      <c r="B2618" t="s">
        <v>143</v>
      </c>
      <c r="C2618" t="s">
        <v>252</v>
      </c>
      <c r="D2618" t="s">
        <v>11</v>
      </c>
      <c r="E2618" s="9">
        <v>35</v>
      </c>
      <c r="F2618" t="s">
        <v>23</v>
      </c>
      <c r="G2618" t="s">
        <v>13</v>
      </c>
      <c r="H2618" s="7">
        <v>42291</v>
      </c>
      <c r="I2618">
        <v>12813.83</v>
      </c>
      <c r="K2618" s="7"/>
    </row>
    <row r="2619" spans="1:11">
      <c r="A2619">
        <v>400002618</v>
      </c>
      <c r="B2619" t="s">
        <v>68</v>
      </c>
      <c r="C2619" t="s">
        <v>67</v>
      </c>
      <c r="D2619" t="s">
        <v>16</v>
      </c>
      <c r="E2619" s="9">
        <v>28</v>
      </c>
      <c r="F2619" t="s">
        <v>17</v>
      </c>
      <c r="G2619" t="s">
        <v>33</v>
      </c>
      <c r="H2619" s="8">
        <v>42291</v>
      </c>
      <c r="I2619">
        <v>133050.09</v>
      </c>
      <c r="K2619" s="8"/>
    </row>
    <row r="2620" spans="1:11">
      <c r="A2620">
        <v>100002619</v>
      </c>
      <c r="B2620" t="s">
        <v>102</v>
      </c>
      <c r="C2620" t="s">
        <v>22</v>
      </c>
      <c r="D2620" t="s">
        <v>16</v>
      </c>
      <c r="E2620" s="9">
        <v>35</v>
      </c>
      <c r="F2620" t="s">
        <v>12</v>
      </c>
      <c r="G2620" t="s">
        <v>33</v>
      </c>
      <c r="H2620" s="7">
        <v>42292</v>
      </c>
      <c r="I2620">
        <v>104867.33</v>
      </c>
      <c r="K2620" s="7"/>
    </row>
    <row r="2621" spans="1:11">
      <c r="A2621">
        <v>100002620</v>
      </c>
      <c r="B2621" t="s">
        <v>66</v>
      </c>
      <c r="C2621" t="s">
        <v>152</v>
      </c>
      <c r="D2621" t="s">
        <v>16</v>
      </c>
      <c r="E2621" s="9">
        <v>31</v>
      </c>
      <c r="F2621" t="s">
        <v>12</v>
      </c>
      <c r="G2621" t="s">
        <v>33</v>
      </c>
      <c r="H2621" s="8">
        <v>42292</v>
      </c>
      <c r="I2621">
        <v>81245.5</v>
      </c>
      <c r="K2621" s="8"/>
    </row>
    <row r="2622" spans="1:11">
      <c r="A2622">
        <v>100002621</v>
      </c>
      <c r="B2622" t="s">
        <v>312</v>
      </c>
      <c r="C2622" t="s">
        <v>239</v>
      </c>
      <c r="D2622" t="s">
        <v>11</v>
      </c>
      <c r="E2622" s="9">
        <v>43</v>
      </c>
      <c r="F2622" t="s">
        <v>12</v>
      </c>
      <c r="G2622" t="s">
        <v>18</v>
      </c>
      <c r="H2622" s="7">
        <v>42292</v>
      </c>
      <c r="I2622">
        <v>2965.82</v>
      </c>
      <c r="K2622" s="7"/>
    </row>
    <row r="2623" spans="1:11">
      <c r="A2623">
        <v>100002622</v>
      </c>
      <c r="B2623" t="s">
        <v>68</v>
      </c>
      <c r="C2623" t="s">
        <v>54</v>
      </c>
      <c r="D2623" t="s">
        <v>16</v>
      </c>
      <c r="E2623" s="9">
        <v>29</v>
      </c>
      <c r="F2623" t="s">
        <v>12</v>
      </c>
      <c r="G2623" t="s">
        <v>33</v>
      </c>
      <c r="H2623" s="8">
        <v>42292</v>
      </c>
      <c r="I2623">
        <v>68344.02</v>
      </c>
      <c r="K2623" s="8"/>
    </row>
    <row r="2624" spans="1:11">
      <c r="A2624">
        <v>100002623</v>
      </c>
      <c r="B2624" t="s">
        <v>319</v>
      </c>
      <c r="C2624" t="s">
        <v>216</v>
      </c>
      <c r="D2624" t="s">
        <v>16</v>
      </c>
      <c r="E2624" s="9">
        <v>45</v>
      </c>
      <c r="F2624" t="s">
        <v>12</v>
      </c>
      <c r="G2624" t="s">
        <v>13</v>
      </c>
      <c r="H2624" s="7">
        <v>42292</v>
      </c>
      <c r="I2624">
        <v>81370.16</v>
      </c>
      <c r="K2624" s="7"/>
    </row>
    <row r="2625" spans="1:11">
      <c r="A2625">
        <v>100002624</v>
      </c>
      <c r="B2625" t="s">
        <v>169</v>
      </c>
      <c r="C2625" t="s">
        <v>246</v>
      </c>
      <c r="D2625" t="s">
        <v>11</v>
      </c>
      <c r="E2625" s="9">
        <v>38</v>
      </c>
      <c r="F2625" t="s">
        <v>12</v>
      </c>
      <c r="G2625" t="s">
        <v>18</v>
      </c>
      <c r="H2625" s="8">
        <v>42292</v>
      </c>
      <c r="I2625">
        <v>6958.19</v>
      </c>
      <c r="K2625" s="8"/>
    </row>
    <row r="2626" spans="1:11">
      <c r="A2626">
        <v>100002625</v>
      </c>
      <c r="B2626" t="s">
        <v>303</v>
      </c>
      <c r="C2626" t="s">
        <v>318</v>
      </c>
      <c r="D2626" t="s">
        <v>11</v>
      </c>
      <c r="E2626" s="9">
        <v>33</v>
      </c>
      <c r="F2626" t="s">
        <v>12</v>
      </c>
      <c r="G2626" t="s">
        <v>13</v>
      </c>
      <c r="H2626" s="7">
        <v>42292</v>
      </c>
      <c r="I2626">
        <v>32247.97</v>
      </c>
      <c r="K2626" s="7"/>
    </row>
    <row r="2627" spans="1:11">
      <c r="A2627">
        <v>100002626</v>
      </c>
      <c r="B2627" t="s">
        <v>161</v>
      </c>
      <c r="C2627" t="s">
        <v>69</v>
      </c>
      <c r="D2627" t="s">
        <v>16</v>
      </c>
      <c r="E2627" s="9">
        <v>35</v>
      </c>
      <c r="F2627" t="s">
        <v>12</v>
      </c>
      <c r="G2627" t="s">
        <v>13</v>
      </c>
      <c r="H2627" s="8">
        <v>42292</v>
      </c>
      <c r="I2627">
        <v>10708.34</v>
      </c>
      <c r="K2627" s="8"/>
    </row>
    <row r="2628" spans="1:11">
      <c r="A2628">
        <v>100002627</v>
      </c>
      <c r="B2628" t="s">
        <v>190</v>
      </c>
      <c r="C2628" t="s">
        <v>195</v>
      </c>
      <c r="D2628" t="s">
        <v>11</v>
      </c>
      <c r="E2628" s="9">
        <v>47</v>
      </c>
      <c r="F2628" t="s">
        <v>12</v>
      </c>
      <c r="G2628" t="s">
        <v>13</v>
      </c>
      <c r="H2628" s="7">
        <v>42292</v>
      </c>
      <c r="I2628">
        <v>39124.620000000003</v>
      </c>
      <c r="K2628" s="7"/>
    </row>
    <row r="2629" spans="1:11">
      <c r="A2629">
        <v>100002628</v>
      </c>
      <c r="B2629" t="s">
        <v>48</v>
      </c>
      <c r="C2629" t="s">
        <v>151</v>
      </c>
      <c r="D2629" t="s">
        <v>16</v>
      </c>
      <c r="E2629" s="9">
        <v>46</v>
      </c>
      <c r="F2629" t="s">
        <v>12</v>
      </c>
      <c r="G2629" t="s">
        <v>13</v>
      </c>
      <c r="H2629" s="8">
        <v>42292</v>
      </c>
      <c r="I2629">
        <v>45737.65</v>
      </c>
      <c r="K2629" s="8"/>
    </row>
    <row r="2630" spans="1:11">
      <c r="A2630">
        <v>100002629</v>
      </c>
      <c r="B2630" t="s">
        <v>147</v>
      </c>
      <c r="C2630" t="s">
        <v>310</v>
      </c>
      <c r="D2630" t="s">
        <v>11</v>
      </c>
      <c r="E2630" s="9">
        <v>24</v>
      </c>
      <c r="F2630" t="s">
        <v>12</v>
      </c>
      <c r="G2630" t="s">
        <v>13</v>
      </c>
      <c r="H2630" s="7">
        <v>42292</v>
      </c>
      <c r="I2630">
        <v>56070.28</v>
      </c>
      <c r="K2630" s="7"/>
    </row>
    <row r="2631" spans="1:11">
      <c r="A2631">
        <v>200002630</v>
      </c>
      <c r="B2631" t="s">
        <v>317</v>
      </c>
      <c r="C2631" t="s">
        <v>238</v>
      </c>
      <c r="D2631" t="s">
        <v>16</v>
      </c>
      <c r="E2631" s="9">
        <v>54</v>
      </c>
      <c r="F2631" t="s">
        <v>32</v>
      </c>
      <c r="G2631" t="s">
        <v>13</v>
      </c>
      <c r="H2631" s="8">
        <v>42292</v>
      </c>
      <c r="I2631">
        <v>16332.53</v>
      </c>
      <c r="K2631" s="8"/>
    </row>
    <row r="2632" spans="1:11">
      <c r="A2632">
        <v>200002631</v>
      </c>
      <c r="B2632" t="s">
        <v>46</v>
      </c>
      <c r="C2632" t="s">
        <v>31</v>
      </c>
      <c r="D2632" t="s">
        <v>11</v>
      </c>
      <c r="E2632" s="9">
        <v>46</v>
      </c>
      <c r="F2632" t="s">
        <v>32</v>
      </c>
      <c r="G2632" t="s">
        <v>18</v>
      </c>
      <c r="H2632" s="7">
        <v>42292</v>
      </c>
      <c r="I2632">
        <v>50945.1</v>
      </c>
      <c r="K2632" s="7"/>
    </row>
    <row r="2633" spans="1:11">
      <c r="A2633">
        <v>200002632</v>
      </c>
      <c r="B2633" t="s">
        <v>280</v>
      </c>
      <c r="C2633" t="s">
        <v>56</v>
      </c>
      <c r="D2633" t="s">
        <v>11</v>
      </c>
      <c r="E2633" s="9">
        <v>41</v>
      </c>
      <c r="F2633" t="s">
        <v>32</v>
      </c>
      <c r="G2633" t="s">
        <v>18</v>
      </c>
      <c r="H2633" s="8">
        <v>42292</v>
      </c>
      <c r="I2633">
        <v>25407.37</v>
      </c>
      <c r="K2633" s="8"/>
    </row>
    <row r="2634" spans="1:11">
      <c r="A2634">
        <v>200002633</v>
      </c>
      <c r="B2634" t="s">
        <v>244</v>
      </c>
      <c r="C2634" t="s">
        <v>132</v>
      </c>
      <c r="D2634" t="s">
        <v>16</v>
      </c>
      <c r="E2634" s="9">
        <v>51</v>
      </c>
      <c r="F2634" t="s">
        <v>32</v>
      </c>
      <c r="G2634" t="s">
        <v>18</v>
      </c>
      <c r="H2634" s="7">
        <v>42292</v>
      </c>
      <c r="I2634">
        <v>24237.4</v>
      </c>
      <c r="K2634" s="7"/>
    </row>
    <row r="2635" spans="1:11">
      <c r="A2635">
        <v>200002634</v>
      </c>
      <c r="B2635" t="s">
        <v>143</v>
      </c>
      <c r="C2635" t="s">
        <v>269</v>
      </c>
      <c r="D2635" t="s">
        <v>11</v>
      </c>
      <c r="E2635" s="9">
        <v>57</v>
      </c>
      <c r="F2635" t="s">
        <v>32</v>
      </c>
      <c r="G2635" t="s">
        <v>33</v>
      </c>
      <c r="H2635" s="8">
        <v>42292</v>
      </c>
      <c r="I2635">
        <v>139509.54</v>
      </c>
      <c r="K2635" s="8"/>
    </row>
    <row r="2636" spans="1:11">
      <c r="A2636">
        <v>300002635</v>
      </c>
      <c r="B2636" t="s">
        <v>175</v>
      </c>
      <c r="C2636" t="s">
        <v>27</v>
      </c>
      <c r="D2636" t="s">
        <v>11</v>
      </c>
      <c r="E2636" s="9">
        <v>41</v>
      </c>
      <c r="F2636" t="s">
        <v>23</v>
      </c>
      <c r="G2636" t="s">
        <v>33</v>
      </c>
      <c r="H2636" s="7">
        <v>42292</v>
      </c>
      <c r="I2636">
        <v>60076.55</v>
      </c>
      <c r="K2636" s="7"/>
    </row>
    <row r="2637" spans="1:11">
      <c r="A2637">
        <v>300002636</v>
      </c>
      <c r="B2637" t="s">
        <v>14</v>
      </c>
      <c r="C2637" t="s">
        <v>82</v>
      </c>
      <c r="D2637" t="s">
        <v>16</v>
      </c>
      <c r="E2637" s="9">
        <v>38</v>
      </c>
      <c r="F2637" t="s">
        <v>23</v>
      </c>
      <c r="G2637" t="s">
        <v>13</v>
      </c>
      <c r="H2637" s="8">
        <v>42292</v>
      </c>
      <c r="I2637">
        <v>27284.71</v>
      </c>
      <c r="K2637" s="8"/>
    </row>
    <row r="2638" spans="1:11">
      <c r="A2638">
        <v>300002637</v>
      </c>
      <c r="B2638" t="s">
        <v>186</v>
      </c>
      <c r="C2638" t="s">
        <v>277</v>
      </c>
      <c r="D2638" t="s">
        <v>11</v>
      </c>
      <c r="E2638" s="9">
        <v>39</v>
      </c>
      <c r="F2638" t="s">
        <v>23</v>
      </c>
      <c r="G2638" t="s">
        <v>18</v>
      </c>
      <c r="H2638" s="7">
        <v>42292</v>
      </c>
      <c r="I2638">
        <v>5201.79</v>
      </c>
      <c r="K2638" s="7"/>
    </row>
    <row r="2639" spans="1:11">
      <c r="A2639">
        <v>400002638</v>
      </c>
      <c r="B2639" t="s">
        <v>62</v>
      </c>
      <c r="C2639" t="s">
        <v>269</v>
      </c>
      <c r="D2639" t="s">
        <v>16</v>
      </c>
      <c r="E2639" s="9">
        <v>15</v>
      </c>
      <c r="F2639" t="s">
        <v>17</v>
      </c>
      <c r="G2639" t="s">
        <v>13</v>
      </c>
      <c r="H2639" s="8">
        <v>42292</v>
      </c>
      <c r="I2639">
        <v>12548.21</v>
      </c>
      <c r="K2639" s="8"/>
    </row>
    <row r="2640" spans="1:11">
      <c r="A2640">
        <v>100002639</v>
      </c>
      <c r="B2640" t="s">
        <v>263</v>
      </c>
      <c r="C2640" t="s">
        <v>299</v>
      </c>
      <c r="D2640" t="s">
        <v>16</v>
      </c>
      <c r="E2640" s="9">
        <v>22</v>
      </c>
      <c r="F2640" t="s">
        <v>12</v>
      </c>
      <c r="G2640" t="s">
        <v>13</v>
      </c>
      <c r="H2640" s="7">
        <v>42293</v>
      </c>
      <c r="I2640">
        <v>73415.97</v>
      </c>
      <c r="K2640" s="7"/>
    </row>
    <row r="2641" spans="1:11">
      <c r="A2641">
        <v>100002640</v>
      </c>
      <c r="B2641" t="s">
        <v>158</v>
      </c>
      <c r="C2641" t="s">
        <v>205</v>
      </c>
      <c r="D2641" t="s">
        <v>16</v>
      </c>
      <c r="E2641" s="9">
        <v>42</v>
      </c>
      <c r="F2641" t="s">
        <v>12</v>
      </c>
      <c r="G2641" t="s">
        <v>18</v>
      </c>
      <c r="H2641" s="8">
        <v>42293</v>
      </c>
      <c r="I2641">
        <v>46452.14</v>
      </c>
      <c r="K2641" s="8"/>
    </row>
    <row r="2642" spans="1:11">
      <c r="A2642">
        <v>100002641</v>
      </c>
      <c r="B2642" t="s">
        <v>99</v>
      </c>
      <c r="C2642" t="s">
        <v>299</v>
      </c>
      <c r="D2642" t="s">
        <v>16</v>
      </c>
      <c r="E2642" s="9">
        <v>40</v>
      </c>
      <c r="F2642" t="s">
        <v>12</v>
      </c>
      <c r="G2642" t="s">
        <v>13</v>
      </c>
      <c r="H2642" s="7">
        <v>42293</v>
      </c>
      <c r="I2642">
        <v>52735.66</v>
      </c>
      <c r="K2642" s="7"/>
    </row>
    <row r="2643" spans="1:11">
      <c r="A2643">
        <v>100002642</v>
      </c>
      <c r="B2643" t="s">
        <v>283</v>
      </c>
      <c r="C2643" t="s">
        <v>20</v>
      </c>
      <c r="D2643" t="s">
        <v>11</v>
      </c>
      <c r="E2643" s="9">
        <v>38</v>
      </c>
      <c r="F2643" t="s">
        <v>12</v>
      </c>
      <c r="G2643" t="s">
        <v>33</v>
      </c>
      <c r="H2643" s="8">
        <v>42293</v>
      </c>
      <c r="I2643">
        <v>40414.879999999997</v>
      </c>
      <c r="K2643" s="8"/>
    </row>
    <row r="2644" spans="1:11">
      <c r="A2644">
        <v>100002643</v>
      </c>
      <c r="B2644" t="s">
        <v>46</v>
      </c>
      <c r="C2644" t="s">
        <v>164</v>
      </c>
      <c r="D2644" t="s">
        <v>11</v>
      </c>
      <c r="E2644" s="9">
        <v>28</v>
      </c>
      <c r="F2644" t="s">
        <v>12</v>
      </c>
      <c r="G2644" t="s">
        <v>13</v>
      </c>
      <c r="H2644" s="7">
        <v>42293</v>
      </c>
      <c r="I2644">
        <v>47740.27</v>
      </c>
      <c r="K2644" s="7"/>
    </row>
    <row r="2645" spans="1:11">
      <c r="A2645">
        <v>100002644</v>
      </c>
      <c r="B2645" t="s">
        <v>99</v>
      </c>
      <c r="C2645" t="s">
        <v>195</v>
      </c>
      <c r="D2645" t="s">
        <v>16</v>
      </c>
      <c r="E2645" s="9">
        <v>36</v>
      </c>
      <c r="F2645" t="s">
        <v>12</v>
      </c>
      <c r="G2645" t="s">
        <v>13</v>
      </c>
      <c r="H2645" s="8">
        <v>42293</v>
      </c>
      <c r="I2645">
        <v>52050.39</v>
      </c>
      <c r="K2645" s="8"/>
    </row>
    <row r="2646" spans="1:11">
      <c r="A2646">
        <v>100002645</v>
      </c>
      <c r="B2646" t="s">
        <v>319</v>
      </c>
      <c r="C2646" t="s">
        <v>75</v>
      </c>
      <c r="D2646" t="s">
        <v>16</v>
      </c>
      <c r="E2646" s="9">
        <v>39</v>
      </c>
      <c r="F2646" t="s">
        <v>12</v>
      </c>
      <c r="G2646" t="s">
        <v>13</v>
      </c>
      <c r="H2646" s="7">
        <v>42293</v>
      </c>
      <c r="I2646">
        <v>73238.039999999994</v>
      </c>
      <c r="K2646" s="7"/>
    </row>
    <row r="2647" spans="1:11">
      <c r="A2647">
        <v>100002646</v>
      </c>
      <c r="B2647" t="s">
        <v>76</v>
      </c>
      <c r="C2647" t="s">
        <v>85</v>
      </c>
      <c r="D2647" t="s">
        <v>11</v>
      </c>
      <c r="E2647" s="9">
        <v>37</v>
      </c>
      <c r="F2647" t="s">
        <v>12</v>
      </c>
      <c r="G2647" t="s">
        <v>13</v>
      </c>
      <c r="H2647" s="8">
        <v>42293</v>
      </c>
      <c r="I2647">
        <v>10911.82</v>
      </c>
      <c r="K2647" s="8"/>
    </row>
    <row r="2648" spans="1:11">
      <c r="A2648">
        <v>100002647</v>
      </c>
      <c r="B2648" t="s">
        <v>159</v>
      </c>
      <c r="C2648" t="s">
        <v>134</v>
      </c>
      <c r="D2648" t="s">
        <v>11</v>
      </c>
      <c r="E2648" s="9">
        <v>39</v>
      </c>
      <c r="F2648" t="s">
        <v>12</v>
      </c>
      <c r="G2648" t="s">
        <v>13</v>
      </c>
      <c r="H2648" s="7">
        <v>42293</v>
      </c>
      <c r="I2648">
        <v>30238.1</v>
      </c>
      <c r="K2648" s="7"/>
    </row>
    <row r="2649" spans="1:11">
      <c r="A2649">
        <v>200002648</v>
      </c>
      <c r="B2649" t="s">
        <v>46</v>
      </c>
      <c r="C2649" t="s">
        <v>315</v>
      </c>
      <c r="D2649" t="s">
        <v>11</v>
      </c>
      <c r="E2649" s="9">
        <v>51</v>
      </c>
      <c r="F2649" t="s">
        <v>32</v>
      </c>
      <c r="G2649" t="s">
        <v>18</v>
      </c>
      <c r="H2649" s="8">
        <v>42293</v>
      </c>
      <c r="I2649">
        <v>14693.74</v>
      </c>
      <c r="K2649" s="8"/>
    </row>
    <row r="2650" spans="1:11">
      <c r="A2650">
        <v>200002649</v>
      </c>
      <c r="B2650" t="s">
        <v>118</v>
      </c>
      <c r="C2650" t="s">
        <v>318</v>
      </c>
      <c r="D2650" t="s">
        <v>11</v>
      </c>
      <c r="E2650" s="9">
        <v>44</v>
      </c>
      <c r="F2650" t="s">
        <v>32</v>
      </c>
      <c r="G2650" t="s">
        <v>18</v>
      </c>
      <c r="H2650" s="7">
        <v>42293</v>
      </c>
      <c r="I2650">
        <v>38646.92</v>
      </c>
      <c r="K2650" s="7"/>
    </row>
    <row r="2651" spans="1:11">
      <c r="A2651">
        <v>200002650</v>
      </c>
      <c r="B2651" t="s">
        <v>19</v>
      </c>
      <c r="C2651" t="s">
        <v>216</v>
      </c>
      <c r="D2651" t="s">
        <v>11</v>
      </c>
      <c r="E2651" s="9">
        <v>50</v>
      </c>
      <c r="F2651" t="s">
        <v>32</v>
      </c>
      <c r="G2651" t="s">
        <v>18</v>
      </c>
      <c r="H2651" s="8">
        <v>42293</v>
      </c>
      <c r="I2651">
        <v>6844.11</v>
      </c>
      <c r="K2651" s="8"/>
    </row>
    <row r="2652" spans="1:11">
      <c r="A2652">
        <v>200002651</v>
      </c>
      <c r="B2652" t="s">
        <v>267</v>
      </c>
      <c r="C2652" t="s">
        <v>310</v>
      </c>
      <c r="D2652" t="s">
        <v>16</v>
      </c>
      <c r="E2652" s="9">
        <v>47</v>
      </c>
      <c r="F2652" t="s">
        <v>32</v>
      </c>
      <c r="G2652" t="s">
        <v>33</v>
      </c>
      <c r="H2652" s="7">
        <v>42293</v>
      </c>
      <c r="I2652">
        <v>20587.439999999999</v>
      </c>
      <c r="K2652" s="7"/>
    </row>
    <row r="2653" spans="1:11">
      <c r="A2653">
        <v>200002652</v>
      </c>
      <c r="B2653" t="s">
        <v>115</v>
      </c>
      <c r="C2653" t="s">
        <v>307</v>
      </c>
      <c r="D2653" t="s">
        <v>16</v>
      </c>
      <c r="E2653" s="9">
        <v>50</v>
      </c>
      <c r="F2653" t="s">
        <v>32</v>
      </c>
      <c r="G2653" t="s">
        <v>33</v>
      </c>
      <c r="H2653" s="8">
        <v>42293</v>
      </c>
      <c r="I2653">
        <v>26851.86</v>
      </c>
      <c r="K2653" s="8"/>
    </row>
    <row r="2654" spans="1:11">
      <c r="A2654">
        <v>200002653</v>
      </c>
      <c r="B2654" t="s">
        <v>316</v>
      </c>
      <c r="C2654" t="s">
        <v>189</v>
      </c>
      <c r="D2654" t="s">
        <v>16</v>
      </c>
      <c r="E2654" s="9">
        <v>52</v>
      </c>
      <c r="F2654" t="s">
        <v>32</v>
      </c>
      <c r="G2654" t="s">
        <v>33</v>
      </c>
      <c r="H2654" s="7">
        <v>42293</v>
      </c>
      <c r="I2654">
        <v>53599.25</v>
      </c>
      <c r="K2654" s="7"/>
    </row>
    <row r="2655" spans="1:11">
      <c r="A2655">
        <v>300002654</v>
      </c>
      <c r="B2655" t="s">
        <v>317</v>
      </c>
      <c r="C2655" t="s">
        <v>310</v>
      </c>
      <c r="D2655" t="s">
        <v>16</v>
      </c>
      <c r="E2655" s="9">
        <v>35</v>
      </c>
      <c r="F2655" t="s">
        <v>23</v>
      </c>
      <c r="G2655" t="s">
        <v>13</v>
      </c>
      <c r="H2655" s="8">
        <v>42293</v>
      </c>
      <c r="I2655">
        <v>78006.490000000005</v>
      </c>
      <c r="K2655" s="8"/>
    </row>
    <row r="2656" spans="1:11">
      <c r="A2656">
        <v>300002655</v>
      </c>
      <c r="B2656" t="s">
        <v>119</v>
      </c>
      <c r="C2656" t="s">
        <v>78</v>
      </c>
      <c r="D2656" t="s">
        <v>16</v>
      </c>
      <c r="E2656" s="9">
        <v>37</v>
      </c>
      <c r="F2656" t="s">
        <v>23</v>
      </c>
      <c r="G2656" t="s">
        <v>13</v>
      </c>
      <c r="H2656" s="7">
        <v>42293</v>
      </c>
      <c r="I2656">
        <v>66400.88</v>
      </c>
      <c r="K2656" s="7"/>
    </row>
    <row r="2657" spans="1:11">
      <c r="A2657">
        <v>100002656</v>
      </c>
      <c r="B2657" t="s">
        <v>28</v>
      </c>
      <c r="C2657" t="s">
        <v>43</v>
      </c>
      <c r="D2657" t="s">
        <v>16</v>
      </c>
      <c r="E2657" s="9">
        <v>43</v>
      </c>
      <c r="F2657" t="s">
        <v>12</v>
      </c>
      <c r="G2657" t="s">
        <v>18</v>
      </c>
      <c r="H2657" s="8">
        <v>42294</v>
      </c>
      <c r="I2657">
        <v>50078.57</v>
      </c>
      <c r="K2657" s="8"/>
    </row>
    <row r="2658" spans="1:11">
      <c r="A2658">
        <v>100002657</v>
      </c>
      <c r="B2658" t="s">
        <v>186</v>
      </c>
      <c r="C2658" t="s">
        <v>73</v>
      </c>
      <c r="D2658" t="s">
        <v>11</v>
      </c>
      <c r="E2658" s="9">
        <v>31</v>
      </c>
      <c r="F2658" t="s">
        <v>12</v>
      </c>
      <c r="G2658" t="s">
        <v>13</v>
      </c>
      <c r="H2658" s="7">
        <v>42294</v>
      </c>
      <c r="I2658">
        <v>24779.98</v>
      </c>
      <c r="K2658" s="7"/>
    </row>
    <row r="2659" spans="1:11">
      <c r="A2659">
        <v>100002658</v>
      </c>
      <c r="B2659" t="s">
        <v>34</v>
      </c>
      <c r="C2659" t="s">
        <v>87</v>
      </c>
      <c r="D2659" t="s">
        <v>16</v>
      </c>
      <c r="E2659" s="9">
        <v>37</v>
      </c>
      <c r="F2659" t="s">
        <v>12</v>
      </c>
      <c r="G2659" t="s">
        <v>13</v>
      </c>
      <c r="H2659" s="8">
        <v>42294</v>
      </c>
      <c r="I2659">
        <v>31117.71</v>
      </c>
      <c r="K2659" s="8"/>
    </row>
    <row r="2660" spans="1:11">
      <c r="A2660">
        <v>100002659</v>
      </c>
      <c r="B2660" t="s">
        <v>48</v>
      </c>
      <c r="C2660" t="s">
        <v>162</v>
      </c>
      <c r="D2660" t="s">
        <v>16</v>
      </c>
      <c r="E2660" s="9">
        <v>45</v>
      </c>
      <c r="F2660" t="s">
        <v>12</v>
      </c>
      <c r="G2660" t="s">
        <v>13</v>
      </c>
      <c r="H2660" s="7">
        <v>42294</v>
      </c>
      <c r="I2660">
        <v>101994.01</v>
      </c>
      <c r="K2660" s="7"/>
    </row>
    <row r="2661" spans="1:11">
      <c r="A2661">
        <v>100002660</v>
      </c>
      <c r="B2661" t="s">
        <v>34</v>
      </c>
      <c r="C2661" t="s">
        <v>272</v>
      </c>
      <c r="D2661" t="s">
        <v>16</v>
      </c>
      <c r="E2661" s="9">
        <v>42</v>
      </c>
      <c r="F2661" t="s">
        <v>12</v>
      </c>
      <c r="G2661" t="s">
        <v>33</v>
      </c>
      <c r="H2661" s="8">
        <v>42294</v>
      </c>
      <c r="I2661">
        <v>4959.12</v>
      </c>
      <c r="K2661" s="8"/>
    </row>
    <row r="2662" spans="1:11">
      <c r="A2662">
        <v>100002661</v>
      </c>
      <c r="B2662" t="s">
        <v>220</v>
      </c>
      <c r="C2662" t="s">
        <v>299</v>
      </c>
      <c r="D2662" t="s">
        <v>16</v>
      </c>
      <c r="E2662" s="9">
        <v>30</v>
      </c>
      <c r="F2662" t="s">
        <v>12</v>
      </c>
      <c r="G2662" t="s">
        <v>13</v>
      </c>
      <c r="H2662" s="7">
        <v>42294</v>
      </c>
      <c r="I2662">
        <v>25489.52</v>
      </c>
      <c r="K2662" s="7"/>
    </row>
    <row r="2663" spans="1:11">
      <c r="A2663">
        <v>100002662</v>
      </c>
      <c r="B2663" t="s">
        <v>188</v>
      </c>
      <c r="C2663" t="s">
        <v>248</v>
      </c>
      <c r="D2663" t="s">
        <v>11</v>
      </c>
      <c r="E2663" s="9">
        <v>25</v>
      </c>
      <c r="F2663" t="s">
        <v>12</v>
      </c>
      <c r="G2663" t="s">
        <v>33</v>
      </c>
      <c r="H2663" s="8">
        <v>42294</v>
      </c>
      <c r="I2663">
        <v>73869.259999999995</v>
      </c>
      <c r="K2663" s="8"/>
    </row>
    <row r="2664" spans="1:11">
      <c r="A2664">
        <v>100002663</v>
      </c>
      <c r="B2664" t="s">
        <v>101</v>
      </c>
      <c r="C2664" t="s">
        <v>233</v>
      </c>
      <c r="D2664" t="s">
        <v>11</v>
      </c>
      <c r="E2664" s="9">
        <v>46</v>
      </c>
      <c r="F2664" t="s">
        <v>12</v>
      </c>
      <c r="G2664" t="s">
        <v>13</v>
      </c>
      <c r="H2664" s="7">
        <v>42294</v>
      </c>
      <c r="I2664">
        <v>94033.87</v>
      </c>
      <c r="K2664" s="7"/>
    </row>
    <row r="2665" spans="1:11">
      <c r="A2665">
        <v>200002664</v>
      </c>
      <c r="B2665" t="s">
        <v>110</v>
      </c>
      <c r="C2665" t="s">
        <v>160</v>
      </c>
      <c r="D2665" t="s">
        <v>16</v>
      </c>
      <c r="E2665" s="9">
        <v>42</v>
      </c>
      <c r="F2665" t="s">
        <v>32</v>
      </c>
      <c r="G2665" t="s">
        <v>33</v>
      </c>
      <c r="H2665" s="8">
        <v>42294</v>
      </c>
      <c r="I2665">
        <v>59189.09</v>
      </c>
      <c r="K2665" s="8"/>
    </row>
    <row r="2666" spans="1:11">
      <c r="A2666">
        <v>200002665</v>
      </c>
      <c r="B2666" t="s">
        <v>129</v>
      </c>
      <c r="C2666" t="s">
        <v>322</v>
      </c>
      <c r="D2666" t="s">
        <v>11</v>
      </c>
      <c r="E2666" s="9">
        <v>52</v>
      </c>
      <c r="F2666" t="s">
        <v>32</v>
      </c>
      <c r="G2666" t="s">
        <v>33</v>
      </c>
      <c r="H2666" s="7">
        <v>42294</v>
      </c>
      <c r="I2666">
        <v>13536.36</v>
      </c>
      <c r="K2666" s="7"/>
    </row>
    <row r="2667" spans="1:11">
      <c r="A2667">
        <v>200002666</v>
      </c>
      <c r="B2667" t="s">
        <v>159</v>
      </c>
      <c r="C2667" t="s">
        <v>130</v>
      </c>
      <c r="D2667" t="s">
        <v>11</v>
      </c>
      <c r="E2667" s="9">
        <v>46</v>
      </c>
      <c r="F2667" t="s">
        <v>32</v>
      </c>
      <c r="G2667" t="s">
        <v>18</v>
      </c>
      <c r="H2667" s="8">
        <v>42294</v>
      </c>
      <c r="I2667">
        <v>86983.679999999993</v>
      </c>
      <c r="K2667" s="8"/>
    </row>
    <row r="2668" spans="1:11">
      <c r="A2668">
        <v>200002667</v>
      </c>
      <c r="B2668" t="s">
        <v>55</v>
      </c>
      <c r="C2668" t="s">
        <v>209</v>
      </c>
      <c r="D2668" t="s">
        <v>11</v>
      </c>
      <c r="E2668" s="9">
        <v>59</v>
      </c>
      <c r="F2668" t="s">
        <v>32</v>
      </c>
      <c r="G2668" t="s">
        <v>18</v>
      </c>
      <c r="H2668" s="7">
        <v>42294</v>
      </c>
      <c r="I2668">
        <v>9905.5300000000007</v>
      </c>
      <c r="K2668" s="7"/>
    </row>
    <row r="2669" spans="1:11">
      <c r="A2669">
        <v>200002668</v>
      </c>
      <c r="B2669" t="s">
        <v>161</v>
      </c>
      <c r="C2669" t="s">
        <v>233</v>
      </c>
      <c r="D2669" t="s">
        <v>16</v>
      </c>
      <c r="E2669" s="9">
        <v>47</v>
      </c>
      <c r="F2669" t="s">
        <v>32</v>
      </c>
      <c r="G2669" t="s">
        <v>33</v>
      </c>
      <c r="H2669" s="8">
        <v>42294</v>
      </c>
      <c r="I2669">
        <v>9169.82</v>
      </c>
      <c r="K2669" s="8"/>
    </row>
    <row r="2670" spans="1:11">
      <c r="A2670">
        <v>300002669</v>
      </c>
      <c r="B2670" t="s">
        <v>264</v>
      </c>
      <c r="C2670" t="s">
        <v>87</v>
      </c>
      <c r="D2670" t="s">
        <v>11</v>
      </c>
      <c r="E2670" s="9">
        <v>18</v>
      </c>
      <c r="F2670" t="s">
        <v>23</v>
      </c>
      <c r="G2670" t="s">
        <v>13</v>
      </c>
      <c r="H2670" s="7">
        <v>42294</v>
      </c>
      <c r="I2670">
        <v>49678.06</v>
      </c>
      <c r="K2670" s="7"/>
    </row>
    <row r="2671" spans="1:11">
      <c r="A2671">
        <v>300002670</v>
      </c>
      <c r="B2671" t="s">
        <v>145</v>
      </c>
      <c r="C2671" t="s">
        <v>246</v>
      </c>
      <c r="D2671" t="s">
        <v>11</v>
      </c>
      <c r="E2671" s="9">
        <v>42</v>
      </c>
      <c r="F2671" t="s">
        <v>23</v>
      </c>
      <c r="G2671" t="s">
        <v>13</v>
      </c>
      <c r="H2671" s="8">
        <v>42294</v>
      </c>
      <c r="I2671">
        <v>1153.98</v>
      </c>
      <c r="K2671" s="8"/>
    </row>
    <row r="2672" spans="1:11">
      <c r="A2672">
        <v>100002671</v>
      </c>
      <c r="B2672" t="s">
        <v>168</v>
      </c>
      <c r="C2672" t="s">
        <v>260</v>
      </c>
      <c r="D2672" t="s">
        <v>16</v>
      </c>
      <c r="E2672" s="9">
        <v>38</v>
      </c>
      <c r="F2672" t="s">
        <v>12</v>
      </c>
      <c r="G2672" t="s">
        <v>18</v>
      </c>
      <c r="H2672" s="7">
        <v>42295</v>
      </c>
      <c r="I2672">
        <v>31728.14</v>
      </c>
      <c r="K2672" s="7"/>
    </row>
    <row r="2673" spans="1:11">
      <c r="A2673">
        <v>100002672</v>
      </c>
      <c r="B2673" t="s">
        <v>9</v>
      </c>
      <c r="C2673" t="s">
        <v>140</v>
      </c>
      <c r="D2673" t="s">
        <v>11</v>
      </c>
      <c r="E2673" s="9">
        <v>35</v>
      </c>
      <c r="F2673" t="s">
        <v>12</v>
      </c>
      <c r="G2673" t="s">
        <v>13</v>
      </c>
      <c r="H2673" s="8">
        <v>42295</v>
      </c>
      <c r="I2673">
        <v>8257.6200000000008</v>
      </c>
      <c r="K2673" s="8"/>
    </row>
    <row r="2674" spans="1:11">
      <c r="A2674">
        <v>100002673</v>
      </c>
      <c r="B2674" t="s">
        <v>254</v>
      </c>
      <c r="C2674" t="s">
        <v>167</v>
      </c>
      <c r="D2674" t="s">
        <v>11</v>
      </c>
      <c r="E2674" s="9">
        <v>50</v>
      </c>
      <c r="F2674" t="s">
        <v>12</v>
      </c>
      <c r="G2674" t="s">
        <v>13</v>
      </c>
      <c r="H2674" s="7">
        <v>42295</v>
      </c>
      <c r="I2674">
        <v>56402.62</v>
      </c>
      <c r="K2674" s="7"/>
    </row>
    <row r="2675" spans="1:11">
      <c r="A2675">
        <v>100002674</v>
      </c>
      <c r="B2675" t="s">
        <v>199</v>
      </c>
      <c r="C2675" t="s">
        <v>41</v>
      </c>
      <c r="D2675" t="s">
        <v>11</v>
      </c>
      <c r="E2675" s="9">
        <v>40</v>
      </c>
      <c r="F2675" t="s">
        <v>12</v>
      </c>
      <c r="G2675" t="s">
        <v>13</v>
      </c>
      <c r="H2675" s="8">
        <v>42295</v>
      </c>
      <c r="I2675">
        <v>2559.52</v>
      </c>
      <c r="K2675" s="8"/>
    </row>
    <row r="2676" spans="1:11">
      <c r="A2676">
        <v>100002675</v>
      </c>
      <c r="B2676" t="s">
        <v>143</v>
      </c>
      <c r="C2676" t="s">
        <v>156</v>
      </c>
      <c r="D2676" t="s">
        <v>11</v>
      </c>
      <c r="E2676" s="9">
        <v>47</v>
      </c>
      <c r="F2676" t="s">
        <v>12</v>
      </c>
      <c r="G2676" t="s">
        <v>33</v>
      </c>
      <c r="H2676" s="7">
        <v>42295</v>
      </c>
      <c r="I2676">
        <v>19916.05</v>
      </c>
      <c r="K2676" s="7"/>
    </row>
    <row r="2677" spans="1:11">
      <c r="A2677">
        <v>100002676</v>
      </c>
      <c r="B2677" t="s">
        <v>296</v>
      </c>
      <c r="C2677" t="s">
        <v>41</v>
      </c>
      <c r="D2677" t="s">
        <v>11</v>
      </c>
      <c r="E2677" s="9">
        <v>29</v>
      </c>
      <c r="F2677" t="s">
        <v>12</v>
      </c>
      <c r="G2677" t="s">
        <v>13</v>
      </c>
      <c r="H2677" s="8">
        <v>42295</v>
      </c>
      <c r="I2677">
        <v>21908.77</v>
      </c>
      <c r="K2677" s="8"/>
    </row>
    <row r="2678" spans="1:11">
      <c r="A2678">
        <v>100002677</v>
      </c>
      <c r="B2678" t="s">
        <v>308</v>
      </c>
      <c r="C2678" t="s">
        <v>307</v>
      </c>
      <c r="D2678" t="s">
        <v>16</v>
      </c>
      <c r="E2678" s="9">
        <v>38</v>
      </c>
      <c r="F2678" t="s">
        <v>12</v>
      </c>
      <c r="G2678" t="s">
        <v>13</v>
      </c>
      <c r="H2678" s="7">
        <v>42295</v>
      </c>
      <c r="I2678">
        <v>39171.72</v>
      </c>
      <c r="K2678" s="7"/>
    </row>
    <row r="2679" spans="1:11">
      <c r="A2679">
        <v>100002678</v>
      </c>
      <c r="B2679" t="s">
        <v>105</v>
      </c>
      <c r="C2679" t="s">
        <v>259</v>
      </c>
      <c r="D2679" t="s">
        <v>16</v>
      </c>
      <c r="E2679" s="9">
        <v>35</v>
      </c>
      <c r="F2679" t="s">
        <v>12</v>
      </c>
      <c r="G2679" t="s">
        <v>13</v>
      </c>
      <c r="H2679" s="8">
        <v>42295</v>
      </c>
      <c r="I2679">
        <v>11634.97</v>
      </c>
      <c r="K2679" s="8"/>
    </row>
    <row r="2680" spans="1:11">
      <c r="A2680">
        <v>100002679</v>
      </c>
      <c r="B2680" t="s">
        <v>48</v>
      </c>
      <c r="C2680" t="s">
        <v>41</v>
      </c>
      <c r="D2680" t="s">
        <v>16</v>
      </c>
      <c r="E2680" s="9">
        <v>46</v>
      </c>
      <c r="F2680" t="s">
        <v>12</v>
      </c>
      <c r="G2680" t="s">
        <v>18</v>
      </c>
      <c r="H2680" s="7">
        <v>42295</v>
      </c>
      <c r="I2680">
        <v>9564.07</v>
      </c>
      <c r="K2680" s="7"/>
    </row>
    <row r="2681" spans="1:11">
      <c r="A2681">
        <v>100002680</v>
      </c>
      <c r="B2681" t="s">
        <v>34</v>
      </c>
      <c r="C2681" t="s">
        <v>109</v>
      </c>
      <c r="D2681" t="s">
        <v>16</v>
      </c>
      <c r="E2681" s="9">
        <v>27</v>
      </c>
      <c r="F2681" t="s">
        <v>12</v>
      </c>
      <c r="G2681" t="s">
        <v>13</v>
      </c>
      <c r="H2681" s="8">
        <v>42295</v>
      </c>
      <c r="I2681">
        <v>23183.41</v>
      </c>
      <c r="K2681" s="8"/>
    </row>
    <row r="2682" spans="1:11">
      <c r="A2682">
        <v>100002681</v>
      </c>
      <c r="B2682" t="s">
        <v>141</v>
      </c>
      <c r="C2682" t="s">
        <v>59</v>
      </c>
      <c r="D2682" t="s">
        <v>11</v>
      </c>
      <c r="E2682" s="9">
        <v>34</v>
      </c>
      <c r="F2682" t="s">
        <v>12</v>
      </c>
      <c r="G2682" t="s">
        <v>13</v>
      </c>
      <c r="H2682" s="7">
        <v>42295</v>
      </c>
      <c r="I2682">
        <v>24433.040000000001</v>
      </c>
      <c r="K2682" s="7"/>
    </row>
    <row r="2683" spans="1:11">
      <c r="A2683">
        <v>100002682</v>
      </c>
      <c r="B2683" t="s">
        <v>117</v>
      </c>
      <c r="C2683" t="s">
        <v>266</v>
      </c>
      <c r="D2683" t="s">
        <v>16</v>
      </c>
      <c r="E2683" s="9">
        <v>25</v>
      </c>
      <c r="F2683" t="s">
        <v>12</v>
      </c>
      <c r="G2683" t="s">
        <v>13</v>
      </c>
      <c r="H2683" s="8">
        <v>42295</v>
      </c>
      <c r="I2683">
        <v>13710.31</v>
      </c>
      <c r="K2683" s="8"/>
    </row>
    <row r="2684" spans="1:11">
      <c r="A2684">
        <v>100002683</v>
      </c>
      <c r="B2684" t="s">
        <v>46</v>
      </c>
      <c r="C2684" t="s">
        <v>15</v>
      </c>
      <c r="D2684" t="s">
        <v>11</v>
      </c>
      <c r="E2684" s="9">
        <v>36</v>
      </c>
      <c r="F2684" t="s">
        <v>12</v>
      </c>
      <c r="G2684" t="s">
        <v>13</v>
      </c>
      <c r="H2684" s="7">
        <v>42295</v>
      </c>
      <c r="I2684">
        <v>61333.01</v>
      </c>
      <c r="K2684" s="7"/>
    </row>
    <row r="2685" spans="1:11">
      <c r="A2685">
        <v>100002684</v>
      </c>
      <c r="B2685" t="s">
        <v>168</v>
      </c>
      <c r="C2685" t="s">
        <v>269</v>
      </c>
      <c r="D2685" t="s">
        <v>16</v>
      </c>
      <c r="E2685" s="9">
        <v>46</v>
      </c>
      <c r="F2685" t="s">
        <v>12</v>
      </c>
      <c r="G2685" t="s">
        <v>33</v>
      </c>
      <c r="H2685" s="8">
        <v>42295</v>
      </c>
      <c r="I2685">
        <v>49374.99</v>
      </c>
      <c r="K2685" s="8"/>
    </row>
    <row r="2686" spans="1:11">
      <c r="A2686">
        <v>200002685</v>
      </c>
      <c r="B2686" t="s">
        <v>316</v>
      </c>
      <c r="C2686" t="s">
        <v>237</v>
      </c>
      <c r="D2686" t="s">
        <v>16</v>
      </c>
      <c r="E2686" s="9">
        <v>49</v>
      </c>
      <c r="F2686" t="s">
        <v>32</v>
      </c>
      <c r="G2686" t="s">
        <v>33</v>
      </c>
      <c r="H2686" s="7">
        <v>42295</v>
      </c>
      <c r="I2686">
        <v>29854.639999999999</v>
      </c>
      <c r="K2686" s="7"/>
    </row>
    <row r="2687" spans="1:11">
      <c r="A2687">
        <v>200002686</v>
      </c>
      <c r="B2687" t="s">
        <v>273</v>
      </c>
      <c r="C2687" t="s">
        <v>211</v>
      </c>
      <c r="D2687" t="s">
        <v>11</v>
      </c>
      <c r="E2687" s="9">
        <v>57</v>
      </c>
      <c r="F2687" t="s">
        <v>32</v>
      </c>
      <c r="G2687" t="s">
        <v>18</v>
      </c>
      <c r="H2687" s="8">
        <v>42295</v>
      </c>
      <c r="I2687">
        <v>42706.66</v>
      </c>
      <c r="K2687" s="8"/>
    </row>
    <row r="2688" spans="1:11">
      <c r="A2688">
        <v>200002687</v>
      </c>
      <c r="B2688" t="s">
        <v>70</v>
      </c>
      <c r="C2688" t="s">
        <v>183</v>
      </c>
      <c r="D2688" t="s">
        <v>11</v>
      </c>
      <c r="E2688" s="9">
        <v>50</v>
      </c>
      <c r="F2688" t="s">
        <v>32</v>
      </c>
      <c r="G2688" t="s">
        <v>18</v>
      </c>
      <c r="H2688" s="7">
        <v>42295</v>
      </c>
      <c r="I2688">
        <v>82077.52</v>
      </c>
      <c r="K2688" s="7"/>
    </row>
    <row r="2689" spans="1:11">
      <c r="A2689">
        <v>200002688</v>
      </c>
      <c r="B2689" t="s">
        <v>243</v>
      </c>
      <c r="C2689" t="s">
        <v>59</v>
      </c>
      <c r="D2689" t="s">
        <v>16</v>
      </c>
      <c r="E2689" s="9">
        <v>50</v>
      </c>
      <c r="F2689" t="s">
        <v>32</v>
      </c>
      <c r="G2689" t="s">
        <v>33</v>
      </c>
      <c r="H2689" s="8">
        <v>42295</v>
      </c>
      <c r="I2689">
        <v>15104.72</v>
      </c>
      <c r="K2689" s="8"/>
    </row>
    <row r="2690" spans="1:11">
      <c r="A2690">
        <v>300002689</v>
      </c>
      <c r="B2690" t="s">
        <v>177</v>
      </c>
      <c r="C2690" t="s">
        <v>278</v>
      </c>
      <c r="D2690" t="s">
        <v>11</v>
      </c>
      <c r="E2690" s="9">
        <v>31</v>
      </c>
      <c r="F2690" t="s">
        <v>23</v>
      </c>
      <c r="G2690" t="s">
        <v>18</v>
      </c>
      <c r="H2690" s="7">
        <v>42295</v>
      </c>
      <c r="I2690">
        <v>42471.07</v>
      </c>
      <c r="K2690" s="7"/>
    </row>
    <row r="2691" spans="1:11">
      <c r="A2691">
        <v>300002690</v>
      </c>
      <c r="B2691" t="s">
        <v>137</v>
      </c>
      <c r="C2691" t="s">
        <v>222</v>
      </c>
      <c r="D2691" t="s">
        <v>11</v>
      </c>
      <c r="E2691" s="9">
        <v>44</v>
      </c>
      <c r="F2691" t="s">
        <v>23</v>
      </c>
      <c r="G2691" t="s">
        <v>33</v>
      </c>
      <c r="H2691" s="8">
        <v>42295</v>
      </c>
      <c r="I2691">
        <v>16627.150000000001</v>
      </c>
      <c r="K2691" s="8"/>
    </row>
    <row r="2692" spans="1:11">
      <c r="A2692">
        <v>400002691</v>
      </c>
      <c r="B2692" t="s">
        <v>180</v>
      </c>
      <c r="C2692" t="s">
        <v>270</v>
      </c>
      <c r="D2692" t="s">
        <v>16</v>
      </c>
      <c r="E2692" s="9">
        <v>42</v>
      </c>
      <c r="F2692" t="s">
        <v>17</v>
      </c>
      <c r="G2692" t="s">
        <v>33</v>
      </c>
      <c r="H2692" s="7">
        <v>42295</v>
      </c>
      <c r="I2692">
        <v>46393.55</v>
      </c>
      <c r="K2692" s="7"/>
    </row>
    <row r="2693" spans="1:11">
      <c r="A2693">
        <v>100002692</v>
      </c>
      <c r="B2693" t="s">
        <v>308</v>
      </c>
      <c r="C2693" t="s">
        <v>313</v>
      </c>
      <c r="D2693" t="s">
        <v>16</v>
      </c>
      <c r="E2693" s="9">
        <v>39</v>
      </c>
      <c r="F2693" t="s">
        <v>12</v>
      </c>
      <c r="G2693" t="s">
        <v>33</v>
      </c>
      <c r="H2693" s="8">
        <v>42296</v>
      </c>
      <c r="I2693">
        <v>34441.919999999998</v>
      </c>
      <c r="K2693" s="8"/>
    </row>
    <row r="2694" spans="1:11">
      <c r="A2694">
        <v>100002693</v>
      </c>
      <c r="B2694" t="s">
        <v>188</v>
      </c>
      <c r="C2694" t="s">
        <v>237</v>
      </c>
      <c r="D2694" t="s">
        <v>11</v>
      </c>
      <c r="E2694" s="9">
        <v>35</v>
      </c>
      <c r="F2694" t="s">
        <v>12</v>
      </c>
      <c r="G2694" t="s">
        <v>13</v>
      </c>
      <c r="H2694" s="7">
        <v>42296</v>
      </c>
      <c r="I2694">
        <v>49048.13</v>
      </c>
      <c r="K2694" s="7"/>
    </row>
    <row r="2695" spans="1:11">
      <c r="A2695">
        <v>100002694</v>
      </c>
      <c r="B2695" t="s">
        <v>255</v>
      </c>
      <c r="C2695" t="s">
        <v>212</v>
      </c>
      <c r="D2695" t="s">
        <v>11</v>
      </c>
      <c r="E2695" s="9">
        <v>34</v>
      </c>
      <c r="F2695" t="s">
        <v>12</v>
      </c>
      <c r="G2695" t="s">
        <v>13</v>
      </c>
      <c r="H2695" s="8">
        <v>42296</v>
      </c>
      <c r="I2695">
        <v>16194.49</v>
      </c>
      <c r="K2695" s="8"/>
    </row>
    <row r="2696" spans="1:11">
      <c r="A2696">
        <v>200002695</v>
      </c>
      <c r="B2696" t="s">
        <v>175</v>
      </c>
      <c r="C2696" t="s">
        <v>123</v>
      </c>
      <c r="D2696" t="s">
        <v>11</v>
      </c>
      <c r="E2696" s="9">
        <v>57</v>
      </c>
      <c r="F2696" t="s">
        <v>32</v>
      </c>
      <c r="G2696" t="s">
        <v>18</v>
      </c>
      <c r="H2696" s="7">
        <v>42296</v>
      </c>
      <c r="I2696">
        <v>106232.34</v>
      </c>
      <c r="K2696" s="7"/>
    </row>
    <row r="2697" spans="1:11">
      <c r="A2697">
        <v>200002696</v>
      </c>
      <c r="B2697" t="s">
        <v>152</v>
      </c>
      <c r="C2697" t="s">
        <v>252</v>
      </c>
      <c r="D2697" t="s">
        <v>11</v>
      </c>
      <c r="E2697" s="9">
        <v>43</v>
      </c>
      <c r="F2697" t="s">
        <v>32</v>
      </c>
      <c r="G2697" t="s">
        <v>18</v>
      </c>
      <c r="H2697" s="8">
        <v>42296</v>
      </c>
      <c r="I2697">
        <v>61360.639999999999</v>
      </c>
      <c r="K2697" s="8"/>
    </row>
    <row r="2698" spans="1:11">
      <c r="A2698">
        <v>200002697</v>
      </c>
      <c r="B2698" t="s">
        <v>145</v>
      </c>
      <c r="C2698" t="s">
        <v>307</v>
      </c>
      <c r="D2698" t="s">
        <v>11</v>
      </c>
      <c r="E2698" s="9">
        <v>47</v>
      </c>
      <c r="F2698" t="s">
        <v>32</v>
      </c>
      <c r="G2698" t="s">
        <v>33</v>
      </c>
      <c r="H2698" s="7">
        <v>42296</v>
      </c>
      <c r="I2698">
        <v>60277.8</v>
      </c>
      <c r="K2698" s="7"/>
    </row>
    <row r="2699" spans="1:11">
      <c r="A2699">
        <v>400002698</v>
      </c>
      <c r="B2699" t="s">
        <v>40</v>
      </c>
      <c r="C2699" t="s">
        <v>163</v>
      </c>
      <c r="D2699" t="s">
        <v>11</v>
      </c>
      <c r="E2699" s="9">
        <v>25</v>
      </c>
      <c r="F2699" t="s">
        <v>17</v>
      </c>
      <c r="G2699" t="s">
        <v>13</v>
      </c>
      <c r="H2699" s="8">
        <v>42296</v>
      </c>
      <c r="I2699">
        <v>22186.17</v>
      </c>
      <c r="K2699" s="8"/>
    </row>
    <row r="2700" spans="1:11">
      <c r="A2700">
        <v>400002699</v>
      </c>
      <c r="B2700" t="s">
        <v>34</v>
      </c>
      <c r="C2700" t="s">
        <v>260</v>
      </c>
      <c r="D2700" t="s">
        <v>16</v>
      </c>
      <c r="E2700" s="9">
        <v>61</v>
      </c>
      <c r="F2700" t="s">
        <v>17</v>
      </c>
      <c r="G2700" t="s">
        <v>13</v>
      </c>
      <c r="H2700" s="7">
        <v>42296</v>
      </c>
      <c r="I2700">
        <v>4387.05</v>
      </c>
      <c r="K2700" s="7"/>
    </row>
    <row r="2701" spans="1:11">
      <c r="A2701">
        <v>100002700</v>
      </c>
      <c r="B2701" t="s">
        <v>287</v>
      </c>
      <c r="C2701" t="s">
        <v>219</v>
      </c>
      <c r="D2701" t="s">
        <v>16</v>
      </c>
      <c r="E2701" s="9">
        <v>35</v>
      </c>
      <c r="F2701" t="s">
        <v>12</v>
      </c>
      <c r="G2701" t="s">
        <v>13</v>
      </c>
      <c r="H2701" s="8">
        <v>42297</v>
      </c>
      <c r="I2701">
        <v>10247.99</v>
      </c>
      <c r="K2701" s="8"/>
    </row>
    <row r="2702" spans="1:11">
      <c r="A2702">
        <v>100002701</v>
      </c>
      <c r="B2702" t="s">
        <v>161</v>
      </c>
      <c r="C2702" t="s">
        <v>307</v>
      </c>
      <c r="D2702" t="s">
        <v>16</v>
      </c>
      <c r="E2702" s="9">
        <v>23</v>
      </c>
      <c r="F2702" t="s">
        <v>12</v>
      </c>
      <c r="G2702" t="s">
        <v>33</v>
      </c>
      <c r="H2702" s="7">
        <v>42297</v>
      </c>
      <c r="I2702">
        <v>20148.509999999998</v>
      </c>
      <c r="K2702" s="7"/>
    </row>
    <row r="2703" spans="1:11">
      <c r="A2703">
        <v>100002702</v>
      </c>
      <c r="B2703" t="s">
        <v>197</v>
      </c>
      <c r="C2703" t="s">
        <v>91</v>
      </c>
      <c r="D2703" t="s">
        <v>11</v>
      </c>
      <c r="E2703" s="9">
        <v>34</v>
      </c>
      <c r="F2703" t="s">
        <v>12</v>
      </c>
      <c r="G2703" t="s">
        <v>13</v>
      </c>
      <c r="H2703" s="8">
        <v>42297</v>
      </c>
      <c r="I2703">
        <v>20922.689999999999</v>
      </c>
      <c r="K2703" s="8"/>
    </row>
    <row r="2704" spans="1:11">
      <c r="A2704">
        <v>100002703</v>
      </c>
      <c r="B2704" t="s">
        <v>215</v>
      </c>
      <c r="C2704" t="s">
        <v>95</v>
      </c>
      <c r="D2704" t="s">
        <v>16</v>
      </c>
      <c r="E2704" s="9">
        <v>38</v>
      </c>
      <c r="F2704" t="s">
        <v>12</v>
      </c>
      <c r="G2704" t="s">
        <v>13</v>
      </c>
      <c r="H2704" s="7">
        <v>42297</v>
      </c>
      <c r="I2704">
        <v>22690.73</v>
      </c>
      <c r="K2704" s="7"/>
    </row>
    <row r="2705" spans="1:11">
      <c r="A2705">
        <v>100002704</v>
      </c>
      <c r="B2705" t="s">
        <v>112</v>
      </c>
      <c r="C2705" t="s">
        <v>201</v>
      </c>
      <c r="D2705" t="s">
        <v>11</v>
      </c>
      <c r="E2705" s="9">
        <v>45</v>
      </c>
      <c r="F2705" t="s">
        <v>12</v>
      </c>
      <c r="G2705" t="s">
        <v>18</v>
      </c>
      <c r="H2705" s="8">
        <v>42297</v>
      </c>
      <c r="I2705">
        <v>48234.65</v>
      </c>
      <c r="K2705" s="8"/>
    </row>
    <row r="2706" spans="1:11">
      <c r="A2706">
        <v>100002705</v>
      </c>
      <c r="B2706" t="s">
        <v>223</v>
      </c>
      <c r="C2706" t="s">
        <v>153</v>
      </c>
      <c r="D2706" t="s">
        <v>16</v>
      </c>
      <c r="E2706" s="9">
        <v>34</v>
      </c>
      <c r="F2706" t="s">
        <v>12</v>
      </c>
      <c r="G2706" t="s">
        <v>18</v>
      </c>
      <c r="H2706" s="7">
        <v>42297</v>
      </c>
      <c r="I2706">
        <v>75592.09</v>
      </c>
      <c r="K2706" s="7"/>
    </row>
    <row r="2707" spans="1:11">
      <c r="A2707">
        <v>100002706</v>
      </c>
      <c r="B2707" t="s">
        <v>220</v>
      </c>
      <c r="C2707" t="s">
        <v>290</v>
      </c>
      <c r="D2707" t="s">
        <v>16</v>
      </c>
      <c r="E2707" s="9">
        <v>24</v>
      </c>
      <c r="F2707" t="s">
        <v>12</v>
      </c>
      <c r="G2707" t="s">
        <v>33</v>
      </c>
      <c r="H2707" s="8">
        <v>42297</v>
      </c>
      <c r="I2707">
        <v>92201.51</v>
      </c>
      <c r="K2707" s="8"/>
    </row>
    <row r="2708" spans="1:11">
      <c r="A2708">
        <v>100002707</v>
      </c>
      <c r="B2708" t="s">
        <v>81</v>
      </c>
      <c r="C2708" t="s">
        <v>306</v>
      </c>
      <c r="D2708" t="s">
        <v>16</v>
      </c>
      <c r="E2708" s="9">
        <v>49</v>
      </c>
      <c r="F2708" t="s">
        <v>12</v>
      </c>
      <c r="G2708" t="s">
        <v>33</v>
      </c>
      <c r="H2708" s="7">
        <v>42297</v>
      </c>
      <c r="I2708">
        <v>41652.839999999997</v>
      </c>
      <c r="K2708" s="7"/>
    </row>
    <row r="2709" spans="1:11">
      <c r="A2709">
        <v>100002708</v>
      </c>
      <c r="B2709" t="s">
        <v>256</v>
      </c>
      <c r="C2709" t="s">
        <v>49</v>
      </c>
      <c r="D2709" t="s">
        <v>16</v>
      </c>
      <c r="E2709" s="9">
        <v>32</v>
      </c>
      <c r="F2709" t="s">
        <v>12</v>
      </c>
      <c r="G2709" t="s">
        <v>13</v>
      </c>
      <c r="H2709" s="8">
        <v>42297</v>
      </c>
      <c r="I2709">
        <v>6968.37</v>
      </c>
      <c r="K2709" s="8"/>
    </row>
    <row r="2710" spans="1:11">
      <c r="A2710">
        <v>200002709</v>
      </c>
      <c r="B2710" t="s">
        <v>21</v>
      </c>
      <c r="C2710" t="s">
        <v>100</v>
      </c>
      <c r="D2710" t="s">
        <v>11</v>
      </c>
      <c r="E2710" s="9">
        <v>53</v>
      </c>
      <c r="F2710" t="s">
        <v>32</v>
      </c>
      <c r="G2710" t="s">
        <v>33</v>
      </c>
      <c r="H2710" s="7">
        <v>42297</v>
      </c>
      <c r="I2710">
        <v>49863.23</v>
      </c>
      <c r="K2710" s="7"/>
    </row>
    <row r="2711" spans="1:11">
      <c r="A2711">
        <v>200002710</v>
      </c>
      <c r="B2711" t="s">
        <v>296</v>
      </c>
      <c r="C2711" t="s">
        <v>107</v>
      </c>
      <c r="D2711" t="s">
        <v>11</v>
      </c>
      <c r="E2711" s="9">
        <v>45</v>
      </c>
      <c r="F2711" t="s">
        <v>32</v>
      </c>
      <c r="G2711" t="s">
        <v>18</v>
      </c>
      <c r="H2711" s="8">
        <v>42297</v>
      </c>
      <c r="I2711">
        <v>17520.080000000002</v>
      </c>
      <c r="K2711" s="8"/>
    </row>
    <row r="2712" spans="1:11">
      <c r="A2712">
        <v>200002711</v>
      </c>
      <c r="B2712" t="s">
        <v>51</v>
      </c>
      <c r="C2712" t="s">
        <v>156</v>
      </c>
      <c r="D2712" t="s">
        <v>11</v>
      </c>
      <c r="E2712" s="9">
        <v>47</v>
      </c>
      <c r="F2712" t="s">
        <v>32</v>
      </c>
      <c r="G2712" t="s">
        <v>33</v>
      </c>
      <c r="H2712" s="7">
        <v>42297</v>
      </c>
      <c r="I2712">
        <v>27955.18</v>
      </c>
      <c r="K2712" s="7"/>
    </row>
    <row r="2713" spans="1:11">
      <c r="A2713">
        <v>200002712</v>
      </c>
      <c r="B2713" t="s">
        <v>206</v>
      </c>
      <c r="C2713" t="s">
        <v>242</v>
      </c>
      <c r="D2713" t="s">
        <v>11</v>
      </c>
      <c r="E2713" s="9">
        <v>55</v>
      </c>
      <c r="F2713" t="s">
        <v>32</v>
      </c>
      <c r="G2713" t="s">
        <v>18</v>
      </c>
      <c r="H2713" s="8">
        <v>42297</v>
      </c>
      <c r="I2713">
        <v>6727.7</v>
      </c>
      <c r="K2713" s="8"/>
    </row>
    <row r="2714" spans="1:11">
      <c r="A2714">
        <v>300002713</v>
      </c>
      <c r="B2714" t="s">
        <v>110</v>
      </c>
      <c r="C2714" t="s">
        <v>272</v>
      </c>
      <c r="D2714" t="s">
        <v>16</v>
      </c>
      <c r="E2714" s="9">
        <v>35</v>
      </c>
      <c r="F2714" t="s">
        <v>23</v>
      </c>
      <c r="G2714" t="s">
        <v>33</v>
      </c>
      <c r="H2714" s="7">
        <v>42297</v>
      </c>
      <c r="I2714">
        <v>23072.45</v>
      </c>
      <c r="K2714" s="7"/>
    </row>
    <row r="2715" spans="1:11">
      <c r="A2715">
        <v>300002714</v>
      </c>
      <c r="B2715" t="s">
        <v>111</v>
      </c>
      <c r="C2715" t="s">
        <v>242</v>
      </c>
      <c r="D2715" t="s">
        <v>11</v>
      </c>
      <c r="E2715" s="9">
        <v>35</v>
      </c>
      <c r="F2715" t="s">
        <v>23</v>
      </c>
      <c r="G2715" t="s">
        <v>18</v>
      </c>
      <c r="H2715" s="8">
        <v>42297</v>
      </c>
      <c r="I2715">
        <v>1819.36</v>
      </c>
      <c r="K2715" s="8"/>
    </row>
    <row r="2716" spans="1:11">
      <c r="A2716">
        <v>300002715</v>
      </c>
      <c r="B2716" t="s">
        <v>273</v>
      </c>
      <c r="C2716" t="s">
        <v>93</v>
      </c>
      <c r="D2716" t="s">
        <v>11</v>
      </c>
      <c r="E2716" s="9">
        <v>33</v>
      </c>
      <c r="F2716" t="s">
        <v>23</v>
      </c>
      <c r="G2716" t="s">
        <v>13</v>
      </c>
      <c r="H2716" s="7">
        <v>42297</v>
      </c>
      <c r="I2716">
        <v>27843.26</v>
      </c>
      <c r="K2716" s="7"/>
    </row>
    <row r="2717" spans="1:11">
      <c r="A2717">
        <v>400002716</v>
      </c>
      <c r="B2717" t="s">
        <v>223</v>
      </c>
      <c r="C2717" t="s">
        <v>238</v>
      </c>
      <c r="D2717" t="s">
        <v>16</v>
      </c>
      <c r="E2717" s="9">
        <v>31</v>
      </c>
      <c r="F2717" t="s">
        <v>17</v>
      </c>
      <c r="G2717" t="s">
        <v>13</v>
      </c>
      <c r="H2717" s="8">
        <v>42297</v>
      </c>
      <c r="I2717">
        <v>60850.03</v>
      </c>
      <c r="K2717" s="8"/>
    </row>
    <row r="2718" spans="1:11">
      <c r="A2718">
        <v>400002717</v>
      </c>
      <c r="B2718" t="s">
        <v>150</v>
      </c>
      <c r="C2718" t="s">
        <v>82</v>
      </c>
      <c r="D2718" t="s">
        <v>16</v>
      </c>
      <c r="E2718" s="9">
        <v>31</v>
      </c>
      <c r="F2718" t="s">
        <v>17</v>
      </c>
      <c r="G2718" t="s">
        <v>18</v>
      </c>
      <c r="H2718" s="7">
        <v>42297</v>
      </c>
      <c r="I2718">
        <v>39120.910000000003</v>
      </c>
      <c r="K2718" s="7"/>
    </row>
    <row r="2719" spans="1:11">
      <c r="A2719">
        <v>100002718</v>
      </c>
      <c r="B2719" t="s">
        <v>190</v>
      </c>
      <c r="C2719" t="s">
        <v>98</v>
      </c>
      <c r="D2719" t="s">
        <v>11</v>
      </c>
      <c r="E2719" s="9">
        <v>28</v>
      </c>
      <c r="F2719" t="s">
        <v>12</v>
      </c>
      <c r="G2719" t="s">
        <v>13</v>
      </c>
      <c r="H2719" s="8">
        <v>42298</v>
      </c>
      <c r="I2719">
        <v>62077.51</v>
      </c>
      <c r="K2719" s="8"/>
    </row>
    <row r="2720" spans="1:11">
      <c r="A2720">
        <v>100002719</v>
      </c>
      <c r="B2720" t="s">
        <v>214</v>
      </c>
      <c r="C2720" t="s">
        <v>295</v>
      </c>
      <c r="D2720" t="s">
        <v>11</v>
      </c>
      <c r="E2720" s="9">
        <v>45</v>
      </c>
      <c r="F2720" t="s">
        <v>12</v>
      </c>
      <c r="G2720" t="s">
        <v>33</v>
      </c>
      <c r="H2720" s="7">
        <v>42298</v>
      </c>
      <c r="I2720">
        <v>41348.080000000002</v>
      </c>
      <c r="K2720" s="7"/>
    </row>
    <row r="2721" spans="1:11">
      <c r="A2721">
        <v>100002720</v>
      </c>
      <c r="B2721" t="s">
        <v>193</v>
      </c>
      <c r="C2721" t="s">
        <v>138</v>
      </c>
      <c r="D2721" t="s">
        <v>11</v>
      </c>
      <c r="E2721" s="9">
        <v>38</v>
      </c>
      <c r="F2721" t="s">
        <v>12</v>
      </c>
      <c r="G2721" t="s">
        <v>18</v>
      </c>
      <c r="H2721" s="8">
        <v>42298</v>
      </c>
      <c r="I2721">
        <v>12881.77</v>
      </c>
      <c r="K2721" s="8"/>
    </row>
    <row r="2722" spans="1:11">
      <c r="A2722">
        <v>100002721</v>
      </c>
      <c r="B2722" t="s">
        <v>83</v>
      </c>
      <c r="C2722" t="s">
        <v>227</v>
      </c>
      <c r="D2722" t="s">
        <v>16</v>
      </c>
      <c r="E2722" s="9">
        <v>33</v>
      </c>
      <c r="F2722" t="s">
        <v>12</v>
      </c>
      <c r="G2722" t="s">
        <v>13</v>
      </c>
      <c r="H2722" s="7">
        <v>42298</v>
      </c>
      <c r="I2722">
        <v>76455.17</v>
      </c>
      <c r="K2722" s="7"/>
    </row>
    <row r="2723" spans="1:11">
      <c r="A2723">
        <v>100002722</v>
      </c>
      <c r="B2723" t="s">
        <v>50</v>
      </c>
      <c r="C2723" t="s">
        <v>178</v>
      </c>
      <c r="D2723" t="s">
        <v>16</v>
      </c>
      <c r="E2723" s="9">
        <v>46</v>
      </c>
      <c r="F2723" t="s">
        <v>12</v>
      </c>
      <c r="G2723" t="s">
        <v>33</v>
      </c>
      <c r="H2723" s="8">
        <v>42298</v>
      </c>
      <c r="I2723">
        <v>50959.4</v>
      </c>
      <c r="K2723" s="8"/>
    </row>
    <row r="2724" spans="1:11">
      <c r="A2724">
        <v>100002723</v>
      </c>
      <c r="B2724" t="s">
        <v>186</v>
      </c>
      <c r="C2724" t="s">
        <v>124</v>
      </c>
      <c r="D2724" t="s">
        <v>11</v>
      </c>
      <c r="E2724" s="9">
        <v>33</v>
      </c>
      <c r="F2724" t="s">
        <v>12</v>
      </c>
      <c r="G2724" t="s">
        <v>33</v>
      </c>
      <c r="H2724" s="7">
        <v>42298</v>
      </c>
      <c r="I2724">
        <v>68310.37</v>
      </c>
      <c r="K2724" s="7"/>
    </row>
    <row r="2725" spans="1:11">
      <c r="A2725">
        <v>100002724</v>
      </c>
      <c r="B2725" t="s">
        <v>316</v>
      </c>
      <c r="C2725" t="s">
        <v>67</v>
      </c>
      <c r="D2725" t="s">
        <v>16</v>
      </c>
      <c r="E2725" s="9">
        <v>33</v>
      </c>
      <c r="F2725" t="s">
        <v>12</v>
      </c>
      <c r="G2725" t="s">
        <v>13</v>
      </c>
      <c r="H2725" s="8">
        <v>42298</v>
      </c>
      <c r="I2725">
        <v>37520.39</v>
      </c>
      <c r="K2725" s="8"/>
    </row>
    <row r="2726" spans="1:11">
      <c r="A2726">
        <v>200002725</v>
      </c>
      <c r="B2726" t="s">
        <v>173</v>
      </c>
      <c r="C2726" t="s">
        <v>272</v>
      </c>
      <c r="D2726" t="s">
        <v>11</v>
      </c>
      <c r="E2726" s="9">
        <v>55</v>
      </c>
      <c r="F2726" t="s">
        <v>32</v>
      </c>
      <c r="G2726" t="s">
        <v>18</v>
      </c>
      <c r="H2726" s="7">
        <v>42298</v>
      </c>
      <c r="I2726">
        <v>48227.16</v>
      </c>
      <c r="K2726" s="7"/>
    </row>
    <row r="2727" spans="1:11">
      <c r="A2727">
        <v>300002726</v>
      </c>
      <c r="B2727" t="s">
        <v>128</v>
      </c>
      <c r="C2727" t="s">
        <v>162</v>
      </c>
      <c r="D2727" t="s">
        <v>16</v>
      </c>
      <c r="E2727" s="9">
        <v>41</v>
      </c>
      <c r="F2727" t="s">
        <v>23</v>
      </c>
      <c r="G2727" t="s">
        <v>13</v>
      </c>
      <c r="H2727" s="8">
        <v>42298</v>
      </c>
      <c r="I2727">
        <v>57699.86</v>
      </c>
      <c r="K2727" s="8"/>
    </row>
    <row r="2728" spans="1:11">
      <c r="A2728">
        <v>300002727</v>
      </c>
      <c r="B2728" t="s">
        <v>312</v>
      </c>
      <c r="C2728" t="s">
        <v>157</v>
      </c>
      <c r="D2728" t="s">
        <v>11</v>
      </c>
      <c r="E2728" s="9">
        <v>34</v>
      </c>
      <c r="F2728" t="s">
        <v>23</v>
      </c>
      <c r="G2728" t="s">
        <v>18</v>
      </c>
      <c r="H2728" s="7">
        <v>42298</v>
      </c>
      <c r="I2728">
        <v>37254.18</v>
      </c>
      <c r="K2728" s="7"/>
    </row>
    <row r="2729" spans="1:11">
      <c r="A2729">
        <v>300002728</v>
      </c>
      <c r="B2729" t="s">
        <v>76</v>
      </c>
      <c r="C2729" t="s">
        <v>49</v>
      </c>
      <c r="D2729" t="s">
        <v>11</v>
      </c>
      <c r="E2729" s="9">
        <v>47</v>
      </c>
      <c r="F2729" t="s">
        <v>23</v>
      </c>
      <c r="G2729" t="s">
        <v>18</v>
      </c>
      <c r="H2729" s="8">
        <v>42298</v>
      </c>
      <c r="I2729">
        <v>128488.01</v>
      </c>
      <c r="K2729" s="8"/>
    </row>
    <row r="2730" spans="1:11">
      <c r="A2730">
        <v>300002729</v>
      </c>
      <c r="B2730" t="s">
        <v>188</v>
      </c>
      <c r="C2730" t="s">
        <v>121</v>
      </c>
      <c r="D2730" t="s">
        <v>11</v>
      </c>
      <c r="E2730" s="9">
        <v>33</v>
      </c>
      <c r="F2730" t="s">
        <v>23</v>
      </c>
      <c r="G2730" t="s">
        <v>13</v>
      </c>
      <c r="H2730" s="7">
        <v>42298</v>
      </c>
      <c r="I2730">
        <v>11224.82</v>
      </c>
      <c r="K2730" s="7"/>
    </row>
    <row r="2731" spans="1:11">
      <c r="A2731">
        <v>300002730</v>
      </c>
      <c r="B2731" t="s">
        <v>84</v>
      </c>
      <c r="C2731" t="s">
        <v>100</v>
      </c>
      <c r="D2731" t="s">
        <v>16</v>
      </c>
      <c r="E2731" s="9">
        <v>36</v>
      </c>
      <c r="F2731" t="s">
        <v>23</v>
      </c>
      <c r="G2731" t="s">
        <v>13</v>
      </c>
      <c r="H2731" s="8">
        <v>42298</v>
      </c>
      <c r="I2731">
        <v>19045.64</v>
      </c>
      <c r="K2731" s="8"/>
    </row>
    <row r="2732" spans="1:11">
      <c r="A2732">
        <v>100002731</v>
      </c>
      <c r="B2732" t="s">
        <v>161</v>
      </c>
      <c r="C2732" t="s">
        <v>87</v>
      </c>
      <c r="D2732" t="s">
        <v>16</v>
      </c>
      <c r="E2732" s="9">
        <v>36</v>
      </c>
      <c r="F2732" t="s">
        <v>12</v>
      </c>
      <c r="G2732" t="s">
        <v>33</v>
      </c>
      <c r="H2732" s="7">
        <v>42299</v>
      </c>
      <c r="I2732">
        <v>39639.300000000003</v>
      </c>
      <c r="K2732" s="7"/>
    </row>
    <row r="2733" spans="1:11">
      <c r="A2733">
        <v>100002732</v>
      </c>
      <c r="B2733" t="s">
        <v>103</v>
      </c>
      <c r="C2733" t="s">
        <v>10</v>
      </c>
      <c r="D2733" t="s">
        <v>11</v>
      </c>
      <c r="E2733" s="9">
        <v>32</v>
      </c>
      <c r="F2733" t="s">
        <v>12</v>
      </c>
      <c r="G2733" t="s">
        <v>13</v>
      </c>
      <c r="H2733" s="8">
        <v>42299</v>
      </c>
      <c r="I2733">
        <v>49778.16</v>
      </c>
      <c r="K2733" s="8"/>
    </row>
    <row r="2734" spans="1:11">
      <c r="A2734">
        <v>100002733</v>
      </c>
      <c r="B2734" t="s">
        <v>251</v>
      </c>
      <c r="C2734" t="s">
        <v>170</v>
      </c>
      <c r="D2734" t="s">
        <v>16</v>
      </c>
      <c r="E2734" s="9">
        <v>54</v>
      </c>
      <c r="F2734" t="s">
        <v>12</v>
      </c>
      <c r="G2734" t="s">
        <v>13</v>
      </c>
      <c r="H2734" s="7">
        <v>42299</v>
      </c>
      <c r="I2734">
        <v>24265.54</v>
      </c>
      <c r="K2734" s="7"/>
    </row>
    <row r="2735" spans="1:11">
      <c r="A2735">
        <v>100002734</v>
      </c>
      <c r="B2735" t="s">
        <v>131</v>
      </c>
      <c r="C2735" t="s">
        <v>163</v>
      </c>
      <c r="D2735" t="s">
        <v>16</v>
      </c>
      <c r="E2735" s="9">
        <v>40</v>
      </c>
      <c r="F2735" t="s">
        <v>12</v>
      </c>
      <c r="G2735" t="s">
        <v>13</v>
      </c>
      <c r="H2735" s="8">
        <v>42299</v>
      </c>
      <c r="I2735">
        <v>7551.16</v>
      </c>
      <c r="K2735" s="8"/>
    </row>
    <row r="2736" spans="1:11">
      <c r="A2736">
        <v>100002735</v>
      </c>
      <c r="B2736" t="s">
        <v>316</v>
      </c>
      <c r="C2736" t="s">
        <v>85</v>
      </c>
      <c r="D2736" t="s">
        <v>16</v>
      </c>
      <c r="E2736" s="9">
        <v>27</v>
      </c>
      <c r="F2736" t="s">
        <v>12</v>
      </c>
      <c r="G2736" t="s">
        <v>18</v>
      </c>
      <c r="H2736" s="7">
        <v>42299</v>
      </c>
      <c r="I2736">
        <v>134.94</v>
      </c>
      <c r="K2736" s="7"/>
    </row>
    <row r="2737" spans="1:11">
      <c r="A2737">
        <v>100002736</v>
      </c>
      <c r="B2737" t="s">
        <v>118</v>
      </c>
      <c r="C2737" t="s">
        <v>134</v>
      </c>
      <c r="D2737" t="s">
        <v>11</v>
      </c>
      <c r="E2737" s="9">
        <v>34</v>
      </c>
      <c r="F2737" t="s">
        <v>12</v>
      </c>
      <c r="G2737" t="s">
        <v>13</v>
      </c>
      <c r="H2737" s="8">
        <v>42299</v>
      </c>
      <c r="I2737">
        <v>70803.13</v>
      </c>
      <c r="K2737" s="8"/>
    </row>
    <row r="2738" spans="1:11">
      <c r="A2738">
        <v>100002737</v>
      </c>
      <c r="B2738" t="s">
        <v>173</v>
      </c>
      <c r="C2738" t="s">
        <v>49</v>
      </c>
      <c r="D2738" t="s">
        <v>11</v>
      </c>
      <c r="E2738" s="9">
        <v>35</v>
      </c>
      <c r="F2738" t="s">
        <v>12</v>
      </c>
      <c r="G2738" t="s">
        <v>13</v>
      </c>
      <c r="H2738" s="7">
        <v>42299</v>
      </c>
      <c r="I2738">
        <v>26058.080000000002</v>
      </c>
      <c r="K2738" s="7"/>
    </row>
    <row r="2739" spans="1:11">
      <c r="A2739">
        <v>100002738</v>
      </c>
      <c r="B2739" t="s">
        <v>235</v>
      </c>
      <c r="C2739" t="s">
        <v>248</v>
      </c>
      <c r="D2739" t="s">
        <v>11</v>
      </c>
      <c r="E2739" s="9">
        <v>32</v>
      </c>
      <c r="F2739" t="s">
        <v>12</v>
      </c>
      <c r="G2739" t="s">
        <v>13</v>
      </c>
      <c r="H2739" s="8">
        <v>42299</v>
      </c>
      <c r="I2739">
        <v>5519.53</v>
      </c>
      <c r="K2739" s="8"/>
    </row>
    <row r="2740" spans="1:11">
      <c r="A2740">
        <v>100002739</v>
      </c>
      <c r="B2740" t="s">
        <v>177</v>
      </c>
      <c r="C2740" t="s">
        <v>282</v>
      </c>
      <c r="D2740" t="s">
        <v>11</v>
      </c>
      <c r="E2740" s="9">
        <v>40</v>
      </c>
      <c r="F2740" t="s">
        <v>12</v>
      </c>
      <c r="G2740" t="s">
        <v>13</v>
      </c>
      <c r="H2740" s="7">
        <v>42299</v>
      </c>
      <c r="I2740">
        <v>34694.959999999999</v>
      </c>
      <c r="K2740" s="7"/>
    </row>
    <row r="2741" spans="1:11">
      <c r="A2741">
        <v>100002740</v>
      </c>
      <c r="B2741" t="s">
        <v>19</v>
      </c>
      <c r="C2741" t="s">
        <v>77</v>
      </c>
      <c r="D2741" t="s">
        <v>11</v>
      </c>
      <c r="E2741" s="9">
        <v>30</v>
      </c>
      <c r="F2741" t="s">
        <v>12</v>
      </c>
      <c r="G2741" t="s">
        <v>13</v>
      </c>
      <c r="H2741" s="8">
        <v>42299</v>
      </c>
      <c r="I2741">
        <v>30189.87</v>
      </c>
      <c r="K2741" s="8"/>
    </row>
    <row r="2742" spans="1:11">
      <c r="A2742">
        <v>100002741</v>
      </c>
      <c r="B2742" t="s">
        <v>128</v>
      </c>
      <c r="C2742" t="s">
        <v>103</v>
      </c>
      <c r="D2742" t="s">
        <v>16</v>
      </c>
      <c r="E2742" s="9">
        <v>38</v>
      </c>
      <c r="F2742" t="s">
        <v>12</v>
      </c>
      <c r="G2742" t="s">
        <v>33</v>
      </c>
      <c r="H2742" s="7">
        <v>42299</v>
      </c>
      <c r="I2742">
        <v>77856.759999999995</v>
      </c>
      <c r="K2742" s="7"/>
    </row>
    <row r="2743" spans="1:11">
      <c r="A2743">
        <v>100002742</v>
      </c>
      <c r="B2743" t="s">
        <v>68</v>
      </c>
      <c r="C2743" t="s">
        <v>289</v>
      </c>
      <c r="D2743" t="s">
        <v>16</v>
      </c>
      <c r="E2743" s="9">
        <v>30</v>
      </c>
      <c r="F2743" t="s">
        <v>12</v>
      </c>
      <c r="G2743" t="s">
        <v>13</v>
      </c>
      <c r="H2743" s="8">
        <v>42299</v>
      </c>
      <c r="I2743">
        <v>143808.39000000001</v>
      </c>
      <c r="K2743" s="8"/>
    </row>
    <row r="2744" spans="1:11">
      <c r="A2744">
        <v>100002743</v>
      </c>
      <c r="B2744" t="s">
        <v>90</v>
      </c>
      <c r="C2744" t="s">
        <v>275</v>
      </c>
      <c r="D2744" t="s">
        <v>11</v>
      </c>
      <c r="E2744" s="9">
        <v>38</v>
      </c>
      <c r="F2744" t="s">
        <v>12</v>
      </c>
      <c r="G2744" t="s">
        <v>13</v>
      </c>
      <c r="H2744" s="7">
        <v>42299</v>
      </c>
      <c r="I2744">
        <v>59605.02</v>
      </c>
      <c r="K2744" s="7"/>
    </row>
    <row r="2745" spans="1:11">
      <c r="A2745">
        <v>200002744</v>
      </c>
      <c r="B2745" t="s">
        <v>107</v>
      </c>
      <c r="C2745" t="s">
        <v>201</v>
      </c>
      <c r="D2745" t="s">
        <v>11</v>
      </c>
      <c r="E2745" s="9">
        <v>43</v>
      </c>
      <c r="F2745" t="s">
        <v>32</v>
      </c>
      <c r="G2745" t="s">
        <v>33</v>
      </c>
      <c r="H2745" s="8">
        <v>42299</v>
      </c>
      <c r="I2745">
        <v>22810.16</v>
      </c>
      <c r="K2745" s="8"/>
    </row>
    <row r="2746" spans="1:11">
      <c r="A2746">
        <v>200002745</v>
      </c>
      <c r="B2746" t="s">
        <v>293</v>
      </c>
      <c r="C2746" t="s">
        <v>61</v>
      </c>
      <c r="D2746" t="s">
        <v>11</v>
      </c>
      <c r="E2746" s="9">
        <v>52</v>
      </c>
      <c r="F2746" t="s">
        <v>32</v>
      </c>
      <c r="G2746" t="s">
        <v>18</v>
      </c>
      <c r="H2746" s="7">
        <v>42299</v>
      </c>
      <c r="I2746">
        <v>45833.87</v>
      </c>
      <c r="K2746" s="7"/>
    </row>
    <row r="2747" spans="1:11">
      <c r="A2747">
        <v>300002746</v>
      </c>
      <c r="B2747" t="s">
        <v>154</v>
      </c>
      <c r="C2747" t="s">
        <v>305</v>
      </c>
      <c r="D2747" t="s">
        <v>16</v>
      </c>
      <c r="E2747" s="9">
        <v>40</v>
      </c>
      <c r="F2747" t="s">
        <v>23</v>
      </c>
      <c r="G2747" t="s">
        <v>13</v>
      </c>
      <c r="H2747" s="8">
        <v>42299</v>
      </c>
      <c r="I2747">
        <v>24726.17</v>
      </c>
      <c r="K2747" s="8"/>
    </row>
    <row r="2748" spans="1:11">
      <c r="A2748">
        <v>300002747</v>
      </c>
      <c r="B2748" t="s">
        <v>197</v>
      </c>
      <c r="C2748" t="s">
        <v>172</v>
      </c>
      <c r="D2748" t="s">
        <v>11</v>
      </c>
      <c r="E2748" s="9">
        <v>30</v>
      </c>
      <c r="F2748" t="s">
        <v>23</v>
      </c>
      <c r="G2748" t="s">
        <v>13</v>
      </c>
      <c r="H2748" s="7">
        <v>42299</v>
      </c>
      <c r="I2748">
        <v>32060.6</v>
      </c>
      <c r="K2748" s="7"/>
    </row>
    <row r="2749" spans="1:11">
      <c r="A2749">
        <v>100002748</v>
      </c>
      <c r="B2749" t="s">
        <v>137</v>
      </c>
      <c r="C2749" t="s">
        <v>31</v>
      </c>
      <c r="D2749" t="s">
        <v>11</v>
      </c>
      <c r="E2749" s="9">
        <v>29</v>
      </c>
      <c r="F2749" t="s">
        <v>12</v>
      </c>
      <c r="G2749" t="s">
        <v>13</v>
      </c>
      <c r="H2749" s="8">
        <v>42300</v>
      </c>
      <c r="I2749">
        <v>21577.22</v>
      </c>
      <c r="K2749" s="8"/>
    </row>
    <row r="2750" spans="1:11">
      <c r="A2750">
        <v>100002749</v>
      </c>
      <c r="B2750" t="s">
        <v>206</v>
      </c>
      <c r="C2750" t="s">
        <v>178</v>
      </c>
      <c r="D2750" t="s">
        <v>11</v>
      </c>
      <c r="E2750" s="9">
        <v>28</v>
      </c>
      <c r="F2750" t="s">
        <v>12</v>
      </c>
      <c r="G2750" t="s">
        <v>13</v>
      </c>
      <c r="H2750" s="7">
        <v>42300</v>
      </c>
      <c r="I2750">
        <v>69126.179999999993</v>
      </c>
      <c r="K2750" s="7"/>
    </row>
    <row r="2751" spans="1:11">
      <c r="A2751">
        <v>100002750</v>
      </c>
      <c r="B2751" t="s">
        <v>60</v>
      </c>
      <c r="C2751" t="s">
        <v>69</v>
      </c>
      <c r="D2751" t="s">
        <v>11</v>
      </c>
      <c r="E2751" s="9">
        <v>38</v>
      </c>
      <c r="F2751" t="s">
        <v>12</v>
      </c>
      <c r="G2751" t="s">
        <v>13</v>
      </c>
      <c r="H2751" s="8">
        <v>42300</v>
      </c>
      <c r="I2751">
        <v>267.38</v>
      </c>
      <c r="K2751" s="8"/>
    </row>
    <row r="2752" spans="1:11">
      <c r="A2752">
        <v>100002751</v>
      </c>
      <c r="B2752" t="s">
        <v>28</v>
      </c>
      <c r="C2752" t="s">
        <v>35</v>
      </c>
      <c r="D2752" t="s">
        <v>16</v>
      </c>
      <c r="E2752" s="9">
        <v>35</v>
      </c>
      <c r="F2752" t="s">
        <v>12</v>
      </c>
      <c r="G2752" t="s">
        <v>18</v>
      </c>
      <c r="H2752" s="7">
        <v>42300</v>
      </c>
      <c r="I2752">
        <v>53586.79</v>
      </c>
      <c r="K2752" s="7"/>
    </row>
    <row r="2753" spans="1:11">
      <c r="A2753">
        <v>200002752</v>
      </c>
      <c r="B2753" t="s">
        <v>84</v>
      </c>
      <c r="C2753" t="s">
        <v>116</v>
      </c>
      <c r="D2753" t="s">
        <v>16</v>
      </c>
      <c r="E2753" s="9">
        <v>57</v>
      </c>
      <c r="F2753" t="s">
        <v>32</v>
      </c>
      <c r="G2753" t="s">
        <v>33</v>
      </c>
      <c r="H2753" s="8">
        <v>42300</v>
      </c>
      <c r="I2753">
        <v>31148.7</v>
      </c>
      <c r="K2753" s="8"/>
    </row>
    <row r="2754" spans="1:11">
      <c r="A2754">
        <v>200002753</v>
      </c>
      <c r="B2754" t="s">
        <v>173</v>
      </c>
      <c r="C2754" t="s">
        <v>325</v>
      </c>
      <c r="D2754" t="s">
        <v>11</v>
      </c>
      <c r="E2754" s="9">
        <v>64</v>
      </c>
      <c r="F2754" t="s">
        <v>32</v>
      </c>
      <c r="G2754" t="s">
        <v>18</v>
      </c>
      <c r="H2754" s="7">
        <v>42300</v>
      </c>
      <c r="I2754">
        <v>92921.99</v>
      </c>
      <c r="K2754" s="7"/>
    </row>
    <row r="2755" spans="1:11">
      <c r="A2755">
        <v>200002754</v>
      </c>
      <c r="B2755" t="s">
        <v>129</v>
      </c>
      <c r="C2755" t="s">
        <v>219</v>
      </c>
      <c r="D2755" t="s">
        <v>11</v>
      </c>
      <c r="E2755" s="9">
        <v>37</v>
      </c>
      <c r="F2755" t="s">
        <v>32</v>
      </c>
      <c r="G2755" t="s">
        <v>18</v>
      </c>
      <c r="H2755" s="8">
        <v>42300</v>
      </c>
      <c r="I2755">
        <v>38096.550000000003</v>
      </c>
      <c r="K2755" s="8"/>
    </row>
    <row r="2756" spans="1:11">
      <c r="A2756">
        <v>200002755</v>
      </c>
      <c r="B2756" t="s">
        <v>53</v>
      </c>
      <c r="C2756" t="s">
        <v>113</v>
      </c>
      <c r="D2756" t="s">
        <v>16</v>
      </c>
      <c r="E2756" s="9">
        <v>53</v>
      </c>
      <c r="F2756" t="s">
        <v>32</v>
      </c>
      <c r="G2756" t="s">
        <v>33</v>
      </c>
      <c r="H2756" s="7">
        <v>42300</v>
      </c>
      <c r="I2756">
        <v>21717.51</v>
      </c>
      <c r="K2756" s="7"/>
    </row>
    <row r="2757" spans="1:11">
      <c r="A2757">
        <v>300002756</v>
      </c>
      <c r="B2757" t="s">
        <v>129</v>
      </c>
      <c r="C2757" t="s">
        <v>305</v>
      </c>
      <c r="D2757" t="s">
        <v>11</v>
      </c>
      <c r="E2757" s="9">
        <v>40</v>
      </c>
      <c r="F2757" t="s">
        <v>23</v>
      </c>
      <c r="G2757" t="s">
        <v>13</v>
      </c>
      <c r="H2757" s="8">
        <v>42300</v>
      </c>
      <c r="I2757">
        <v>23357.27</v>
      </c>
      <c r="K2757" s="8"/>
    </row>
    <row r="2758" spans="1:11">
      <c r="A2758">
        <v>300002757</v>
      </c>
      <c r="B2758" t="s">
        <v>9</v>
      </c>
      <c r="C2758" t="s">
        <v>198</v>
      </c>
      <c r="D2758" t="s">
        <v>11</v>
      </c>
      <c r="E2758" s="9">
        <v>41</v>
      </c>
      <c r="F2758" t="s">
        <v>23</v>
      </c>
      <c r="G2758" t="s">
        <v>33</v>
      </c>
      <c r="H2758" s="7">
        <v>42300</v>
      </c>
      <c r="I2758">
        <v>9293.0400000000009</v>
      </c>
      <c r="K2758" s="7"/>
    </row>
    <row r="2759" spans="1:11">
      <c r="A2759">
        <v>300002758</v>
      </c>
      <c r="B2759" t="s">
        <v>81</v>
      </c>
      <c r="C2759" t="s">
        <v>104</v>
      </c>
      <c r="D2759" t="s">
        <v>16</v>
      </c>
      <c r="E2759" s="9">
        <v>36</v>
      </c>
      <c r="F2759" t="s">
        <v>23</v>
      </c>
      <c r="G2759" t="s">
        <v>33</v>
      </c>
      <c r="H2759" s="8">
        <v>42300</v>
      </c>
      <c r="I2759">
        <v>33899.519999999997</v>
      </c>
      <c r="K2759" s="8"/>
    </row>
    <row r="2760" spans="1:11">
      <c r="A2760">
        <v>300002759</v>
      </c>
      <c r="B2760" t="s">
        <v>72</v>
      </c>
      <c r="C2760" t="s">
        <v>69</v>
      </c>
      <c r="D2760" t="s">
        <v>11</v>
      </c>
      <c r="E2760" s="9">
        <v>37</v>
      </c>
      <c r="F2760" t="s">
        <v>23</v>
      </c>
      <c r="G2760" t="s">
        <v>13</v>
      </c>
      <c r="H2760" s="7">
        <v>42300</v>
      </c>
      <c r="I2760">
        <v>17130.259999999998</v>
      </c>
      <c r="K2760" s="7"/>
    </row>
    <row r="2761" spans="1:11">
      <c r="A2761">
        <v>300002760</v>
      </c>
      <c r="B2761" t="s">
        <v>268</v>
      </c>
      <c r="C2761" t="s">
        <v>35</v>
      </c>
      <c r="D2761" t="s">
        <v>16</v>
      </c>
      <c r="E2761" s="9">
        <v>39</v>
      </c>
      <c r="F2761" t="s">
        <v>23</v>
      </c>
      <c r="G2761" t="s">
        <v>33</v>
      </c>
      <c r="H2761" s="8">
        <v>42300</v>
      </c>
      <c r="I2761">
        <v>69569.289999999994</v>
      </c>
      <c r="K2761" s="8"/>
    </row>
    <row r="2762" spans="1:11">
      <c r="A2762">
        <v>300002761</v>
      </c>
      <c r="B2762" t="s">
        <v>50</v>
      </c>
      <c r="C2762" t="s">
        <v>237</v>
      </c>
      <c r="D2762" t="s">
        <v>16</v>
      </c>
      <c r="E2762" s="9">
        <v>29</v>
      </c>
      <c r="F2762" t="s">
        <v>23</v>
      </c>
      <c r="G2762" t="s">
        <v>13</v>
      </c>
      <c r="H2762" s="7">
        <v>42300</v>
      </c>
      <c r="I2762">
        <v>10423.879999999999</v>
      </c>
      <c r="K2762" s="7"/>
    </row>
    <row r="2763" spans="1:11">
      <c r="A2763">
        <v>400002762</v>
      </c>
      <c r="B2763" t="s">
        <v>309</v>
      </c>
      <c r="C2763" t="s">
        <v>240</v>
      </c>
      <c r="D2763" t="s">
        <v>16</v>
      </c>
      <c r="E2763" s="9">
        <v>23</v>
      </c>
      <c r="F2763" t="s">
        <v>17</v>
      </c>
      <c r="G2763" t="s">
        <v>13</v>
      </c>
      <c r="H2763" s="8">
        <v>42300</v>
      </c>
      <c r="I2763">
        <v>27314.43</v>
      </c>
      <c r="K2763" s="8"/>
    </row>
    <row r="2764" spans="1:11">
      <c r="A2764">
        <v>100002763</v>
      </c>
      <c r="B2764" t="s">
        <v>30</v>
      </c>
      <c r="C2764" t="s">
        <v>88</v>
      </c>
      <c r="D2764" t="s">
        <v>16</v>
      </c>
      <c r="E2764" s="9">
        <v>33</v>
      </c>
      <c r="F2764" t="s">
        <v>12</v>
      </c>
      <c r="G2764" t="s">
        <v>13</v>
      </c>
      <c r="H2764" s="7">
        <v>42301</v>
      </c>
      <c r="I2764">
        <v>34728.83</v>
      </c>
      <c r="K2764" s="7"/>
    </row>
    <row r="2765" spans="1:11">
      <c r="A2765">
        <v>100002764</v>
      </c>
      <c r="B2765" t="s">
        <v>147</v>
      </c>
      <c r="C2765" t="s">
        <v>106</v>
      </c>
      <c r="D2765" t="s">
        <v>11</v>
      </c>
      <c r="E2765" s="9">
        <v>44</v>
      </c>
      <c r="F2765" t="s">
        <v>12</v>
      </c>
      <c r="G2765" t="s">
        <v>18</v>
      </c>
      <c r="H2765" s="8">
        <v>42301</v>
      </c>
      <c r="I2765">
        <v>60462.33</v>
      </c>
      <c r="K2765" s="8"/>
    </row>
    <row r="2766" spans="1:11">
      <c r="A2766">
        <v>100002765</v>
      </c>
      <c r="B2766" t="s">
        <v>271</v>
      </c>
      <c r="C2766" t="s">
        <v>163</v>
      </c>
      <c r="D2766" t="s">
        <v>16</v>
      </c>
      <c r="E2766" s="9">
        <v>32</v>
      </c>
      <c r="F2766" t="s">
        <v>12</v>
      </c>
      <c r="G2766" t="s">
        <v>18</v>
      </c>
      <c r="H2766" s="7">
        <v>42301</v>
      </c>
      <c r="I2766">
        <v>37935.65</v>
      </c>
      <c r="K2766" s="7"/>
    </row>
    <row r="2767" spans="1:11">
      <c r="A2767">
        <v>100002766</v>
      </c>
      <c r="B2767" t="s">
        <v>21</v>
      </c>
      <c r="C2767" t="s">
        <v>281</v>
      </c>
      <c r="D2767" t="s">
        <v>11</v>
      </c>
      <c r="E2767" s="9">
        <v>28</v>
      </c>
      <c r="F2767" t="s">
        <v>12</v>
      </c>
      <c r="G2767" t="s">
        <v>33</v>
      </c>
      <c r="H2767" s="8">
        <v>42301</v>
      </c>
      <c r="I2767">
        <v>5247.94</v>
      </c>
      <c r="K2767" s="8"/>
    </row>
    <row r="2768" spans="1:11">
      <c r="A2768">
        <v>100002767</v>
      </c>
      <c r="B2768" t="s">
        <v>169</v>
      </c>
      <c r="C2768" t="s">
        <v>198</v>
      </c>
      <c r="D2768" t="s">
        <v>11</v>
      </c>
      <c r="E2768" s="9">
        <v>29</v>
      </c>
      <c r="F2768" t="s">
        <v>12</v>
      </c>
      <c r="G2768" t="s">
        <v>13</v>
      </c>
      <c r="H2768" s="7">
        <v>42301</v>
      </c>
      <c r="I2768">
        <v>26045.79</v>
      </c>
      <c r="K2768" s="7"/>
    </row>
    <row r="2769" spans="1:11">
      <c r="A2769">
        <v>100002768</v>
      </c>
      <c r="B2769" t="s">
        <v>147</v>
      </c>
      <c r="C2769" t="s">
        <v>247</v>
      </c>
      <c r="D2769" t="s">
        <v>11</v>
      </c>
      <c r="E2769" s="9">
        <v>48</v>
      </c>
      <c r="F2769" t="s">
        <v>12</v>
      </c>
      <c r="G2769" t="s">
        <v>33</v>
      </c>
      <c r="H2769" s="8">
        <v>42301</v>
      </c>
      <c r="I2769">
        <v>75739.94</v>
      </c>
      <c r="K2769" s="8"/>
    </row>
    <row r="2770" spans="1:11">
      <c r="A2770">
        <v>100002769</v>
      </c>
      <c r="B2770" t="s">
        <v>36</v>
      </c>
      <c r="C2770" t="s">
        <v>151</v>
      </c>
      <c r="D2770" t="s">
        <v>11</v>
      </c>
      <c r="E2770" s="9">
        <v>38</v>
      </c>
      <c r="F2770" t="s">
        <v>12</v>
      </c>
      <c r="G2770" t="s">
        <v>13</v>
      </c>
      <c r="H2770" s="7">
        <v>42301</v>
      </c>
      <c r="I2770">
        <v>53247.48</v>
      </c>
      <c r="K2770" s="7"/>
    </row>
    <row r="2771" spans="1:11">
      <c r="A2771">
        <v>100002770</v>
      </c>
      <c r="B2771" t="s">
        <v>232</v>
      </c>
      <c r="C2771" t="s">
        <v>299</v>
      </c>
      <c r="D2771" t="s">
        <v>16</v>
      </c>
      <c r="E2771" s="9">
        <v>35</v>
      </c>
      <c r="F2771" t="s">
        <v>12</v>
      </c>
      <c r="G2771" t="s">
        <v>13</v>
      </c>
      <c r="H2771" s="8">
        <v>42301</v>
      </c>
      <c r="I2771">
        <v>53799.34</v>
      </c>
      <c r="K2771" s="8"/>
    </row>
    <row r="2772" spans="1:11">
      <c r="A2772">
        <v>100002771</v>
      </c>
      <c r="B2772" t="s">
        <v>40</v>
      </c>
      <c r="C2772" t="s">
        <v>266</v>
      </c>
      <c r="D2772" t="s">
        <v>11</v>
      </c>
      <c r="E2772" s="9">
        <v>27</v>
      </c>
      <c r="F2772" t="s">
        <v>12</v>
      </c>
      <c r="G2772" t="s">
        <v>13</v>
      </c>
      <c r="H2772" s="7">
        <v>42301</v>
      </c>
      <c r="I2772">
        <v>34618.1</v>
      </c>
      <c r="K2772" s="7"/>
    </row>
    <row r="2773" spans="1:11">
      <c r="A2773">
        <v>100002772</v>
      </c>
      <c r="B2773" t="s">
        <v>234</v>
      </c>
      <c r="C2773" t="s">
        <v>290</v>
      </c>
      <c r="D2773" t="s">
        <v>11</v>
      </c>
      <c r="E2773" s="9">
        <v>38</v>
      </c>
      <c r="F2773" t="s">
        <v>12</v>
      </c>
      <c r="G2773" t="s">
        <v>33</v>
      </c>
      <c r="H2773" s="8">
        <v>42301</v>
      </c>
      <c r="I2773">
        <v>66085.83</v>
      </c>
      <c r="K2773" s="8"/>
    </row>
    <row r="2774" spans="1:11">
      <c r="A2774">
        <v>200002773</v>
      </c>
      <c r="B2774" t="s">
        <v>245</v>
      </c>
      <c r="C2774" t="s">
        <v>233</v>
      </c>
      <c r="D2774" t="s">
        <v>11</v>
      </c>
      <c r="E2774" s="9">
        <v>64</v>
      </c>
      <c r="F2774" t="s">
        <v>32</v>
      </c>
      <c r="G2774" t="s">
        <v>18</v>
      </c>
      <c r="H2774" s="7">
        <v>42301</v>
      </c>
      <c r="I2774">
        <v>24994.57</v>
      </c>
      <c r="K2774" s="7"/>
    </row>
    <row r="2775" spans="1:11">
      <c r="A2775">
        <v>200002774</v>
      </c>
      <c r="B2775" t="s">
        <v>74</v>
      </c>
      <c r="C2775" t="s">
        <v>210</v>
      </c>
      <c r="D2775" t="s">
        <v>16</v>
      </c>
      <c r="E2775" s="9">
        <v>43</v>
      </c>
      <c r="F2775" t="s">
        <v>32</v>
      </c>
      <c r="G2775" t="s">
        <v>18</v>
      </c>
      <c r="H2775" s="8">
        <v>42301</v>
      </c>
      <c r="I2775">
        <v>40769.29</v>
      </c>
      <c r="K2775" s="8"/>
    </row>
    <row r="2776" spans="1:11">
      <c r="A2776">
        <v>200002775</v>
      </c>
      <c r="B2776" t="s">
        <v>118</v>
      </c>
      <c r="C2776" t="s">
        <v>15</v>
      </c>
      <c r="D2776" t="s">
        <v>11</v>
      </c>
      <c r="E2776" s="9">
        <v>50</v>
      </c>
      <c r="F2776" t="s">
        <v>32</v>
      </c>
      <c r="G2776" t="s">
        <v>18</v>
      </c>
      <c r="H2776" s="7">
        <v>42301</v>
      </c>
      <c r="I2776">
        <v>45141.01</v>
      </c>
      <c r="K2776" s="7"/>
    </row>
    <row r="2777" spans="1:11">
      <c r="A2777">
        <v>200002776</v>
      </c>
      <c r="B2777" t="s">
        <v>57</v>
      </c>
      <c r="C2777" t="s">
        <v>252</v>
      </c>
      <c r="D2777" t="s">
        <v>11</v>
      </c>
      <c r="E2777" s="9">
        <v>53</v>
      </c>
      <c r="F2777" t="s">
        <v>32</v>
      </c>
      <c r="G2777" t="s">
        <v>18</v>
      </c>
      <c r="H2777" s="8">
        <v>42301</v>
      </c>
      <c r="I2777">
        <v>44741.93</v>
      </c>
      <c r="K2777" s="8"/>
    </row>
    <row r="2778" spans="1:11">
      <c r="A2778">
        <v>200002777</v>
      </c>
      <c r="B2778" t="s">
        <v>152</v>
      </c>
      <c r="C2778" t="s">
        <v>238</v>
      </c>
      <c r="D2778" t="s">
        <v>11</v>
      </c>
      <c r="E2778" s="9">
        <v>59</v>
      </c>
      <c r="F2778" t="s">
        <v>32</v>
      </c>
      <c r="G2778" t="s">
        <v>18</v>
      </c>
      <c r="H2778" s="7">
        <v>42301</v>
      </c>
      <c r="I2778">
        <v>13364.78</v>
      </c>
      <c r="K2778" s="7"/>
    </row>
    <row r="2779" spans="1:11">
      <c r="A2779">
        <v>200002778</v>
      </c>
      <c r="B2779" t="s">
        <v>206</v>
      </c>
      <c r="C2779" t="s">
        <v>189</v>
      </c>
      <c r="D2779" t="s">
        <v>11</v>
      </c>
      <c r="E2779" s="9">
        <v>43</v>
      </c>
      <c r="F2779" t="s">
        <v>32</v>
      </c>
      <c r="G2779" t="s">
        <v>18</v>
      </c>
      <c r="H2779" s="8">
        <v>42301</v>
      </c>
      <c r="I2779">
        <v>84220.99</v>
      </c>
      <c r="K2779" s="8"/>
    </row>
    <row r="2780" spans="1:11">
      <c r="A2780">
        <v>300002779</v>
      </c>
      <c r="B2780" t="s">
        <v>261</v>
      </c>
      <c r="C2780" t="s">
        <v>107</v>
      </c>
      <c r="D2780" t="s">
        <v>11</v>
      </c>
      <c r="E2780" s="9">
        <v>39</v>
      </c>
      <c r="F2780" t="s">
        <v>23</v>
      </c>
      <c r="G2780" t="s">
        <v>18</v>
      </c>
      <c r="H2780" s="7">
        <v>42301</v>
      </c>
      <c r="I2780">
        <v>57496.71</v>
      </c>
      <c r="K2780" s="7"/>
    </row>
    <row r="2781" spans="1:11">
      <c r="A2781">
        <v>300002780</v>
      </c>
      <c r="B2781" t="s">
        <v>256</v>
      </c>
      <c r="C2781" t="s">
        <v>185</v>
      </c>
      <c r="D2781" t="s">
        <v>16</v>
      </c>
      <c r="E2781" s="9">
        <v>22</v>
      </c>
      <c r="F2781" t="s">
        <v>23</v>
      </c>
      <c r="G2781" t="s">
        <v>13</v>
      </c>
      <c r="H2781" s="8">
        <v>42301</v>
      </c>
      <c r="I2781">
        <v>63942.65</v>
      </c>
      <c r="K2781" s="8"/>
    </row>
    <row r="2782" spans="1:11">
      <c r="A2782">
        <v>100002781</v>
      </c>
      <c r="B2782" t="s">
        <v>53</v>
      </c>
      <c r="C2782" t="s">
        <v>272</v>
      </c>
      <c r="D2782" t="s">
        <v>16</v>
      </c>
      <c r="E2782" s="9">
        <v>40</v>
      </c>
      <c r="F2782" t="s">
        <v>12</v>
      </c>
      <c r="G2782" t="s">
        <v>13</v>
      </c>
      <c r="H2782" s="7">
        <v>42302</v>
      </c>
      <c r="I2782">
        <v>71908.740000000005</v>
      </c>
      <c r="K2782" s="7"/>
    </row>
    <row r="2783" spans="1:11">
      <c r="A2783">
        <v>100002782</v>
      </c>
      <c r="B2783" t="s">
        <v>46</v>
      </c>
      <c r="C2783" t="s">
        <v>140</v>
      </c>
      <c r="D2783" t="s">
        <v>11</v>
      </c>
      <c r="E2783" s="9">
        <v>20</v>
      </c>
      <c r="F2783" t="s">
        <v>12</v>
      </c>
      <c r="G2783" t="s">
        <v>33</v>
      </c>
      <c r="H2783" s="8">
        <v>42302</v>
      </c>
      <c r="I2783">
        <v>64855.42</v>
      </c>
      <c r="K2783" s="8"/>
    </row>
    <row r="2784" spans="1:11">
      <c r="A2784">
        <v>100002783</v>
      </c>
      <c r="B2784" t="s">
        <v>158</v>
      </c>
      <c r="C2784" t="s">
        <v>240</v>
      </c>
      <c r="D2784" t="s">
        <v>16</v>
      </c>
      <c r="E2784" s="9">
        <v>33</v>
      </c>
      <c r="F2784" t="s">
        <v>12</v>
      </c>
      <c r="G2784" t="s">
        <v>13</v>
      </c>
      <c r="H2784" s="7">
        <v>42302</v>
      </c>
      <c r="I2784">
        <v>85325.26</v>
      </c>
      <c r="K2784" s="7"/>
    </row>
    <row r="2785" spans="1:11">
      <c r="A2785">
        <v>100002784</v>
      </c>
      <c r="B2785" t="s">
        <v>147</v>
      </c>
      <c r="C2785" t="s">
        <v>277</v>
      </c>
      <c r="D2785" t="s">
        <v>11</v>
      </c>
      <c r="E2785" s="9">
        <v>30</v>
      </c>
      <c r="F2785" t="s">
        <v>12</v>
      </c>
      <c r="G2785" t="s">
        <v>13</v>
      </c>
      <c r="H2785" s="8">
        <v>42302</v>
      </c>
      <c r="I2785">
        <v>22295.82</v>
      </c>
      <c r="K2785" s="8"/>
    </row>
    <row r="2786" spans="1:11">
      <c r="A2786">
        <v>100002785</v>
      </c>
      <c r="B2786" t="s">
        <v>57</v>
      </c>
      <c r="C2786" t="s">
        <v>246</v>
      </c>
      <c r="D2786" t="s">
        <v>11</v>
      </c>
      <c r="E2786" s="9">
        <v>26</v>
      </c>
      <c r="F2786" t="s">
        <v>12</v>
      </c>
      <c r="G2786" t="s">
        <v>18</v>
      </c>
      <c r="H2786" s="7">
        <v>42302</v>
      </c>
      <c r="I2786">
        <v>24900.05</v>
      </c>
      <c r="K2786" s="7"/>
    </row>
    <row r="2787" spans="1:11">
      <c r="A2787">
        <v>100002786</v>
      </c>
      <c r="B2787" t="s">
        <v>226</v>
      </c>
      <c r="C2787" t="s">
        <v>281</v>
      </c>
      <c r="D2787" t="s">
        <v>16</v>
      </c>
      <c r="E2787" s="9">
        <v>32</v>
      </c>
      <c r="F2787" t="s">
        <v>12</v>
      </c>
      <c r="G2787" t="s">
        <v>13</v>
      </c>
      <c r="H2787" s="8">
        <v>42302</v>
      </c>
      <c r="I2787">
        <v>5369.67</v>
      </c>
      <c r="K2787" s="8"/>
    </row>
    <row r="2788" spans="1:11">
      <c r="A2788">
        <v>100002787</v>
      </c>
      <c r="B2788" t="s">
        <v>256</v>
      </c>
      <c r="C2788" t="s">
        <v>52</v>
      </c>
      <c r="D2788" t="s">
        <v>16</v>
      </c>
      <c r="E2788" s="9">
        <v>41</v>
      </c>
      <c r="F2788" t="s">
        <v>12</v>
      </c>
      <c r="G2788" t="s">
        <v>13</v>
      </c>
      <c r="H2788" s="7">
        <v>42302</v>
      </c>
      <c r="I2788">
        <v>8082.88</v>
      </c>
      <c r="K2788" s="7"/>
    </row>
    <row r="2789" spans="1:11">
      <c r="A2789">
        <v>200002788</v>
      </c>
      <c r="B2789" t="s">
        <v>21</v>
      </c>
      <c r="C2789" t="s">
        <v>65</v>
      </c>
      <c r="D2789" t="s">
        <v>11</v>
      </c>
      <c r="E2789" s="9">
        <v>53</v>
      </c>
      <c r="F2789" t="s">
        <v>32</v>
      </c>
      <c r="G2789" t="s">
        <v>18</v>
      </c>
      <c r="H2789" s="8">
        <v>42302</v>
      </c>
      <c r="I2789">
        <v>31175.46</v>
      </c>
      <c r="K2789" s="8"/>
    </row>
    <row r="2790" spans="1:11">
      <c r="A2790">
        <v>200002789</v>
      </c>
      <c r="B2790" t="s">
        <v>70</v>
      </c>
      <c r="C2790" t="s">
        <v>109</v>
      </c>
      <c r="D2790" t="s">
        <v>11</v>
      </c>
      <c r="E2790" s="9">
        <v>45</v>
      </c>
      <c r="F2790" t="s">
        <v>32</v>
      </c>
      <c r="G2790" t="s">
        <v>18</v>
      </c>
      <c r="H2790" s="7">
        <v>42302</v>
      </c>
      <c r="I2790">
        <v>20513.310000000001</v>
      </c>
      <c r="K2790" s="7"/>
    </row>
    <row r="2791" spans="1:11">
      <c r="A2791">
        <v>200002790</v>
      </c>
      <c r="B2791" t="s">
        <v>296</v>
      </c>
      <c r="C2791" t="s">
        <v>237</v>
      </c>
      <c r="D2791" t="s">
        <v>11</v>
      </c>
      <c r="E2791" s="9">
        <v>58</v>
      </c>
      <c r="F2791" t="s">
        <v>32</v>
      </c>
      <c r="G2791" t="s">
        <v>33</v>
      </c>
      <c r="H2791" s="8">
        <v>42302</v>
      </c>
      <c r="I2791">
        <v>40378.629999999997</v>
      </c>
      <c r="K2791" s="8"/>
    </row>
    <row r="2792" spans="1:11">
      <c r="A2792">
        <v>200002791</v>
      </c>
      <c r="B2792" t="s">
        <v>182</v>
      </c>
      <c r="C2792" t="s">
        <v>20</v>
      </c>
      <c r="D2792" t="s">
        <v>16</v>
      </c>
      <c r="E2792" s="9">
        <v>59</v>
      </c>
      <c r="F2792" t="s">
        <v>32</v>
      </c>
      <c r="G2792" t="s">
        <v>33</v>
      </c>
      <c r="H2792" s="7">
        <v>42302</v>
      </c>
      <c r="I2792">
        <v>19630.11</v>
      </c>
      <c r="K2792" s="7"/>
    </row>
    <row r="2793" spans="1:11">
      <c r="A2793">
        <v>300002792</v>
      </c>
      <c r="B2793" t="s">
        <v>26</v>
      </c>
      <c r="C2793" t="s">
        <v>240</v>
      </c>
      <c r="D2793" t="s">
        <v>16</v>
      </c>
      <c r="E2793" s="9">
        <v>40</v>
      </c>
      <c r="F2793" t="s">
        <v>23</v>
      </c>
      <c r="G2793" t="s">
        <v>13</v>
      </c>
      <c r="H2793" s="8">
        <v>42302</v>
      </c>
      <c r="I2793">
        <v>19443.89</v>
      </c>
      <c r="K2793" s="8"/>
    </row>
    <row r="2794" spans="1:11">
      <c r="A2794">
        <v>300002793</v>
      </c>
      <c r="B2794" t="s">
        <v>265</v>
      </c>
      <c r="C2794" t="s">
        <v>187</v>
      </c>
      <c r="D2794" t="s">
        <v>16</v>
      </c>
      <c r="E2794" s="9">
        <v>26</v>
      </c>
      <c r="F2794" t="s">
        <v>23</v>
      </c>
      <c r="G2794" t="s">
        <v>13</v>
      </c>
      <c r="H2794" s="7">
        <v>42302</v>
      </c>
      <c r="I2794">
        <v>58699.25</v>
      </c>
      <c r="K2794" s="7"/>
    </row>
    <row r="2795" spans="1:11">
      <c r="A2795">
        <v>100002794</v>
      </c>
      <c r="B2795" t="s">
        <v>232</v>
      </c>
      <c r="C2795" t="s">
        <v>322</v>
      </c>
      <c r="D2795" t="s">
        <v>16</v>
      </c>
      <c r="E2795" s="9">
        <v>45</v>
      </c>
      <c r="F2795" t="s">
        <v>12</v>
      </c>
      <c r="G2795" t="s">
        <v>18</v>
      </c>
      <c r="H2795" s="8">
        <v>42303</v>
      </c>
      <c r="I2795">
        <v>38404.230000000003</v>
      </c>
      <c r="K2795" s="8"/>
    </row>
    <row r="2796" spans="1:11">
      <c r="A2796">
        <v>100002795</v>
      </c>
      <c r="B2796" t="s">
        <v>83</v>
      </c>
      <c r="C2796" t="s">
        <v>248</v>
      </c>
      <c r="D2796" t="s">
        <v>16</v>
      </c>
      <c r="E2796" s="9">
        <v>31</v>
      </c>
      <c r="F2796" t="s">
        <v>12</v>
      </c>
      <c r="G2796" t="s">
        <v>13</v>
      </c>
      <c r="H2796" s="7">
        <v>42303</v>
      </c>
      <c r="I2796">
        <v>23497.05</v>
      </c>
      <c r="K2796" s="7"/>
    </row>
    <row r="2797" spans="1:11">
      <c r="A2797">
        <v>100002796</v>
      </c>
      <c r="B2797" t="s">
        <v>245</v>
      </c>
      <c r="C2797" t="s">
        <v>49</v>
      </c>
      <c r="D2797" t="s">
        <v>11</v>
      </c>
      <c r="E2797" s="9">
        <v>27</v>
      </c>
      <c r="F2797" t="s">
        <v>12</v>
      </c>
      <c r="G2797" t="s">
        <v>18</v>
      </c>
      <c r="H2797" s="8">
        <v>42303</v>
      </c>
      <c r="I2797">
        <v>36689.29</v>
      </c>
      <c r="K2797" s="8"/>
    </row>
    <row r="2798" spans="1:11">
      <c r="A2798">
        <v>100002797</v>
      </c>
      <c r="B2798" t="s">
        <v>66</v>
      </c>
      <c r="C2798" t="s">
        <v>49</v>
      </c>
      <c r="D2798" t="s">
        <v>16</v>
      </c>
      <c r="E2798" s="9">
        <v>29</v>
      </c>
      <c r="F2798" t="s">
        <v>12</v>
      </c>
      <c r="G2798" t="s">
        <v>13</v>
      </c>
      <c r="H2798" s="7">
        <v>42303</v>
      </c>
      <c r="I2798">
        <v>17287.98</v>
      </c>
      <c r="K2798" s="7"/>
    </row>
    <row r="2799" spans="1:11">
      <c r="A2799">
        <v>100002798</v>
      </c>
      <c r="B2799" t="s">
        <v>191</v>
      </c>
      <c r="C2799" t="s">
        <v>258</v>
      </c>
      <c r="D2799" t="s">
        <v>11</v>
      </c>
      <c r="E2799" s="9">
        <v>29</v>
      </c>
      <c r="F2799" t="s">
        <v>12</v>
      </c>
      <c r="G2799" t="s">
        <v>13</v>
      </c>
      <c r="H2799" s="8">
        <v>42303</v>
      </c>
      <c r="I2799">
        <v>47610.68</v>
      </c>
      <c r="K2799" s="8"/>
    </row>
    <row r="2800" spans="1:11">
      <c r="A2800">
        <v>100002799</v>
      </c>
      <c r="B2800" t="s">
        <v>66</v>
      </c>
      <c r="C2800" t="s">
        <v>253</v>
      </c>
      <c r="D2800" t="s">
        <v>16</v>
      </c>
      <c r="E2800" s="9">
        <v>21</v>
      </c>
      <c r="F2800" t="s">
        <v>12</v>
      </c>
      <c r="G2800" t="s">
        <v>33</v>
      </c>
      <c r="H2800" s="7">
        <v>42303</v>
      </c>
      <c r="I2800">
        <v>16352.86</v>
      </c>
      <c r="K2800" s="7"/>
    </row>
    <row r="2801" spans="1:11">
      <c r="A2801">
        <v>100002800</v>
      </c>
      <c r="B2801" t="s">
        <v>76</v>
      </c>
      <c r="C2801" t="s">
        <v>31</v>
      </c>
      <c r="D2801" t="s">
        <v>11</v>
      </c>
      <c r="E2801" s="9">
        <v>45</v>
      </c>
      <c r="F2801" t="s">
        <v>12</v>
      </c>
      <c r="G2801" t="s">
        <v>13</v>
      </c>
      <c r="H2801" s="8">
        <v>42303</v>
      </c>
      <c r="I2801">
        <v>20407.02</v>
      </c>
      <c r="K2801" s="8"/>
    </row>
    <row r="2802" spans="1:11">
      <c r="A2802">
        <v>100002801</v>
      </c>
      <c r="B2802" t="s">
        <v>62</v>
      </c>
      <c r="C2802" t="s">
        <v>138</v>
      </c>
      <c r="D2802" t="s">
        <v>16</v>
      </c>
      <c r="E2802" s="9">
        <v>30</v>
      </c>
      <c r="F2802" t="s">
        <v>12</v>
      </c>
      <c r="G2802" t="s">
        <v>13</v>
      </c>
      <c r="H2802" s="7">
        <v>42303</v>
      </c>
      <c r="I2802">
        <v>101676.32</v>
      </c>
      <c r="K2802" s="7"/>
    </row>
    <row r="2803" spans="1:11">
      <c r="A2803">
        <v>100002802</v>
      </c>
      <c r="B2803" t="s">
        <v>92</v>
      </c>
      <c r="C2803" t="s">
        <v>67</v>
      </c>
      <c r="D2803" t="s">
        <v>16</v>
      </c>
      <c r="E2803" s="9">
        <v>23</v>
      </c>
      <c r="F2803" t="s">
        <v>12</v>
      </c>
      <c r="G2803" t="s">
        <v>13</v>
      </c>
      <c r="H2803" s="8">
        <v>42303</v>
      </c>
      <c r="I2803">
        <v>13772.7</v>
      </c>
      <c r="K2803" s="8"/>
    </row>
    <row r="2804" spans="1:11">
      <c r="A2804">
        <v>100002803</v>
      </c>
      <c r="B2804" t="s">
        <v>46</v>
      </c>
      <c r="C2804" t="s">
        <v>71</v>
      </c>
      <c r="D2804" t="s">
        <v>11</v>
      </c>
      <c r="E2804" s="9">
        <v>30</v>
      </c>
      <c r="F2804" t="s">
        <v>12</v>
      </c>
      <c r="G2804" t="s">
        <v>13</v>
      </c>
      <c r="H2804" s="7">
        <v>42303</v>
      </c>
      <c r="I2804">
        <v>22763.84</v>
      </c>
      <c r="K2804" s="7"/>
    </row>
    <row r="2805" spans="1:11">
      <c r="A2805">
        <v>100002804</v>
      </c>
      <c r="B2805" t="s">
        <v>147</v>
      </c>
      <c r="C2805" t="s">
        <v>274</v>
      </c>
      <c r="D2805" t="s">
        <v>11</v>
      </c>
      <c r="E2805" s="9">
        <v>44</v>
      </c>
      <c r="F2805" t="s">
        <v>12</v>
      </c>
      <c r="G2805" t="s">
        <v>13</v>
      </c>
      <c r="H2805" s="8">
        <v>42303</v>
      </c>
      <c r="I2805">
        <v>59608.54</v>
      </c>
      <c r="K2805" s="8"/>
    </row>
    <row r="2806" spans="1:11">
      <c r="A2806">
        <v>100002805</v>
      </c>
      <c r="B2806" t="s">
        <v>302</v>
      </c>
      <c r="C2806" t="s">
        <v>25</v>
      </c>
      <c r="D2806" t="s">
        <v>16</v>
      </c>
      <c r="E2806" s="9">
        <v>31</v>
      </c>
      <c r="F2806" t="s">
        <v>12</v>
      </c>
      <c r="G2806" t="s">
        <v>13</v>
      </c>
      <c r="H2806" s="7">
        <v>42303</v>
      </c>
      <c r="I2806">
        <v>34720.54</v>
      </c>
      <c r="K2806" s="7"/>
    </row>
    <row r="2807" spans="1:11">
      <c r="A2807">
        <v>100002806</v>
      </c>
      <c r="B2807" t="s">
        <v>323</v>
      </c>
      <c r="C2807" t="s">
        <v>201</v>
      </c>
      <c r="D2807" t="s">
        <v>16</v>
      </c>
      <c r="E2807" s="9">
        <v>37</v>
      </c>
      <c r="F2807" t="s">
        <v>12</v>
      </c>
      <c r="G2807" t="s">
        <v>13</v>
      </c>
      <c r="H2807" s="8">
        <v>42303</v>
      </c>
      <c r="I2807">
        <v>97665.32</v>
      </c>
      <c r="K2807" s="8"/>
    </row>
    <row r="2808" spans="1:11">
      <c r="A2808">
        <v>100002807</v>
      </c>
      <c r="B2808" t="s">
        <v>101</v>
      </c>
      <c r="C2808" t="s">
        <v>106</v>
      </c>
      <c r="D2808" t="s">
        <v>11</v>
      </c>
      <c r="E2808" s="9">
        <v>32</v>
      </c>
      <c r="F2808" t="s">
        <v>12</v>
      </c>
      <c r="G2808" t="s">
        <v>18</v>
      </c>
      <c r="H2808" s="7">
        <v>42303</v>
      </c>
      <c r="I2808">
        <v>35293.03</v>
      </c>
      <c r="K2808" s="7"/>
    </row>
    <row r="2809" spans="1:11">
      <c r="A2809">
        <v>100002808</v>
      </c>
      <c r="B2809" t="s">
        <v>101</v>
      </c>
      <c r="C2809" t="s">
        <v>252</v>
      </c>
      <c r="D2809" t="s">
        <v>11</v>
      </c>
      <c r="E2809" s="9">
        <v>37</v>
      </c>
      <c r="F2809" t="s">
        <v>12</v>
      </c>
      <c r="G2809" t="s">
        <v>33</v>
      </c>
      <c r="H2809" s="8">
        <v>42303</v>
      </c>
      <c r="I2809">
        <v>3287.31</v>
      </c>
      <c r="K2809" s="8"/>
    </row>
    <row r="2810" spans="1:11">
      <c r="A2810">
        <v>100002809</v>
      </c>
      <c r="B2810" t="s">
        <v>169</v>
      </c>
      <c r="C2810" t="s">
        <v>258</v>
      </c>
      <c r="D2810" t="s">
        <v>11</v>
      </c>
      <c r="E2810" s="9">
        <v>34</v>
      </c>
      <c r="F2810" t="s">
        <v>12</v>
      </c>
      <c r="G2810" t="s">
        <v>18</v>
      </c>
      <c r="H2810" s="7">
        <v>42303</v>
      </c>
      <c r="I2810">
        <v>125975.42</v>
      </c>
      <c r="K2810" s="7"/>
    </row>
    <row r="2811" spans="1:11">
      <c r="A2811">
        <v>100002810</v>
      </c>
      <c r="B2811" t="s">
        <v>264</v>
      </c>
      <c r="C2811" t="s">
        <v>258</v>
      </c>
      <c r="D2811" t="s">
        <v>11</v>
      </c>
      <c r="E2811" s="9">
        <v>37</v>
      </c>
      <c r="F2811" t="s">
        <v>12</v>
      </c>
      <c r="G2811" t="s">
        <v>13</v>
      </c>
      <c r="H2811" s="8">
        <v>42303</v>
      </c>
      <c r="I2811">
        <v>6765.07</v>
      </c>
      <c r="K2811" s="8"/>
    </row>
    <row r="2812" spans="1:11">
      <c r="A2812">
        <v>100002811</v>
      </c>
      <c r="B2812" t="s">
        <v>180</v>
      </c>
      <c r="C2812" t="s">
        <v>233</v>
      </c>
      <c r="D2812" t="s">
        <v>16</v>
      </c>
      <c r="E2812" s="9">
        <v>48</v>
      </c>
      <c r="F2812" t="s">
        <v>12</v>
      </c>
      <c r="G2812" t="s">
        <v>13</v>
      </c>
      <c r="H2812" s="7">
        <v>42303</v>
      </c>
      <c r="I2812">
        <v>29774.99</v>
      </c>
      <c r="K2812" s="7"/>
    </row>
    <row r="2813" spans="1:11">
      <c r="A2813">
        <v>100002812</v>
      </c>
      <c r="B2813" t="s">
        <v>24</v>
      </c>
      <c r="C2813" t="s">
        <v>37</v>
      </c>
      <c r="D2813" t="s">
        <v>16</v>
      </c>
      <c r="E2813" s="9">
        <v>22</v>
      </c>
      <c r="F2813" t="s">
        <v>12</v>
      </c>
      <c r="G2813" t="s">
        <v>13</v>
      </c>
      <c r="H2813" s="8">
        <v>42303</v>
      </c>
      <c r="I2813">
        <v>16369.66</v>
      </c>
      <c r="K2813" s="8"/>
    </row>
    <row r="2814" spans="1:11">
      <c r="A2814">
        <v>100002813</v>
      </c>
      <c r="B2814" t="s">
        <v>302</v>
      </c>
      <c r="C2814" t="s">
        <v>248</v>
      </c>
      <c r="D2814" t="s">
        <v>16</v>
      </c>
      <c r="E2814" s="9">
        <v>39</v>
      </c>
      <c r="F2814" t="s">
        <v>12</v>
      </c>
      <c r="G2814" t="s">
        <v>18</v>
      </c>
      <c r="H2814" s="7">
        <v>42303</v>
      </c>
      <c r="I2814">
        <v>106334.38</v>
      </c>
      <c r="K2814" s="7"/>
    </row>
    <row r="2815" spans="1:11">
      <c r="A2815">
        <v>100002814</v>
      </c>
      <c r="B2815" t="s">
        <v>72</v>
      </c>
      <c r="C2815" t="s">
        <v>258</v>
      </c>
      <c r="D2815" t="s">
        <v>11</v>
      </c>
      <c r="E2815" s="9">
        <v>29</v>
      </c>
      <c r="F2815" t="s">
        <v>12</v>
      </c>
      <c r="G2815" t="s">
        <v>13</v>
      </c>
      <c r="H2815" s="8">
        <v>42303</v>
      </c>
      <c r="I2815">
        <v>6839.9</v>
      </c>
      <c r="K2815" s="8"/>
    </row>
    <row r="2816" spans="1:11">
      <c r="A2816">
        <v>100002815</v>
      </c>
      <c r="B2816" t="s">
        <v>221</v>
      </c>
      <c r="C2816" t="s">
        <v>152</v>
      </c>
      <c r="D2816" t="s">
        <v>16</v>
      </c>
      <c r="E2816" s="9">
        <v>30</v>
      </c>
      <c r="F2816" t="s">
        <v>12</v>
      </c>
      <c r="G2816" t="s">
        <v>13</v>
      </c>
      <c r="H2816" s="7">
        <v>42303</v>
      </c>
      <c r="I2816">
        <v>49965.59</v>
      </c>
      <c r="K2816" s="7"/>
    </row>
    <row r="2817" spans="1:11">
      <c r="A2817">
        <v>100002816</v>
      </c>
      <c r="B2817" t="s">
        <v>208</v>
      </c>
      <c r="C2817" t="s">
        <v>69</v>
      </c>
      <c r="D2817" t="s">
        <v>11</v>
      </c>
      <c r="E2817" s="9">
        <v>26</v>
      </c>
      <c r="F2817" t="s">
        <v>12</v>
      </c>
      <c r="G2817" t="s">
        <v>13</v>
      </c>
      <c r="H2817" s="8">
        <v>42303</v>
      </c>
      <c r="I2817">
        <v>105093.23</v>
      </c>
      <c r="K2817" s="8"/>
    </row>
    <row r="2818" spans="1:11">
      <c r="A2818">
        <v>100002817</v>
      </c>
      <c r="B2818" t="s">
        <v>19</v>
      </c>
      <c r="C2818" t="s">
        <v>71</v>
      </c>
      <c r="D2818" t="s">
        <v>11</v>
      </c>
      <c r="E2818" s="9">
        <v>32</v>
      </c>
      <c r="F2818" t="s">
        <v>12</v>
      </c>
      <c r="G2818" t="s">
        <v>13</v>
      </c>
      <c r="H2818" s="7">
        <v>42303</v>
      </c>
      <c r="I2818">
        <v>28744.79</v>
      </c>
      <c r="K2818" s="7"/>
    </row>
    <row r="2819" spans="1:11">
      <c r="A2819">
        <v>100002818</v>
      </c>
      <c r="B2819" t="s">
        <v>316</v>
      </c>
      <c r="C2819" t="s">
        <v>124</v>
      </c>
      <c r="D2819" t="s">
        <v>16</v>
      </c>
      <c r="E2819" s="9">
        <v>61</v>
      </c>
      <c r="F2819" t="s">
        <v>12</v>
      </c>
      <c r="G2819" t="s">
        <v>13</v>
      </c>
      <c r="H2819" s="8">
        <v>42303</v>
      </c>
      <c r="I2819">
        <v>25267.279999999999</v>
      </c>
      <c r="K2819" s="8"/>
    </row>
    <row r="2820" spans="1:11">
      <c r="A2820">
        <v>100002819</v>
      </c>
      <c r="B2820" t="s">
        <v>181</v>
      </c>
      <c r="C2820" t="s">
        <v>297</v>
      </c>
      <c r="D2820" t="s">
        <v>11</v>
      </c>
      <c r="E2820" s="9">
        <v>37</v>
      </c>
      <c r="F2820" t="s">
        <v>12</v>
      </c>
      <c r="G2820" t="s">
        <v>13</v>
      </c>
      <c r="H2820" s="7">
        <v>42303</v>
      </c>
      <c r="I2820">
        <v>43254.96</v>
      </c>
      <c r="K2820" s="7"/>
    </row>
    <row r="2821" spans="1:11">
      <c r="A2821">
        <v>100002820</v>
      </c>
      <c r="B2821" t="s">
        <v>119</v>
      </c>
      <c r="C2821" t="s">
        <v>132</v>
      </c>
      <c r="D2821" t="s">
        <v>16</v>
      </c>
      <c r="E2821" s="9">
        <v>28</v>
      </c>
      <c r="F2821" t="s">
        <v>12</v>
      </c>
      <c r="G2821" t="s">
        <v>13</v>
      </c>
      <c r="H2821" s="8">
        <v>42303</v>
      </c>
      <c r="I2821">
        <v>26670.87</v>
      </c>
      <c r="K2821" s="8"/>
    </row>
    <row r="2822" spans="1:11">
      <c r="A2822">
        <v>100002821</v>
      </c>
      <c r="B2822" t="s">
        <v>122</v>
      </c>
      <c r="C2822" t="s">
        <v>35</v>
      </c>
      <c r="D2822" t="s">
        <v>11</v>
      </c>
      <c r="E2822" s="9">
        <v>35</v>
      </c>
      <c r="F2822" t="s">
        <v>12</v>
      </c>
      <c r="G2822" t="s">
        <v>13</v>
      </c>
      <c r="H2822" s="7">
        <v>42303</v>
      </c>
      <c r="I2822">
        <v>5582.48</v>
      </c>
      <c r="K2822" s="7"/>
    </row>
    <row r="2823" spans="1:11">
      <c r="A2823">
        <v>100002822</v>
      </c>
      <c r="B2823" t="s">
        <v>262</v>
      </c>
      <c r="C2823" t="s">
        <v>224</v>
      </c>
      <c r="D2823" t="s">
        <v>16</v>
      </c>
      <c r="E2823" s="9">
        <v>36</v>
      </c>
      <c r="F2823" t="s">
        <v>12</v>
      </c>
      <c r="G2823" t="s">
        <v>13</v>
      </c>
      <c r="H2823" s="8">
        <v>42303</v>
      </c>
      <c r="I2823">
        <v>143447.15</v>
      </c>
      <c r="K2823" s="8"/>
    </row>
    <row r="2824" spans="1:11">
      <c r="A2824">
        <v>100002823</v>
      </c>
      <c r="B2824" t="s">
        <v>66</v>
      </c>
      <c r="C2824" t="s">
        <v>31</v>
      </c>
      <c r="D2824" t="s">
        <v>16</v>
      </c>
      <c r="E2824" s="9">
        <v>41</v>
      </c>
      <c r="F2824" t="s">
        <v>12</v>
      </c>
      <c r="G2824" t="s">
        <v>33</v>
      </c>
      <c r="H2824" s="7">
        <v>42303</v>
      </c>
      <c r="I2824">
        <v>41566.379999999997</v>
      </c>
      <c r="K2824" s="7"/>
    </row>
    <row r="2825" spans="1:11">
      <c r="A2825">
        <v>100002824</v>
      </c>
      <c r="B2825" t="s">
        <v>312</v>
      </c>
      <c r="C2825" t="s">
        <v>39</v>
      </c>
      <c r="D2825" t="s">
        <v>11</v>
      </c>
      <c r="E2825" s="9">
        <v>38</v>
      </c>
      <c r="F2825" t="s">
        <v>12</v>
      </c>
      <c r="G2825" t="s">
        <v>13</v>
      </c>
      <c r="H2825" s="8">
        <v>42303</v>
      </c>
      <c r="I2825">
        <v>14042.25</v>
      </c>
      <c r="K2825" s="8"/>
    </row>
    <row r="2826" spans="1:11">
      <c r="A2826">
        <v>100002825</v>
      </c>
      <c r="B2826" t="s">
        <v>232</v>
      </c>
      <c r="C2826" t="s">
        <v>138</v>
      </c>
      <c r="D2826" t="s">
        <v>16</v>
      </c>
      <c r="E2826" s="9">
        <v>29</v>
      </c>
      <c r="F2826" t="s">
        <v>12</v>
      </c>
      <c r="G2826" t="s">
        <v>33</v>
      </c>
      <c r="H2826" s="7">
        <v>42303</v>
      </c>
      <c r="I2826">
        <v>11504.49</v>
      </c>
      <c r="K2826" s="7"/>
    </row>
    <row r="2827" spans="1:11">
      <c r="A2827">
        <v>100002826</v>
      </c>
      <c r="B2827" t="s">
        <v>171</v>
      </c>
      <c r="C2827" t="s">
        <v>253</v>
      </c>
      <c r="D2827" t="s">
        <v>16</v>
      </c>
      <c r="E2827" s="9">
        <v>29</v>
      </c>
      <c r="F2827" t="s">
        <v>12</v>
      </c>
      <c r="G2827" t="s">
        <v>13</v>
      </c>
      <c r="H2827" s="8">
        <v>42303</v>
      </c>
      <c r="I2827">
        <v>6807.36</v>
      </c>
      <c r="K2827" s="8"/>
    </row>
    <row r="2828" spans="1:11">
      <c r="A2828">
        <v>100002827</v>
      </c>
      <c r="B2828" t="s">
        <v>165</v>
      </c>
      <c r="C2828" t="s">
        <v>247</v>
      </c>
      <c r="D2828" t="s">
        <v>16</v>
      </c>
      <c r="E2828" s="9">
        <v>37</v>
      </c>
      <c r="F2828" t="s">
        <v>12</v>
      </c>
      <c r="G2828" t="s">
        <v>13</v>
      </c>
      <c r="H2828" s="7">
        <v>42303</v>
      </c>
      <c r="I2828">
        <v>25191.07</v>
      </c>
      <c r="K2828" s="7"/>
    </row>
    <row r="2829" spans="1:11">
      <c r="A2829">
        <v>100002828</v>
      </c>
      <c r="B2829" t="s">
        <v>57</v>
      </c>
      <c r="C2829" t="s">
        <v>45</v>
      </c>
      <c r="D2829" t="s">
        <v>11</v>
      </c>
      <c r="E2829" s="9">
        <v>27</v>
      </c>
      <c r="F2829" t="s">
        <v>12</v>
      </c>
      <c r="G2829" t="s">
        <v>18</v>
      </c>
      <c r="H2829" s="8">
        <v>42303</v>
      </c>
      <c r="I2829">
        <v>33472.49</v>
      </c>
      <c r="K2829" s="8"/>
    </row>
    <row r="2830" spans="1:11">
      <c r="A2830">
        <v>200002829</v>
      </c>
      <c r="B2830" t="s">
        <v>19</v>
      </c>
      <c r="C2830" t="s">
        <v>140</v>
      </c>
      <c r="D2830" t="s">
        <v>11</v>
      </c>
      <c r="E2830" s="9">
        <v>55</v>
      </c>
      <c r="F2830" t="s">
        <v>32</v>
      </c>
      <c r="G2830" t="s">
        <v>18</v>
      </c>
      <c r="H2830" s="7">
        <v>42303</v>
      </c>
      <c r="I2830">
        <v>39603.99</v>
      </c>
      <c r="K2830" s="7"/>
    </row>
    <row r="2831" spans="1:11">
      <c r="A2831">
        <v>200002830</v>
      </c>
      <c r="B2831" t="s">
        <v>232</v>
      </c>
      <c r="C2831" t="s">
        <v>257</v>
      </c>
      <c r="D2831" t="s">
        <v>16</v>
      </c>
      <c r="E2831" s="9">
        <v>39</v>
      </c>
      <c r="F2831" t="s">
        <v>32</v>
      </c>
      <c r="G2831" t="s">
        <v>33</v>
      </c>
      <c r="H2831" s="8">
        <v>42303</v>
      </c>
      <c r="I2831">
        <v>58376.83</v>
      </c>
      <c r="K2831" s="8"/>
    </row>
    <row r="2832" spans="1:11">
      <c r="A2832">
        <v>200002831</v>
      </c>
      <c r="B2832" t="s">
        <v>128</v>
      </c>
      <c r="C2832" t="s">
        <v>240</v>
      </c>
      <c r="D2832" t="s">
        <v>16</v>
      </c>
      <c r="E2832" s="9">
        <v>34</v>
      </c>
      <c r="F2832" t="s">
        <v>32</v>
      </c>
      <c r="G2832" t="s">
        <v>33</v>
      </c>
      <c r="H2832" s="7">
        <v>42303</v>
      </c>
      <c r="I2832">
        <v>20725.330000000002</v>
      </c>
      <c r="K2832" s="7"/>
    </row>
    <row r="2833" spans="1:11">
      <c r="A2833">
        <v>200002832</v>
      </c>
      <c r="B2833" t="s">
        <v>309</v>
      </c>
      <c r="C2833" t="s">
        <v>285</v>
      </c>
      <c r="D2833" t="s">
        <v>16</v>
      </c>
      <c r="E2833" s="9">
        <v>52</v>
      </c>
      <c r="F2833" t="s">
        <v>32</v>
      </c>
      <c r="G2833" t="s">
        <v>33</v>
      </c>
      <c r="H2833" s="8">
        <v>42303</v>
      </c>
      <c r="I2833">
        <v>8526.86</v>
      </c>
      <c r="K2833" s="8"/>
    </row>
    <row r="2834" spans="1:11">
      <c r="A2834">
        <v>200002833</v>
      </c>
      <c r="B2834" t="s">
        <v>214</v>
      </c>
      <c r="C2834" t="s">
        <v>162</v>
      </c>
      <c r="D2834" t="s">
        <v>11</v>
      </c>
      <c r="E2834" s="9">
        <v>45</v>
      </c>
      <c r="F2834" t="s">
        <v>32</v>
      </c>
      <c r="G2834" t="s">
        <v>33</v>
      </c>
      <c r="H2834" s="7">
        <v>42303</v>
      </c>
      <c r="I2834">
        <v>58442.239999999998</v>
      </c>
      <c r="K2834" s="7"/>
    </row>
    <row r="2835" spans="1:11">
      <c r="A2835">
        <v>200002834</v>
      </c>
      <c r="B2835" t="s">
        <v>250</v>
      </c>
      <c r="C2835" t="s">
        <v>130</v>
      </c>
      <c r="D2835" t="s">
        <v>16</v>
      </c>
      <c r="E2835" s="9">
        <v>46</v>
      </c>
      <c r="F2835" t="s">
        <v>32</v>
      </c>
      <c r="G2835" t="s">
        <v>33</v>
      </c>
      <c r="H2835" s="8">
        <v>42303</v>
      </c>
      <c r="I2835">
        <v>36237.589999999997</v>
      </c>
      <c r="K2835" s="8"/>
    </row>
    <row r="2836" spans="1:11">
      <c r="A2836">
        <v>200002835</v>
      </c>
      <c r="B2836" t="s">
        <v>44</v>
      </c>
      <c r="C2836" t="s">
        <v>125</v>
      </c>
      <c r="D2836" t="s">
        <v>16</v>
      </c>
      <c r="E2836" s="9">
        <v>58</v>
      </c>
      <c r="F2836" t="s">
        <v>32</v>
      </c>
      <c r="G2836" t="s">
        <v>33</v>
      </c>
      <c r="H2836" s="7">
        <v>42303</v>
      </c>
      <c r="I2836">
        <v>15502.73</v>
      </c>
      <c r="K2836" s="7"/>
    </row>
    <row r="2837" spans="1:11">
      <c r="A2837">
        <v>200002836</v>
      </c>
      <c r="B2837" t="s">
        <v>204</v>
      </c>
      <c r="C2837" t="s">
        <v>306</v>
      </c>
      <c r="D2837" t="s">
        <v>11</v>
      </c>
      <c r="E2837" s="9">
        <v>60</v>
      </c>
      <c r="F2837" t="s">
        <v>32</v>
      </c>
      <c r="G2837" t="s">
        <v>18</v>
      </c>
      <c r="H2837" s="8">
        <v>42303</v>
      </c>
      <c r="I2837">
        <v>102409.29</v>
      </c>
      <c r="K2837" s="8"/>
    </row>
    <row r="2838" spans="1:11">
      <c r="A2838">
        <v>200002837</v>
      </c>
      <c r="B2838" t="s">
        <v>319</v>
      </c>
      <c r="C2838" t="s">
        <v>205</v>
      </c>
      <c r="D2838" t="s">
        <v>16</v>
      </c>
      <c r="E2838" s="9">
        <v>52</v>
      </c>
      <c r="F2838" t="s">
        <v>32</v>
      </c>
      <c r="G2838" t="s">
        <v>33</v>
      </c>
      <c r="H2838" s="7">
        <v>42303</v>
      </c>
      <c r="I2838">
        <v>36607.230000000003</v>
      </c>
      <c r="K2838" s="7"/>
    </row>
    <row r="2839" spans="1:11">
      <c r="A2839">
        <v>200002838</v>
      </c>
      <c r="B2839" t="s">
        <v>206</v>
      </c>
      <c r="C2839" t="s">
        <v>132</v>
      </c>
      <c r="D2839" t="s">
        <v>11</v>
      </c>
      <c r="E2839" s="9">
        <v>42</v>
      </c>
      <c r="F2839" t="s">
        <v>32</v>
      </c>
      <c r="G2839" t="s">
        <v>18</v>
      </c>
      <c r="H2839" s="8">
        <v>42303</v>
      </c>
      <c r="I2839">
        <v>20345</v>
      </c>
      <c r="K2839" s="8"/>
    </row>
    <row r="2840" spans="1:11">
      <c r="A2840">
        <v>200002839</v>
      </c>
      <c r="B2840" t="s">
        <v>129</v>
      </c>
      <c r="C2840" t="s">
        <v>63</v>
      </c>
      <c r="D2840" t="s">
        <v>11</v>
      </c>
      <c r="E2840" s="9">
        <v>50</v>
      </c>
      <c r="F2840" t="s">
        <v>32</v>
      </c>
      <c r="G2840" t="s">
        <v>18</v>
      </c>
      <c r="H2840" s="7">
        <v>42303</v>
      </c>
      <c r="I2840">
        <v>65277.36</v>
      </c>
      <c r="K2840" s="7"/>
    </row>
    <row r="2841" spans="1:11">
      <c r="A2841">
        <v>300002840</v>
      </c>
      <c r="B2841" t="s">
        <v>152</v>
      </c>
      <c r="C2841" t="s">
        <v>80</v>
      </c>
      <c r="D2841" t="s">
        <v>11</v>
      </c>
      <c r="E2841" s="9">
        <v>35</v>
      </c>
      <c r="F2841" t="s">
        <v>23</v>
      </c>
      <c r="G2841" t="s">
        <v>18</v>
      </c>
      <c r="H2841" s="8">
        <v>42303</v>
      </c>
      <c r="I2841">
        <v>48599.08</v>
      </c>
      <c r="K2841" s="8"/>
    </row>
    <row r="2842" spans="1:11">
      <c r="A2842">
        <v>300002841</v>
      </c>
      <c r="B2842" t="s">
        <v>204</v>
      </c>
      <c r="C2842" t="s">
        <v>77</v>
      </c>
      <c r="D2842" t="s">
        <v>11</v>
      </c>
      <c r="E2842" s="9">
        <v>36</v>
      </c>
      <c r="F2842" t="s">
        <v>23</v>
      </c>
      <c r="G2842" t="s">
        <v>13</v>
      </c>
      <c r="H2842" s="7">
        <v>42303</v>
      </c>
      <c r="I2842">
        <v>62369.55</v>
      </c>
      <c r="K2842" s="7"/>
    </row>
    <row r="2843" spans="1:11">
      <c r="A2843">
        <v>300002842</v>
      </c>
      <c r="B2843" t="s">
        <v>273</v>
      </c>
      <c r="C2843" t="s">
        <v>240</v>
      </c>
      <c r="D2843" t="s">
        <v>11</v>
      </c>
      <c r="E2843" s="9">
        <v>28</v>
      </c>
      <c r="F2843" t="s">
        <v>23</v>
      </c>
      <c r="G2843" t="s">
        <v>18</v>
      </c>
      <c r="H2843" s="8">
        <v>42303</v>
      </c>
      <c r="I2843">
        <v>46835.63</v>
      </c>
      <c r="K2843" s="8"/>
    </row>
    <row r="2844" spans="1:11">
      <c r="A2844">
        <v>300002843</v>
      </c>
      <c r="B2844" t="s">
        <v>312</v>
      </c>
      <c r="C2844" t="s">
        <v>187</v>
      </c>
      <c r="D2844" t="s">
        <v>11</v>
      </c>
      <c r="E2844" s="9">
        <v>27</v>
      </c>
      <c r="F2844" t="s">
        <v>23</v>
      </c>
      <c r="G2844" t="s">
        <v>18</v>
      </c>
      <c r="H2844" s="7">
        <v>42303</v>
      </c>
      <c r="I2844">
        <v>25525.88</v>
      </c>
      <c r="K2844" s="7"/>
    </row>
    <row r="2845" spans="1:11">
      <c r="A2845">
        <v>400002844</v>
      </c>
      <c r="B2845" t="s">
        <v>267</v>
      </c>
      <c r="C2845" t="s">
        <v>162</v>
      </c>
      <c r="D2845" t="s">
        <v>16</v>
      </c>
      <c r="E2845" s="9">
        <v>34</v>
      </c>
      <c r="F2845" t="s">
        <v>17</v>
      </c>
      <c r="G2845" t="s">
        <v>18</v>
      </c>
      <c r="H2845" s="8">
        <v>42303</v>
      </c>
      <c r="I2845">
        <v>17843.97</v>
      </c>
      <c r="K2845" s="8"/>
    </row>
    <row r="2846" spans="1:11">
      <c r="A2846">
        <v>400002845</v>
      </c>
      <c r="B2846" t="s">
        <v>243</v>
      </c>
      <c r="C2846" t="s">
        <v>129</v>
      </c>
      <c r="D2846" t="s">
        <v>16</v>
      </c>
      <c r="E2846" s="9">
        <v>32</v>
      </c>
      <c r="F2846" t="s">
        <v>17</v>
      </c>
      <c r="G2846" t="s">
        <v>33</v>
      </c>
      <c r="H2846" s="7">
        <v>42303</v>
      </c>
      <c r="I2846">
        <v>19510.11</v>
      </c>
      <c r="K2846" s="7"/>
    </row>
    <row r="2847" spans="1:11">
      <c r="A2847">
        <v>400002846</v>
      </c>
      <c r="B2847" t="s">
        <v>263</v>
      </c>
      <c r="C2847" t="s">
        <v>106</v>
      </c>
      <c r="D2847" t="s">
        <v>16</v>
      </c>
      <c r="E2847" s="9">
        <v>32</v>
      </c>
      <c r="F2847" t="s">
        <v>17</v>
      </c>
      <c r="G2847" t="s">
        <v>13</v>
      </c>
      <c r="H2847" s="8">
        <v>42303</v>
      </c>
      <c r="I2847">
        <v>43325.65</v>
      </c>
      <c r="K2847" s="8"/>
    </row>
    <row r="2848" spans="1:11">
      <c r="A2848">
        <v>100002847</v>
      </c>
      <c r="B2848" t="s">
        <v>168</v>
      </c>
      <c r="C2848" t="s">
        <v>113</v>
      </c>
      <c r="D2848" t="s">
        <v>16</v>
      </c>
      <c r="E2848" s="9">
        <v>18</v>
      </c>
      <c r="F2848" t="s">
        <v>12</v>
      </c>
      <c r="G2848" t="s">
        <v>13</v>
      </c>
      <c r="H2848" s="7">
        <v>42304</v>
      </c>
      <c r="I2848">
        <v>18520</v>
      </c>
      <c r="K2848" s="7"/>
    </row>
    <row r="2849" spans="1:11">
      <c r="A2849">
        <v>100002848</v>
      </c>
      <c r="B2849" t="s">
        <v>90</v>
      </c>
      <c r="C2849" t="s">
        <v>125</v>
      </c>
      <c r="D2849" t="s">
        <v>11</v>
      </c>
      <c r="E2849" s="9">
        <v>46</v>
      </c>
      <c r="F2849" t="s">
        <v>12</v>
      </c>
      <c r="G2849" t="s">
        <v>13</v>
      </c>
      <c r="H2849" s="8">
        <v>42304</v>
      </c>
      <c r="I2849">
        <v>22280.28</v>
      </c>
      <c r="K2849" s="8"/>
    </row>
    <row r="2850" spans="1:11">
      <c r="A2850">
        <v>100002849</v>
      </c>
      <c r="B2850" t="s">
        <v>194</v>
      </c>
      <c r="C2850" t="s">
        <v>138</v>
      </c>
      <c r="D2850" t="s">
        <v>16</v>
      </c>
      <c r="E2850" s="9">
        <v>51</v>
      </c>
      <c r="F2850" t="s">
        <v>12</v>
      </c>
      <c r="G2850" t="s">
        <v>13</v>
      </c>
      <c r="H2850" s="7">
        <v>42304</v>
      </c>
      <c r="I2850">
        <v>79715.05</v>
      </c>
      <c r="K2850" s="7"/>
    </row>
    <row r="2851" spans="1:11">
      <c r="A2851">
        <v>100002850</v>
      </c>
      <c r="B2851" t="s">
        <v>89</v>
      </c>
      <c r="C2851" t="s">
        <v>140</v>
      </c>
      <c r="D2851" t="s">
        <v>11</v>
      </c>
      <c r="E2851" s="9">
        <v>38</v>
      </c>
      <c r="F2851" t="s">
        <v>12</v>
      </c>
      <c r="G2851" t="s">
        <v>13</v>
      </c>
      <c r="H2851" s="8">
        <v>42304</v>
      </c>
      <c r="I2851">
        <v>6411.33</v>
      </c>
      <c r="K2851" s="8"/>
    </row>
    <row r="2852" spans="1:11">
      <c r="A2852">
        <v>100002851</v>
      </c>
      <c r="B2852" t="s">
        <v>171</v>
      </c>
      <c r="C2852" t="s">
        <v>233</v>
      </c>
      <c r="D2852" t="s">
        <v>16</v>
      </c>
      <c r="E2852" s="9">
        <v>33</v>
      </c>
      <c r="F2852" t="s">
        <v>12</v>
      </c>
      <c r="G2852" t="s">
        <v>13</v>
      </c>
      <c r="H2852" s="7">
        <v>42304</v>
      </c>
      <c r="I2852">
        <v>9113.19</v>
      </c>
      <c r="K2852" s="7"/>
    </row>
    <row r="2853" spans="1:11">
      <c r="A2853">
        <v>100002852</v>
      </c>
      <c r="B2853" t="s">
        <v>220</v>
      </c>
      <c r="C2853" t="s">
        <v>113</v>
      </c>
      <c r="D2853" t="s">
        <v>16</v>
      </c>
      <c r="E2853" s="9">
        <v>35</v>
      </c>
      <c r="F2853" t="s">
        <v>12</v>
      </c>
      <c r="G2853" t="s">
        <v>18</v>
      </c>
      <c r="H2853" s="8">
        <v>42304</v>
      </c>
      <c r="I2853">
        <v>40095.85</v>
      </c>
      <c r="K2853" s="8"/>
    </row>
    <row r="2854" spans="1:11">
      <c r="A2854">
        <v>200002853</v>
      </c>
      <c r="B2854" t="s">
        <v>51</v>
      </c>
      <c r="C2854" t="s">
        <v>292</v>
      </c>
      <c r="D2854" t="s">
        <v>11</v>
      </c>
      <c r="E2854" s="9">
        <v>48</v>
      </c>
      <c r="F2854" t="s">
        <v>32</v>
      </c>
      <c r="G2854" t="s">
        <v>18</v>
      </c>
      <c r="H2854" s="7">
        <v>42304</v>
      </c>
      <c r="I2854">
        <v>48392</v>
      </c>
      <c r="K2854" s="7"/>
    </row>
    <row r="2855" spans="1:11">
      <c r="A2855">
        <v>300002854</v>
      </c>
      <c r="B2855" t="s">
        <v>191</v>
      </c>
      <c r="C2855" t="s">
        <v>185</v>
      </c>
      <c r="D2855" t="s">
        <v>11</v>
      </c>
      <c r="E2855" s="9">
        <v>21</v>
      </c>
      <c r="F2855" t="s">
        <v>23</v>
      </c>
      <c r="G2855" t="s">
        <v>13</v>
      </c>
      <c r="H2855" s="8">
        <v>42304</v>
      </c>
      <c r="I2855">
        <v>17595.189999999999</v>
      </c>
      <c r="K2855" s="8"/>
    </row>
    <row r="2856" spans="1:11">
      <c r="A2856">
        <v>300002855</v>
      </c>
      <c r="B2856" t="s">
        <v>271</v>
      </c>
      <c r="C2856" t="s">
        <v>96</v>
      </c>
      <c r="D2856" t="s">
        <v>16</v>
      </c>
      <c r="E2856" s="9">
        <v>32</v>
      </c>
      <c r="F2856" t="s">
        <v>23</v>
      </c>
      <c r="G2856" t="s">
        <v>13</v>
      </c>
      <c r="H2856" s="7">
        <v>42304</v>
      </c>
      <c r="I2856">
        <v>7278.4</v>
      </c>
      <c r="K2856" s="7"/>
    </row>
    <row r="2857" spans="1:11">
      <c r="A2857">
        <v>300002856</v>
      </c>
      <c r="B2857" t="s">
        <v>28</v>
      </c>
      <c r="C2857" t="s">
        <v>134</v>
      </c>
      <c r="D2857" t="s">
        <v>16</v>
      </c>
      <c r="E2857" s="9">
        <v>40</v>
      </c>
      <c r="F2857" t="s">
        <v>23</v>
      </c>
      <c r="G2857" t="s">
        <v>13</v>
      </c>
      <c r="H2857" s="8">
        <v>42304</v>
      </c>
      <c r="I2857">
        <v>78371.64</v>
      </c>
      <c r="K2857" s="8"/>
    </row>
    <row r="2858" spans="1:11">
      <c r="A2858">
        <v>300002857</v>
      </c>
      <c r="B2858" t="s">
        <v>126</v>
      </c>
      <c r="C2858" t="s">
        <v>73</v>
      </c>
      <c r="D2858" t="s">
        <v>16</v>
      </c>
      <c r="E2858" s="9">
        <v>36</v>
      </c>
      <c r="F2858" t="s">
        <v>23</v>
      </c>
      <c r="G2858" t="s">
        <v>13</v>
      </c>
      <c r="H2858" s="7">
        <v>42304</v>
      </c>
      <c r="I2858">
        <v>3962.3</v>
      </c>
      <c r="K2858" s="7"/>
    </row>
    <row r="2859" spans="1:11">
      <c r="A2859">
        <v>400002858</v>
      </c>
      <c r="B2859" t="s">
        <v>182</v>
      </c>
      <c r="C2859" t="s">
        <v>130</v>
      </c>
      <c r="D2859" t="s">
        <v>16</v>
      </c>
      <c r="E2859" s="9">
        <v>18</v>
      </c>
      <c r="F2859" t="s">
        <v>17</v>
      </c>
      <c r="G2859" t="s">
        <v>13</v>
      </c>
      <c r="H2859" s="8">
        <v>42304</v>
      </c>
      <c r="I2859">
        <v>34075.29</v>
      </c>
      <c r="K2859" s="8"/>
    </row>
    <row r="2860" spans="1:11">
      <c r="A2860">
        <v>100002859</v>
      </c>
      <c r="B2860" t="s">
        <v>48</v>
      </c>
      <c r="C2860" t="s">
        <v>260</v>
      </c>
      <c r="D2860" t="s">
        <v>16</v>
      </c>
      <c r="E2860" s="9">
        <v>39</v>
      </c>
      <c r="F2860" t="s">
        <v>12</v>
      </c>
      <c r="G2860" t="s">
        <v>33</v>
      </c>
      <c r="H2860" s="7">
        <v>42305</v>
      </c>
      <c r="I2860">
        <v>63362.89</v>
      </c>
      <c r="K2860" s="7"/>
    </row>
    <row r="2861" spans="1:11">
      <c r="A2861">
        <v>100002860</v>
      </c>
      <c r="B2861" t="s">
        <v>312</v>
      </c>
      <c r="C2861" t="s">
        <v>63</v>
      </c>
      <c r="D2861" t="s">
        <v>11</v>
      </c>
      <c r="E2861" s="9">
        <v>38</v>
      </c>
      <c r="F2861" t="s">
        <v>12</v>
      </c>
      <c r="G2861" t="s">
        <v>33</v>
      </c>
      <c r="H2861" s="8">
        <v>42305</v>
      </c>
      <c r="I2861">
        <v>21535.24</v>
      </c>
      <c r="K2861" s="8"/>
    </row>
    <row r="2862" spans="1:11">
      <c r="A2862">
        <v>100002861</v>
      </c>
      <c r="B2862" t="s">
        <v>57</v>
      </c>
      <c r="C2862" t="s">
        <v>291</v>
      </c>
      <c r="D2862" t="s">
        <v>11</v>
      </c>
      <c r="E2862" s="9">
        <v>39</v>
      </c>
      <c r="F2862" t="s">
        <v>12</v>
      </c>
      <c r="G2862" t="s">
        <v>13</v>
      </c>
      <c r="H2862" s="7">
        <v>42305</v>
      </c>
      <c r="I2862">
        <v>46065.96</v>
      </c>
      <c r="K2862" s="7"/>
    </row>
    <row r="2863" spans="1:11">
      <c r="A2863">
        <v>100002862</v>
      </c>
      <c r="B2863" t="s">
        <v>173</v>
      </c>
      <c r="C2863" t="s">
        <v>163</v>
      </c>
      <c r="D2863" t="s">
        <v>11</v>
      </c>
      <c r="E2863" s="9">
        <v>35</v>
      </c>
      <c r="F2863" t="s">
        <v>12</v>
      </c>
      <c r="G2863" t="s">
        <v>13</v>
      </c>
      <c r="H2863" s="8">
        <v>42305</v>
      </c>
      <c r="I2863">
        <v>114954.78</v>
      </c>
      <c r="K2863" s="8"/>
    </row>
    <row r="2864" spans="1:11">
      <c r="A2864">
        <v>100002863</v>
      </c>
      <c r="B2864" t="s">
        <v>133</v>
      </c>
      <c r="C2864" t="s">
        <v>82</v>
      </c>
      <c r="D2864" t="s">
        <v>11</v>
      </c>
      <c r="E2864" s="9">
        <v>36</v>
      </c>
      <c r="F2864" t="s">
        <v>12</v>
      </c>
      <c r="G2864" t="s">
        <v>13</v>
      </c>
      <c r="H2864" s="7">
        <v>42305</v>
      </c>
      <c r="I2864">
        <v>30047.75</v>
      </c>
      <c r="K2864" s="7"/>
    </row>
    <row r="2865" spans="1:11">
      <c r="A2865">
        <v>100002864</v>
      </c>
      <c r="B2865" t="s">
        <v>244</v>
      </c>
      <c r="C2865" t="s">
        <v>246</v>
      </c>
      <c r="D2865" t="s">
        <v>16</v>
      </c>
      <c r="E2865" s="9">
        <v>30</v>
      </c>
      <c r="F2865" t="s">
        <v>12</v>
      </c>
      <c r="G2865" t="s">
        <v>13</v>
      </c>
      <c r="H2865" s="8">
        <v>42305</v>
      </c>
      <c r="I2865">
        <v>2633.71</v>
      </c>
      <c r="K2865" s="8"/>
    </row>
    <row r="2866" spans="1:11">
      <c r="A2866">
        <v>100002865</v>
      </c>
      <c r="B2866" t="s">
        <v>44</v>
      </c>
      <c r="C2866" t="s">
        <v>257</v>
      </c>
      <c r="D2866" t="s">
        <v>16</v>
      </c>
      <c r="E2866" s="9">
        <v>35</v>
      </c>
      <c r="F2866" t="s">
        <v>12</v>
      </c>
      <c r="G2866" t="s">
        <v>33</v>
      </c>
      <c r="H2866" s="7">
        <v>42305</v>
      </c>
      <c r="I2866">
        <v>49160.19</v>
      </c>
      <c r="K2866" s="7"/>
    </row>
    <row r="2867" spans="1:11">
      <c r="A2867">
        <v>100002866</v>
      </c>
      <c r="B2867" t="s">
        <v>72</v>
      </c>
      <c r="C2867" t="s">
        <v>179</v>
      </c>
      <c r="D2867" t="s">
        <v>11</v>
      </c>
      <c r="E2867" s="9">
        <v>41</v>
      </c>
      <c r="F2867" t="s">
        <v>12</v>
      </c>
      <c r="G2867" t="s">
        <v>18</v>
      </c>
      <c r="H2867" s="8">
        <v>42305</v>
      </c>
      <c r="I2867">
        <v>7976.04</v>
      </c>
      <c r="K2867" s="8"/>
    </row>
    <row r="2868" spans="1:11">
      <c r="A2868">
        <v>100002867</v>
      </c>
      <c r="B2868" t="s">
        <v>223</v>
      </c>
      <c r="C2868" t="s">
        <v>227</v>
      </c>
      <c r="D2868" t="s">
        <v>16</v>
      </c>
      <c r="E2868" s="9">
        <v>30</v>
      </c>
      <c r="F2868" t="s">
        <v>12</v>
      </c>
      <c r="G2868" t="s">
        <v>33</v>
      </c>
      <c r="H2868" s="7">
        <v>42305</v>
      </c>
      <c r="I2868">
        <v>47404.84</v>
      </c>
      <c r="K2868" s="7"/>
    </row>
    <row r="2869" spans="1:11">
      <c r="A2869">
        <v>100002868</v>
      </c>
      <c r="B2869" t="s">
        <v>148</v>
      </c>
      <c r="C2869" t="s">
        <v>225</v>
      </c>
      <c r="D2869" t="s">
        <v>11</v>
      </c>
      <c r="E2869" s="9">
        <v>36</v>
      </c>
      <c r="F2869" t="s">
        <v>12</v>
      </c>
      <c r="G2869" t="s">
        <v>13</v>
      </c>
      <c r="H2869" s="8">
        <v>42305</v>
      </c>
      <c r="I2869">
        <v>35195.629999999997</v>
      </c>
      <c r="K2869" s="8"/>
    </row>
    <row r="2870" spans="1:11">
      <c r="A2870">
        <v>100002869</v>
      </c>
      <c r="B2870" t="s">
        <v>133</v>
      </c>
      <c r="C2870" t="s">
        <v>127</v>
      </c>
      <c r="D2870" t="s">
        <v>11</v>
      </c>
      <c r="E2870" s="9">
        <v>31</v>
      </c>
      <c r="F2870" t="s">
        <v>12</v>
      </c>
      <c r="G2870" t="s">
        <v>13</v>
      </c>
      <c r="H2870" s="7">
        <v>42305</v>
      </c>
      <c r="I2870">
        <v>12383.01</v>
      </c>
      <c r="K2870" s="7"/>
    </row>
    <row r="2871" spans="1:11">
      <c r="A2871">
        <v>100002870</v>
      </c>
      <c r="B2871" t="s">
        <v>192</v>
      </c>
      <c r="C2871" t="s">
        <v>266</v>
      </c>
      <c r="D2871" t="s">
        <v>16</v>
      </c>
      <c r="E2871" s="9">
        <v>32</v>
      </c>
      <c r="F2871" t="s">
        <v>12</v>
      </c>
      <c r="G2871" t="s">
        <v>13</v>
      </c>
      <c r="H2871" s="8">
        <v>42305</v>
      </c>
      <c r="I2871">
        <v>68085.45</v>
      </c>
      <c r="K2871" s="8"/>
    </row>
    <row r="2872" spans="1:11">
      <c r="A2872">
        <v>100002871</v>
      </c>
      <c r="B2872" t="s">
        <v>250</v>
      </c>
      <c r="C2872" t="s">
        <v>91</v>
      </c>
      <c r="D2872" t="s">
        <v>16</v>
      </c>
      <c r="E2872" s="9">
        <v>35</v>
      </c>
      <c r="F2872" t="s">
        <v>12</v>
      </c>
      <c r="G2872" t="s">
        <v>18</v>
      </c>
      <c r="H2872" s="7">
        <v>42305</v>
      </c>
      <c r="I2872">
        <v>90913.77</v>
      </c>
      <c r="K2872" s="7"/>
    </row>
    <row r="2873" spans="1:11">
      <c r="A2873">
        <v>200002872</v>
      </c>
      <c r="B2873" t="s">
        <v>226</v>
      </c>
      <c r="C2873" t="s">
        <v>80</v>
      </c>
      <c r="D2873" t="s">
        <v>16</v>
      </c>
      <c r="E2873" s="9">
        <v>38</v>
      </c>
      <c r="F2873" t="s">
        <v>32</v>
      </c>
      <c r="G2873" t="s">
        <v>33</v>
      </c>
      <c r="H2873" s="8">
        <v>42305</v>
      </c>
      <c r="I2873">
        <v>67598.37</v>
      </c>
      <c r="K2873" s="8"/>
    </row>
    <row r="2874" spans="1:11">
      <c r="A2874">
        <v>200002873</v>
      </c>
      <c r="B2874" t="s">
        <v>214</v>
      </c>
      <c r="C2874" t="s">
        <v>123</v>
      </c>
      <c r="D2874" t="s">
        <v>11</v>
      </c>
      <c r="E2874" s="9">
        <v>49</v>
      </c>
      <c r="F2874" t="s">
        <v>32</v>
      </c>
      <c r="G2874" t="s">
        <v>18</v>
      </c>
      <c r="H2874" s="7">
        <v>42305</v>
      </c>
      <c r="I2874">
        <v>9806.3799999999992</v>
      </c>
      <c r="K2874" s="7"/>
    </row>
    <row r="2875" spans="1:11">
      <c r="A2875">
        <v>300002874</v>
      </c>
      <c r="B2875" t="s">
        <v>117</v>
      </c>
      <c r="C2875" t="s">
        <v>123</v>
      </c>
      <c r="D2875" t="s">
        <v>16</v>
      </c>
      <c r="E2875" s="9">
        <v>25</v>
      </c>
      <c r="F2875" t="s">
        <v>23</v>
      </c>
      <c r="G2875" t="s">
        <v>13</v>
      </c>
      <c r="H2875" s="8">
        <v>42305</v>
      </c>
      <c r="I2875">
        <v>7558.84</v>
      </c>
      <c r="K2875" s="8"/>
    </row>
    <row r="2876" spans="1:11">
      <c r="A2876">
        <v>100002875</v>
      </c>
      <c r="B2876" t="s">
        <v>213</v>
      </c>
      <c r="C2876" t="s">
        <v>15</v>
      </c>
      <c r="D2876" t="s">
        <v>11</v>
      </c>
      <c r="E2876" s="9">
        <v>59</v>
      </c>
      <c r="F2876" t="s">
        <v>12</v>
      </c>
      <c r="G2876" t="s">
        <v>33</v>
      </c>
      <c r="H2876" s="7">
        <v>42306</v>
      </c>
      <c r="I2876">
        <v>37483.440000000002</v>
      </c>
      <c r="K2876" s="7"/>
    </row>
    <row r="2877" spans="1:11">
      <c r="A2877">
        <v>100002876</v>
      </c>
      <c r="B2877" t="s">
        <v>89</v>
      </c>
      <c r="C2877" t="s">
        <v>282</v>
      </c>
      <c r="D2877" t="s">
        <v>11</v>
      </c>
      <c r="E2877" s="9">
        <v>19</v>
      </c>
      <c r="F2877" t="s">
        <v>12</v>
      </c>
      <c r="G2877" t="s">
        <v>33</v>
      </c>
      <c r="H2877" s="8">
        <v>42306</v>
      </c>
      <c r="I2877">
        <v>19359.04</v>
      </c>
      <c r="K2877" s="8"/>
    </row>
    <row r="2878" spans="1:11">
      <c r="A2878">
        <v>100002877</v>
      </c>
      <c r="B2878" t="s">
        <v>193</v>
      </c>
      <c r="C2878" t="s">
        <v>160</v>
      </c>
      <c r="D2878" t="s">
        <v>11</v>
      </c>
      <c r="E2878" s="9">
        <v>36</v>
      </c>
      <c r="F2878" t="s">
        <v>12</v>
      </c>
      <c r="G2878" t="s">
        <v>13</v>
      </c>
      <c r="H2878" s="7">
        <v>42306</v>
      </c>
      <c r="I2878">
        <v>4503.8</v>
      </c>
      <c r="K2878" s="7"/>
    </row>
    <row r="2879" spans="1:11">
      <c r="A2879">
        <v>100002878</v>
      </c>
      <c r="B2879" t="s">
        <v>165</v>
      </c>
      <c r="C2879" t="s">
        <v>189</v>
      </c>
      <c r="D2879" t="s">
        <v>16</v>
      </c>
      <c r="E2879" s="9">
        <v>36</v>
      </c>
      <c r="F2879" t="s">
        <v>12</v>
      </c>
      <c r="G2879" t="s">
        <v>13</v>
      </c>
      <c r="H2879" s="8">
        <v>42306</v>
      </c>
      <c r="I2879">
        <v>59611.33</v>
      </c>
      <c r="K2879" s="8"/>
    </row>
    <row r="2880" spans="1:11">
      <c r="A2880">
        <v>100002879</v>
      </c>
      <c r="B2880" t="s">
        <v>180</v>
      </c>
      <c r="C2880" t="s">
        <v>27</v>
      </c>
      <c r="D2880" t="s">
        <v>16</v>
      </c>
      <c r="E2880" s="9">
        <v>39</v>
      </c>
      <c r="F2880" t="s">
        <v>12</v>
      </c>
      <c r="G2880" t="s">
        <v>13</v>
      </c>
      <c r="H2880" s="7">
        <v>42306</v>
      </c>
      <c r="I2880">
        <v>22844.3</v>
      </c>
      <c r="K2880" s="7"/>
    </row>
    <row r="2881" spans="1:11">
      <c r="A2881">
        <v>100002880</v>
      </c>
      <c r="B2881" t="s">
        <v>169</v>
      </c>
      <c r="C2881" t="s">
        <v>291</v>
      </c>
      <c r="D2881" t="s">
        <v>11</v>
      </c>
      <c r="E2881" s="9">
        <v>48</v>
      </c>
      <c r="F2881" t="s">
        <v>12</v>
      </c>
      <c r="G2881" t="s">
        <v>13</v>
      </c>
      <c r="H2881" s="8">
        <v>42306</v>
      </c>
      <c r="I2881">
        <v>33104.339999999997</v>
      </c>
      <c r="K2881" s="8"/>
    </row>
    <row r="2882" spans="1:11">
      <c r="A2882">
        <v>100002881</v>
      </c>
      <c r="B2882" t="s">
        <v>204</v>
      </c>
      <c r="C2882" t="s">
        <v>109</v>
      </c>
      <c r="D2882" t="s">
        <v>11</v>
      </c>
      <c r="E2882" s="9">
        <v>42</v>
      </c>
      <c r="F2882" t="s">
        <v>12</v>
      </c>
      <c r="G2882" t="s">
        <v>13</v>
      </c>
      <c r="H2882" s="7">
        <v>42306</v>
      </c>
      <c r="I2882">
        <v>37456.5</v>
      </c>
      <c r="K2882" s="7"/>
    </row>
    <row r="2883" spans="1:11">
      <c r="A2883">
        <v>100002882</v>
      </c>
      <c r="B2883" t="s">
        <v>83</v>
      </c>
      <c r="C2883" t="s">
        <v>45</v>
      </c>
      <c r="D2883" t="s">
        <v>16</v>
      </c>
      <c r="E2883" s="9">
        <v>30</v>
      </c>
      <c r="F2883" t="s">
        <v>12</v>
      </c>
      <c r="G2883" t="s">
        <v>13</v>
      </c>
      <c r="H2883" s="8">
        <v>42306</v>
      </c>
      <c r="I2883">
        <v>41750.17</v>
      </c>
      <c r="K2883" s="8"/>
    </row>
    <row r="2884" spans="1:11">
      <c r="A2884">
        <v>100002883</v>
      </c>
      <c r="B2884" t="s">
        <v>28</v>
      </c>
      <c r="C2884" t="s">
        <v>178</v>
      </c>
      <c r="D2884" t="s">
        <v>16</v>
      </c>
      <c r="E2884" s="9">
        <v>35</v>
      </c>
      <c r="F2884" t="s">
        <v>12</v>
      </c>
      <c r="G2884" t="s">
        <v>13</v>
      </c>
      <c r="H2884" s="7">
        <v>42306</v>
      </c>
      <c r="I2884">
        <v>6556.67</v>
      </c>
      <c r="K2884" s="7"/>
    </row>
    <row r="2885" spans="1:11">
      <c r="A2885">
        <v>100002884</v>
      </c>
      <c r="B2885" t="s">
        <v>90</v>
      </c>
      <c r="C2885" t="s">
        <v>67</v>
      </c>
      <c r="D2885" t="s">
        <v>11</v>
      </c>
      <c r="E2885" s="9">
        <v>37</v>
      </c>
      <c r="F2885" t="s">
        <v>12</v>
      </c>
      <c r="G2885" t="s">
        <v>13</v>
      </c>
      <c r="H2885" s="8">
        <v>42306</v>
      </c>
      <c r="I2885">
        <v>44872.72</v>
      </c>
      <c r="K2885" s="8"/>
    </row>
    <row r="2886" spans="1:11">
      <c r="A2886">
        <v>100002885</v>
      </c>
      <c r="B2886" t="s">
        <v>30</v>
      </c>
      <c r="C2886" t="s">
        <v>130</v>
      </c>
      <c r="D2886" t="s">
        <v>16</v>
      </c>
      <c r="E2886" s="9">
        <v>53</v>
      </c>
      <c r="F2886" t="s">
        <v>12</v>
      </c>
      <c r="G2886" t="s">
        <v>33</v>
      </c>
      <c r="H2886" s="7">
        <v>42306</v>
      </c>
      <c r="I2886">
        <v>52378.68</v>
      </c>
      <c r="K2886" s="7"/>
    </row>
    <row r="2887" spans="1:11">
      <c r="A2887">
        <v>100002886</v>
      </c>
      <c r="B2887" t="s">
        <v>323</v>
      </c>
      <c r="C2887" t="s">
        <v>108</v>
      </c>
      <c r="D2887" t="s">
        <v>16</v>
      </c>
      <c r="E2887" s="9">
        <v>30</v>
      </c>
      <c r="F2887" t="s">
        <v>12</v>
      </c>
      <c r="G2887" t="s">
        <v>13</v>
      </c>
      <c r="H2887" s="8">
        <v>42306</v>
      </c>
      <c r="I2887">
        <v>73833.279999999999</v>
      </c>
      <c r="K2887" s="8"/>
    </row>
    <row r="2888" spans="1:11">
      <c r="A2888">
        <v>100002887</v>
      </c>
      <c r="B2888" t="s">
        <v>268</v>
      </c>
      <c r="C2888" t="s">
        <v>325</v>
      </c>
      <c r="D2888" t="s">
        <v>16</v>
      </c>
      <c r="E2888" s="9">
        <v>34</v>
      </c>
      <c r="F2888" t="s">
        <v>12</v>
      </c>
      <c r="G2888" t="s">
        <v>13</v>
      </c>
      <c r="H2888" s="7">
        <v>42306</v>
      </c>
      <c r="I2888">
        <v>44066.67</v>
      </c>
      <c r="K2888" s="7"/>
    </row>
    <row r="2889" spans="1:11">
      <c r="A2889">
        <v>100002888</v>
      </c>
      <c r="B2889" t="s">
        <v>99</v>
      </c>
      <c r="C2889" t="s">
        <v>306</v>
      </c>
      <c r="D2889" t="s">
        <v>16</v>
      </c>
      <c r="E2889" s="9">
        <v>39</v>
      </c>
      <c r="F2889" t="s">
        <v>12</v>
      </c>
      <c r="G2889" t="s">
        <v>13</v>
      </c>
      <c r="H2889" s="8">
        <v>42306</v>
      </c>
      <c r="I2889">
        <v>118110.62</v>
      </c>
      <c r="K2889" s="8"/>
    </row>
    <row r="2890" spans="1:11">
      <c r="A2890">
        <v>100002889</v>
      </c>
      <c r="B2890" t="s">
        <v>122</v>
      </c>
      <c r="C2890" t="s">
        <v>227</v>
      </c>
      <c r="D2890" t="s">
        <v>11</v>
      </c>
      <c r="E2890" s="9">
        <v>34</v>
      </c>
      <c r="F2890" t="s">
        <v>12</v>
      </c>
      <c r="G2890" t="s">
        <v>13</v>
      </c>
      <c r="H2890" s="7">
        <v>42306</v>
      </c>
      <c r="I2890">
        <v>62654.71</v>
      </c>
      <c r="K2890" s="7"/>
    </row>
    <row r="2891" spans="1:11">
      <c r="A2891">
        <v>100002890</v>
      </c>
      <c r="B2891" t="s">
        <v>112</v>
      </c>
      <c r="C2891" t="s">
        <v>295</v>
      </c>
      <c r="D2891" t="s">
        <v>11</v>
      </c>
      <c r="E2891" s="9">
        <v>31</v>
      </c>
      <c r="F2891" t="s">
        <v>12</v>
      </c>
      <c r="G2891" t="s">
        <v>13</v>
      </c>
      <c r="H2891" s="8">
        <v>42306</v>
      </c>
      <c r="I2891">
        <v>101731.87</v>
      </c>
      <c r="K2891" s="8"/>
    </row>
    <row r="2892" spans="1:11">
      <c r="A2892">
        <v>100002891</v>
      </c>
      <c r="B2892" t="s">
        <v>64</v>
      </c>
      <c r="C2892" t="s">
        <v>290</v>
      </c>
      <c r="D2892" t="s">
        <v>11</v>
      </c>
      <c r="E2892" s="9">
        <v>39</v>
      </c>
      <c r="F2892" t="s">
        <v>12</v>
      </c>
      <c r="G2892" t="s">
        <v>13</v>
      </c>
      <c r="H2892" s="7">
        <v>42306</v>
      </c>
      <c r="I2892">
        <v>14367.29</v>
      </c>
      <c r="K2892" s="7"/>
    </row>
    <row r="2893" spans="1:11">
      <c r="A2893">
        <v>100002892</v>
      </c>
      <c r="B2893" t="s">
        <v>319</v>
      </c>
      <c r="C2893" t="s">
        <v>153</v>
      </c>
      <c r="D2893" t="s">
        <v>16</v>
      </c>
      <c r="E2893" s="9">
        <v>37</v>
      </c>
      <c r="F2893" t="s">
        <v>12</v>
      </c>
      <c r="G2893" t="s">
        <v>33</v>
      </c>
      <c r="H2893" s="8">
        <v>42306</v>
      </c>
      <c r="I2893">
        <v>16358.32</v>
      </c>
      <c r="K2893" s="8"/>
    </row>
    <row r="2894" spans="1:11">
      <c r="A2894">
        <v>100002893</v>
      </c>
      <c r="B2894" t="s">
        <v>228</v>
      </c>
      <c r="C2894" t="s">
        <v>100</v>
      </c>
      <c r="D2894" t="s">
        <v>11</v>
      </c>
      <c r="E2894" s="9">
        <v>45</v>
      </c>
      <c r="F2894" t="s">
        <v>12</v>
      </c>
      <c r="G2894" t="s">
        <v>33</v>
      </c>
      <c r="H2894" s="7">
        <v>42306</v>
      </c>
      <c r="I2894">
        <v>85992.59</v>
      </c>
      <c r="K2894" s="7"/>
    </row>
    <row r="2895" spans="1:11">
      <c r="A2895">
        <v>100002894</v>
      </c>
      <c r="B2895" t="s">
        <v>143</v>
      </c>
      <c r="C2895" t="s">
        <v>278</v>
      </c>
      <c r="D2895" t="s">
        <v>11</v>
      </c>
      <c r="E2895" s="9">
        <v>36</v>
      </c>
      <c r="F2895" t="s">
        <v>12</v>
      </c>
      <c r="G2895" t="s">
        <v>33</v>
      </c>
      <c r="H2895" s="8">
        <v>42306</v>
      </c>
      <c r="I2895">
        <v>62882.21</v>
      </c>
      <c r="K2895" s="8"/>
    </row>
    <row r="2896" spans="1:11">
      <c r="A2896">
        <v>200002895</v>
      </c>
      <c r="B2896" t="s">
        <v>60</v>
      </c>
      <c r="C2896" t="s">
        <v>178</v>
      </c>
      <c r="D2896" t="s">
        <v>11</v>
      </c>
      <c r="E2896" s="9">
        <v>37</v>
      </c>
      <c r="F2896" t="s">
        <v>32</v>
      </c>
      <c r="G2896" t="s">
        <v>18</v>
      </c>
      <c r="H2896" s="7">
        <v>42306</v>
      </c>
      <c r="I2896">
        <v>16866.919999999998</v>
      </c>
      <c r="K2896" s="7"/>
    </row>
    <row r="2897" spans="1:11">
      <c r="A2897">
        <v>200002896</v>
      </c>
      <c r="B2897" t="s">
        <v>174</v>
      </c>
      <c r="C2897" t="s">
        <v>27</v>
      </c>
      <c r="D2897" t="s">
        <v>11</v>
      </c>
      <c r="E2897" s="9">
        <v>57</v>
      </c>
      <c r="F2897" t="s">
        <v>32</v>
      </c>
      <c r="G2897" t="s">
        <v>33</v>
      </c>
      <c r="H2897" s="8">
        <v>42306</v>
      </c>
      <c r="I2897">
        <v>47745.75</v>
      </c>
      <c r="K2897" s="8"/>
    </row>
    <row r="2898" spans="1:11">
      <c r="A2898">
        <v>200002897</v>
      </c>
      <c r="B2898" t="s">
        <v>70</v>
      </c>
      <c r="C2898" t="s">
        <v>211</v>
      </c>
      <c r="D2898" t="s">
        <v>11</v>
      </c>
      <c r="E2898" s="9">
        <v>43</v>
      </c>
      <c r="F2898" t="s">
        <v>32</v>
      </c>
      <c r="G2898" t="s">
        <v>18</v>
      </c>
      <c r="H2898" s="7">
        <v>42306</v>
      </c>
      <c r="I2898">
        <v>50448.22</v>
      </c>
      <c r="K2898" s="7"/>
    </row>
    <row r="2899" spans="1:11">
      <c r="A2899">
        <v>200002898</v>
      </c>
      <c r="B2899" t="s">
        <v>154</v>
      </c>
      <c r="C2899" t="s">
        <v>153</v>
      </c>
      <c r="D2899" t="s">
        <v>16</v>
      </c>
      <c r="E2899" s="9">
        <v>51</v>
      </c>
      <c r="F2899" t="s">
        <v>32</v>
      </c>
      <c r="G2899" t="s">
        <v>33</v>
      </c>
      <c r="H2899" s="8">
        <v>42306</v>
      </c>
      <c r="I2899">
        <v>47468.79</v>
      </c>
      <c r="K2899" s="8"/>
    </row>
    <row r="2900" spans="1:11">
      <c r="A2900">
        <v>200002899</v>
      </c>
      <c r="B2900" t="s">
        <v>74</v>
      </c>
      <c r="C2900" t="s">
        <v>56</v>
      </c>
      <c r="D2900" t="s">
        <v>16</v>
      </c>
      <c r="E2900" s="9">
        <v>34</v>
      </c>
      <c r="F2900" t="s">
        <v>32</v>
      </c>
      <c r="G2900" t="s">
        <v>33</v>
      </c>
      <c r="H2900" s="7">
        <v>42306</v>
      </c>
      <c r="I2900">
        <v>57068.72</v>
      </c>
      <c r="K2900" s="7"/>
    </row>
    <row r="2901" spans="1:11">
      <c r="A2901">
        <v>200002900</v>
      </c>
      <c r="B2901" t="s">
        <v>213</v>
      </c>
      <c r="C2901" t="s">
        <v>259</v>
      </c>
      <c r="D2901" t="s">
        <v>11</v>
      </c>
      <c r="E2901" s="9">
        <v>60</v>
      </c>
      <c r="F2901" t="s">
        <v>32</v>
      </c>
      <c r="G2901" t="s">
        <v>33</v>
      </c>
      <c r="H2901" s="8">
        <v>42306</v>
      </c>
      <c r="I2901">
        <v>115932.44</v>
      </c>
      <c r="K2901" s="8"/>
    </row>
    <row r="2902" spans="1:11">
      <c r="A2902">
        <v>200002901</v>
      </c>
      <c r="B2902" t="s">
        <v>143</v>
      </c>
      <c r="C2902" t="s">
        <v>230</v>
      </c>
      <c r="D2902" t="s">
        <v>11</v>
      </c>
      <c r="E2902" s="9">
        <v>57</v>
      </c>
      <c r="F2902" t="s">
        <v>32</v>
      </c>
      <c r="G2902" t="s">
        <v>18</v>
      </c>
      <c r="H2902" s="7">
        <v>42306</v>
      </c>
      <c r="I2902">
        <v>81414.37</v>
      </c>
      <c r="K2902" s="7"/>
    </row>
    <row r="2903" spans="1:11">
      <c r="A2903">
        <v>200002902</v>
      </c>
      <c r="B2903" t="s">
        <v>181</v>
      </c>
      <c r="C2903" t="s">
        <v>58</v>
      </c>
      <c r="D2903" t="s">
        <v>11</v>
      </c>
      <c r="E2903" s="9">
        <v>38</v>
      </c>
      <c r="F2903" t="s">
        <v>32</v>
      </c>
      <c r="G2903" t="s">
        <v>18</v>
      </c>
      <c r="H2903" s="8">
        <v>42306</v>
      </c>
      <c r="I2903">
        <v>106227.27</v>
      </c>
      <c r="K2903" s="8"/>
    </row>
    <row r="2904" spans="1:11">
      <c r="A2904">
        <v>200002903</v>
      </c>
      <c r="B2904" t="s">
        <v>68</v>
      </c>
      <c r="C2904" t="s">
        <v>306</v>
      </c>
      <c r="D2904" t="s">
        <v>16</v>
      </c>
      <c r="E2904" s="9">
        <v>53</v>
      </c>
      <c r="F2904" t="s">
        <v>32</v>
      </c>
      <c r="G2904" t="s">
        <v>33</v>
      </c>
      <c r="H2904" s="7">
        <v>42306</v>
      </c>
      <c r="I2904">
        <v>53820.41</v>
      </c>
      <c r="K2904" s="7"/>
    </row>
    <row r="2905" spans="1:11">
      <c r="A2905">
        <v>300002904</v>
      </c>
      <c r="B2905" t="s">
        <v>149</v>
      </c>
      <c r="C2905" t="s">
        <v>219</v>
      </c>
      <c r="D2905" t="s">
        <v>16</v>
      </c>
      <c r="E2905" s="9">
        <v>27</v>
      </c>
      <c r="F2905" t="s">
        <v>23</v>
      </c>
      <c r="G2905" t="s">
        <v>13</v>
      </c>
      <c r="H2905" s="8">
        <v>42306</v>
      </c>
      <c r="I2905">
        <v>19224.759999999998</v>
      </c>
      <c r="K2905" s="8"/>
    </row>
    <row r="2906" spans="1:11">
      <c r="A2906">
        <v>300002905</v>
      </c>
      <c r="B2906" t="s">
        <v>62</v>
      </c>
      <c r="C2906" t="s">
        <v>78</v>
      </c>
      <c r="D2906" t="s">
        <v>16</v>
      </c>
      <c r="E2906" s="9">
        <v>43</v>
      </c>
      <c r="F2906" t="s">
        <v>23</v>
      </c>
      <c r="G2906" t="s">
        <v>13</v>
      </c>
      <c r="H2906" s="7">
        <v>42306</v>
      </c>
      <c r="I2906">
        <v>19488.810000000001</v>
      </c>
      <c r="K2906" s="7"/>
    </row>
    <row r="2907" spans="1:11">
      <c r="A2907">
        <v>300002906</v>
      </c>
      <c r="B2907" t="s">
        <v>21</v>
      </c>
      <c r="C2907" t="s">
        <v>20</v>
      </c>
      <c r="D2907" t="s">
        <v>11</v>
      </c>
      <c r="E2907" s="9">
        <v>31</v>
      </c>
      <c r="F2907" t="s">
        <v>23</v>
      </c>
      <c r="G2907" t="s">
        <v>18</v>
      </c>
      <c r="H2907" s="8">
        <v>42306</v>
      </c>
      <c r="I2907">
        <v>30436.38</v>
      </c>
      <c r="K2907" s="8"/>
    </row>
    <row r="2908" spans="1:11">
      <c r="A2908">
        <v>400002907</v>
      </c>
      <c r="B2908" t="s">
        <v>40</v>
      </c>
      <c r="C2908" t="s">
        <v>258</v>
      </c>
      <c r="D2908" t="s">
        <v>11</v>
      </c>
      <c r="E2908" s="9">
        <v>30</v>
      </c>
      <c r="F2908" t="s">
        <v>17</v>
      </c>
      <c r="G2908" t="s">
        <v>18</v>
      </c>
      <c r="H2908" s="7">
        <v>42306</v>
      </c>
      <c r="I2908">
        <v>34718.68</v>
      </c>
      <c r="K2908" s="7"/>
    </row>
    <row r="2909" spans="1:11">
      <c r="A2909">
        <v>400002908</v>
      </c>
      <c r="B2909" t="s">
        <v>166</v>
      </c>
      <c r="C2909" t="s">
        <v>285</v>
      </c>
      <c r="D2909" t="s">
        <v>16</v>
      </c>
      <c r="E2909" s="9">
        <v>32</v>
      </c>
      <c r="F2909" t="s">
        <v>17</v>
      </c>
      <c r="G2909" t="s">
        <v>33</v>
      </c>
      <c r="H2909" s="8">
        <v>42306</v>
      </c>
      <c r="I2909">
        <v>15858.93</v>
      </c>
      <c r="K2909" s="8"/>
    </row>
    <row r="2910" spans="1:11">
      <c r="A2910">
        <v>100002909</v>
      </c>
      <c r="B2910" t="s">
        <v>79</v>
      </c>
      <c r="C2910" t="s">
        <v>164</v>
      </c>
      <c r="D2910" t="s">
        <v>11</v>
      </c>
      <c r="E2910" s="9">
        <v>35</v>
      </c>
      <c r="F2910" t="s">
        <v>12</v>
      </c>
      <c r="G2910" t="s">
        <v>13</v>
      </c>
      <c r="H2910" s="7">
        <v>42307</v>
      </c>
      <c r="I2910">
        <v>41292.980000000003</v>
      </c>
      <c r="K2910" s="7"/>
    </row>
    <row r="2911" spans="1:11">
      <c r="A2911">
        <v>100002910</v>
      </c>
      <c r="B2911" t="s">
        <v>323</v>
      </c>
      <c r="C2911" t="s">
        <v>313</v>
      </c>
      <c r="D2911" t="s">
        <v>16</v>
      </c>
      <c r="E2911" s="9">
        <v>32</v>
      </c>
      <c r="F2911" t="s">
        <v>12</v>
      </c>
      <c r="G2911" t="s">
        <v>13</v>
      </c>
      <c r="H2911" s="8">
        <v>42307</v>
      </c>
      <c r="I2911">
        <v>17090.169999999998</v>
      </c>
      <c r="K2911" s="8"/>
    </row>
    <row r="2912" spans="1:11">
      <c r="A2912">
        <v>100002911</v>
      </c>
      <c r="B2912" t="s">
        <v>181</v>
      </c>
      <c r="C2912" t="s">
        <v>134</v>
      </c>
      <c r="D2912" t="s">
        <v>11</v>
      </c>
      <c r="E2912" s="9">
        <v>37</v>
      </c>
      <c r="F2912" t="s">
        <v>12</v>
      </c>
      <c r="G2912" t="s">
        <v>18</v>
      </c>
      <c r="H2912" s="7">
        <v>42307</v>
      </c>
      <c r="I2912">
        <v>60097.21</v>
      </c>
      <c r="K2912" s="7"/>
    </row>
    <row r="2913" spans="1:11">
      <c r="A2913">
        <v>100002912</v>
      </c>
      <c r="B2913" t="s">
        <v>215</v>
      </c>
      <c r="C2913" t="s">
        <v>277</v>
      </c>
      <c r="D2913" t="s">
        <v>16</v>
      </c>
      <c r="E2913" s="9">
        <v>31</v>
      </c>
      <c r="F2913" t="s">
        <v>12</v>
      </c>
      <c r="G2913" t="s">
        <v>13</v>
      </c>
      <c r="H2913" s="8">
        <v>42307</v>
      </c>
      <c r="I2913">
        <v>113868.94</v>
      </c>
      <c r="K2913" s="8"/>
    </row>
    <row r="2914" spans="1:11">
      <c r="A2914">
        <v>100002913</v>
      </c>
      <c r="B2914" t="s">
        <v>79</v>
      </c>
      <c r="C2914" t="s">
        <v>54</v>
      </c>
      <c r="D2914" t="s">
        <v>11</v>
      </c>
      <c r="E2914" s="9">
        <v>32</v>
      </c>
      <c r="F2914" t="s">
        <v>12</v>
      </c>
      <c r="G2914" t="s">
        <v>13</v>
      </c>
      <c r="H2914" s="7">
        <v>42307</v>
      </c>
      <c r="I2914">
        <v>27593.119999999999</v>
      </c>
      <c r="K2914" s="7"/>
    </row>
    <row r="2915" spans="1:11">
      <c r="A2915">
        <v>100002914</v>
      </c>
      <c r="B2915" t="s">
        <v>232</v>
      </c>
      <c r="C2915" t="s">
        <v>98</v>
      </c>
      <c r="D2915" t="s">
        <v>16</v>
      </c>
      <c r="E2915" s="9">
        <v>33</v>
      </c>
      <c r="F2915" t="s">
        <v>12</v>
      </c>
      <c r="G2915" t="s">
        <v>33</v>
      </c>
      <c r="H2915" s="8">
        <v>42307</v>
      </c>
      <c r="I2915">
        <v>2471.48</v>
      </c>
      <c r="K2915" s="8"/>
    </row>
    <row r="2916" spans="1:11">
      <c r="A2916">
        <v>100002915</v>
      </c>
      <c r="B2916" t="s">
        <v>24</v>
      </c>
      <c r="C2916" t="s">
        <v>270</v>
      </c>
      <c r="D2916" t="s">
        <v>16</v>
      </c>
      <c r="E2916" s="9">
        <v>23</v>
      </c>
      <c r="F2916" t="s">
        <v>12</v>
      </c>
      <c r="G2916" t="s">
        <v>13</v>
      </c>
      <c r="H2916" s="7">
        <v>42307</v>
      </c>
      <c r="I2916">
        <v>5965.14</v>
      </c>
      <c r="K2916" s="7"/>
    </row>
    <row r="2917" spans="1:11">
      <c r="A2917">
        <v>100002916</v>
      </c>
      <c r="B2917" t="s">
        <v>190</v>
      </c>
      <c r="C2917" t="s">
        <v>216</v>
      </c>
      <c r="D2917" t="s">
        <v>11</v>
      </c>
      <c r="E2917" s="9">
        <v>25</v>
      </c>
      <c r="F2917" t="s">
        <v>12</v>
      </c>
      <c r="G2917" t="s">
        <v>33</v>
      </c>
      <c r="H2917" s="8">
        <v>42307</v>
      </c>
      <c r="I2917">
        <v>41058.11</v>
      </c>
      <c r="K2917" s="8"/>
    </row>
    <row r="2918" spans="1:11">
      <c r="A2918">
        <v>100002917</v>
      </c>
      <c r="B2918" t="s">
        <v>70</v>
      </c>
      <c r="C2918" t="s">
        <v>58</v>
      </c>
      <c r="D2918" t="s">
        <v>11</v>
      </c>
      <c r="E2918" s="9">
        <v>33</v>
      </c>
      <c r="F2918" t="s">
        <v>12</v>
      </c>
      <c r="G2918" t="s">
        <v>13</v>
      </c>
      <c r="H2918" s="7">
        <v>42307</v>
      </c>
      <c r="I2918">
        <v>31959.46</v>
      </c>
      <c r="K2918" s="7"/>
    </row>
    <row r="2919" spans="1:11">
      <c r="A2919">
        <v>100002918</v>
      </c>
      <c r="B2919" t="s">
        <v>174</v>
      </c>
      <c r="C2919" t="s">
        <v>205</v>
      </c>
      <c r="D2919" t="s">
        <v>11</v>
      </c>
      <c r="E2919" s="9">
        <v>31</v>
      </c>
      <c r="F2919" t="s">
        <v>12</v>
      </c>
      <c r="G2919" t="s">
        <v>13</v>
      </c>
      <c r="H2919" s="8">
        <v>42307</v>
      </c>
      <c r="I2919">
        <v>22240.2</v>
      </c>
      <c r="K2919" s="8"/>
    </row>
    <row r="2920" spans="1:11">
      <c r="A2920">
        <v>100002919</v>
      </c>
      <c r="B2920" t="s">
        <v>21</v>
      </c>
      <c r="C2920" t="s">
        <v>183</v>
      </c>
      <c r="D2920" t="s">
        <v>11</v>
      </c>
      <c r="E2920" s="9">
        <v>33</v>
      </c>
      <c r="F2920" t="s">
        <v>12</v>
      </c>
      <c r="G2920" t="s">
        <v>13</v>
      </c>
      <c r="H2920" s="7">
        <v>42307</v>
      </c>
      <c r="I2920">
        <v>50075.4</v>
      </c>
      <c r="K2920" s="7"/>
    </row>
    <row r="2921" spans="1:11">
      <c r="A2921">
        <v>200002920</v>
      </c>
      <c r="B2921" t="s">
        <v>72</v>
      </c>
      <c r="C2921" t="s">
        <v>15</v>
      </c>
      <c r="D2921" t="s">
        <v>11</v>
      </c>
      <c r="E2921" s="9">
        <v>43</v>
      </c>
      <c r="F2921" t="s">
        <v>32</v>
      </c>
      <c r="G2921" t="s">
        <v>18</v>
      </c>
      <c r="H2921" s="8">
        <v>42307</v>
      </c>
      <c r="I2921">
        <v>31739.200000000001</v>
      </c>
      <c r="K2921" s="8"/>
    </row>
    <row r="2922" spans="1:11">
      <c r="A2922">
        <v>200002921</v>
      </c>
      <c r="B2922" t="s">
        <v>62</v>
      </c>
      <c r="C2922" t="s">
        <v>270</v>
      </c>
      <c r="D2922" t="s">
        <v>16</v>
      </c>
      <c r="E2922" s="9">
        <v>34</v>
      </c>
      <c r="F2922" t="s">
        <v>32</v>
      </c>
      <c r="G2922" t="s">
        <v>33</v>
      </c>
      <c r="H2922" s="7">
        <v>42307</v>
      </c>
      <c r="I2922">
        <v>61355.54</v>
      </c>
      <c r="K2922" s="7"/>
    </row>
    <row r="2923" spans="1:11">
      <c r="A2923">
        <v>200002922</v>
      </c>
      <c r="B2923" t="s">
        <v>158</v>
      </c>
      <c r="C2923" t="s">
        <v>56</v>
      </c>
      <c r="D2923" t="s">
        <v>16</v>
      </c>
      <c r="E2923" s="9">
        <v>59</v>
      </c>
      <c r="F2923" t="s">
        <v>32</v>
      </c>
      <c r="G2923" t="s">
        <v>33</v>
      </c>
      <c r="H2923" s="8">
        <v>42307</v>
      </c>
      <c r="I2923">
        <v>54003.42</v>
      </c>
      <c r="K2923" s="8"/>
    </row>
    <row r="2924" spans="1:11">
      <c r="A2924">
        <v>200002923</v>
      </c>
      <c r="B2924" t="s">
        <v>176</v>
      </c>
      <c r="C2924" t="s">
        <v>196</v>
      </c>
      <c r="D2924" t="s">
        <v>16</v>
      </c>
      <c r="E2924" s="9">
        <v>45</v>
      </c>
      <c r="F2924" t="s">
        <v>32</v>
      </c>
      <c r="G2924" t="s">
        <v>33</v>
      </c>
      <c r="H2924" s="7">
        <v>42307</v>
      </c>
      <c r="I2924">
        <v>9654.58</v>
      </c>
      <c r="K2924" s="7"/>
    </row>
    <row r="2925" spans="1:11">
      <c r="A2925">
        <v>200002924</v>
      </c>
      <c r="B2925" t="s">
        <v>159</v>
      </c>
      <c r="C2925" t="s">
        <v>63</v>
      </c>
      <c r="D2925" t="s">
        <v>11</v>
      </c>
      <c r="E2925" s="9">
        <v>52</v>
      </c>
      <c r="F2925" t="s">
        <v>32</v>
      </c>
      <c r="G2925" t="s">
        <v>18</v>
      </c>
      <c r="H2925" s="8">
        <v>42307</v>
      </c>
      <c r="I2925">
        <v>6809.17</v>
      </c>
      <c r="K2925" s="8"/>
    </row>
    <row r="2926" spans="1:11">
      <c r="A2926">
        <v>200002925</v>
      </c>
      <c r="B2926" t="s">
        <v>186</v>
      </c>
      <c r="C2926" t="s">
        <v>45</v>
      </c>
      <c r="D2926" t="s">
        <v>11</v>
      </c>
      <c r="E2926" s="9">
        <v>47</v>
      </c>
      <c r="F2926" t="s">
        <v>32</v>
      </c>
      <c r="G2926" t="s">
        <v>18</v>
      </c>
      <c r="H2926" s="7">
        <v>42307</v>
      </c>
      <c r="I2926">
        <v>33282.11</v>
      </c>
      <c r="K2926" s="7"/>
    </row>
    <row r="2927" spans="1:11">
      <c r="A2927">
        <v>200002926</v>
      </c>
      <c r="B2927" t="s">
        <v>21</v>
      </c>
      <c r="C2927" t="s">
        <v>142</v>
      </c>
      <c r="D2927" t="s">
        <v>11</v>
      </c>
      <c r="E2927" s="9">
        <v>47</v>
      </c>
      <c r="F2927" t="s">
        <v>32</v>
      </c>
      <c r="G2927" t="s">
        <v>18</v>
      </c>
      <c r="H2927" s="8">
        <v>42307</v>
      </c>
      <c r="I2927">
        <v>64172.31</v>
      </c>
      <c r="K2927" s="8"/>
    </row>
    <row r="2928" spans="1:11">
      <c r="A2928">
        <v>300002927</v>
      </c>
      <c r="B2928" t="s">
        <v>24</v>
      </c>
      <c r="C2928" t="s">
        <v>65</v>
      </c>
      <c r="D2928" t="s">
        <v>16</v>
      </c>
      <c r="E2928" s="9">
        <v>34</v>
      </c>
      <c r="F2928" t="s">
        <v>23</v>
      </c>
      <c r="G2928" t="s">
        <v>13</v>
      </c>
      <c r="H2928" s="7">
        <v>42307</v>
      </c>
      <c r="I2928">
        <v>43689.43</v>
      </c>
      <c r="K2928" s="7"/>
    </row>
    <row r="2929" spans="1:11">
      <c r="A2929">
        <v>400002928</v>
      </c>
      <c r="B2929" t="s">
        <v>154</v>
      </c>
      <c r="C2929" t="s">
        <v>43</v>
      </c>
      <c r="D2929" t="s">
        <v>16</v>
      </c>
      <c r="E2929" s="9">
        <v>29</v>
      </c>
      <c r="F2929" t="s">
        <v>17</v>
      </c>
      <c r="G2929" t="s">
        <v>18</v>
      </c>
      <c r="H2929" s="8">
        <v>42307</v>
      </c>
      <c r="I2929">
        <v>50213.26</v>
      </c>
      <c r="K2929" s="8"/>
    </row>
    <row r="2930" spans="1:11">
      <c r="A2930">
        <v>100002929</v>
      </c>
      <c r="B2930" t="s">
        <v>48</v>
      </c>
      <c r="C2930" t="s">
        <v>211</v>
      </c>
      <c r="D2930" t="s">
        <v>16</v>
      </c>
      <c r="E2930" s="9">
        <v>32</v>
      </c>
      <c r="F2930" t="s">
        <v>12</v>
      </c>
      <c r="G2930" t="s">
        <v>13</v>
      </c>
      <c r="H2930" s="7">
        <v>42308</v>
      </c>
      <c r="I2930">
        <v>26231.03</v>
      </c>
      <c r="K2930" s="7"/>
    </row>
    <row r="2931" spans="1:11">
      <c r="A2931">
        <v>100002930</v>
      </c>
      <c r="B2931" t="s">
        <v>191</v>
      </c>
      <c r="C2931" t="s">
        <v>88</v>
      </c>
      <c r="D2931" t="s">
        <v>11</v>
      </c>
      <c r="E2931" s="9">
        <v>38</v>
      </c>
      <c r="F2931" t="s">
        <v>12</v>
      </c>
      <c r="G2931" t="s">
        <v>33</v>
      </c>
      <c r="H2931" s="8">
        <v>42308</v>
      </c>
      <c r="I2931">
        <v>49041.1</v>
      </c>
      <c r="K2931" s="8"/>
    </row>
    <row r="2932" spans="1:11">
      <c r="A2932">
        <v>100002931</v>
      </c>
      <c r="B2932" t="s">
        <v>139</v>
      </c>
      <c r="C2932" t="s">
        <v>47</v>
      </c>
      <c r="D2932" t="s">
        <v>16</v>
      </c>
      <c r="E2932" s="9">
        <v>31</v>
      </c>
      <c r="F2932" t="s">
        <v>12</v>
      </c>
      <c r="G2932" t="s">
        <v>13</v>
      </c>
      <c r="H2932" s="7">
        <v>42308</v>
      </c>
      <c r="I2932">
        <v>40138.75</v>
      </c>
      <c r="K2932" s="7"/>
    </row>
    <row r="2933" spans="1:11">
      <c r="A2933">
        <v>100002932</v>
      </c>
      <c r="B2933" t="s">
        <v>30</v>
      </c>
      <c r="C2933" t="s">
        <v>94</v>
      </c>
      <c r="D2933" t="s">
        <v>16</v>
      </c>
      <c r="E2933" s="9">
        <v>32</v>
      </c>
      <c r="F2933" t="s">
        <v>12</v>
      </c>
      <c r="G2933" t="s">
        <v>33</v>
      </c>
      <c r="H2933" s="8">
        <v>42308</v>
      </c>
      <c r="I2933">
        <v>699.42</v>
      </c>
      <c r="K2933" s="8"/>
    </row>
    <row r="2934" spans="1:11">
      <c r="A2934">
        <v>100002933</v>
      </c>
      <c r="B2934" t="s">
        <v>92</v>
      </c>
      <c r="C2934" t="s">
        <v>129</v>
      </c>
      <c r="D2934" t="s">
        <v>16</v>
      </c>
      <c r="E2934" s="9">
        <v>32</v>
      </c>
      <c r="F2934" t="s">
        <v>12</v>
      </c>
      <c r="G2934" t="s">
        <v>13</v>
      </c>
      <c r="H2934" s="7">
        <v>42308</v>
      </c>
      <c r="I2934">
        <v>25464.76</v>
      </c>
      <c r="K2934" s="7"/>
    </row>
    <row r="2935" spans="1:11">
      <c r="A2935">
        <v>100002934</v>
      </c>
      <c r="B2935" t="s">
        <v>143</v>
      </c>
      <c r="C2935" t="s">
        <v>153</v>
      </c>
      <c r="D2935" t="s">
        <v>11</v>
      </c>
      <c r="E2935" s="9">
        <v>36</v>
      </c>
      <c r="F2935" t="s">
        <v>12</v>
      </c>
      <c r="G2935" t="s">
        <v>18</v>
      </c>
      <c r="H2935" s="8">
        <v>42308</v>
      </c>
      <c r="I2935">
        <v>65949.77</v>
      </c>
      <c r="K2935" s="8"/>
    </row>
    <row r="2936" spans="1:11">
      <c r="A2936">
        <v>100002935</v>
      </c>
      <c r="B2936" t="s">
        <v>284</v>
      </c>
      <c r="C2936" t="s">
        <v>279</v>
      </c>
      <c r="D2936" t="s">
        <v>16</v>
      </c>
      <c r="E2936" s="9">
        <v>36</v>
      </c>
      <c r="F2936" t="s">
        <v>12</v>
      </c>
      <c r="G2936" t="s">
        <v>13</v>
      </c>
      <c r="H2936" s="7">
        <v>42308</v>
      </c>
      <c r="I2936">
        <v>98682.44</v>
      </c>
      <c r="K2936" s="7"/>
    </row>
    <row r="2937" spans="1:11">
      <c r="A2937">
        <v>100002936</v>
      </c>
      <c r="B2937" t="s">
        <v>53</v>
      </c>
      <c r="C2937" t="s">
        <v>189</v>
      </c>
      <c r="D2937" t="s">
        <v>16</v>
      </c>
      <c r="E2937" s="9">
        <v>42</v>
      </c>
      <c r="F2937" t="s">
        <v>12</v>
      </c>
      <c r="G2937" t="s">
        <v>13</v>
      </c>
      <c r="H2937" s="8">
        <v>42308</v>
      </c>
      <c r="I2937">
        <v>15389.73</v>
      </c>
      <c r="K2937" s="8"/>
    </row>
    <row r="2938" spans="1:11">
      <c r="A2938">
        <v>100002937</v>
      </c>
      <c r="B2938" t="s">
        <v>28</v>
      </c>
      <c r="C2938" t="s">
        <v>63</v>
      </c>
      <c r="D2938" t="s">
        <v>16</v>
      </c>
      <c r="E2938" s="9">
        <v>28</v>
      </c>
      <c r="F2938" t="s">
        <v>12</v>
      </c>
      <c r="G2938" t="s">
        <v>13</v>
      </c>
      <c r="H2938" s="7">
        <v>42308</v>
      </c>
      <c r="I2938">
        <v>3766.5</v>
      </c>
      <c r="K2938" s="7"/>
    </row>
    <row r="2939" spans="1:11">
      <c r="A2939">
        <v>100002938</v>
      </c>
      <c r="B2939" t="s">
        <v>165</v>
      </c>
      <c r="C2939" t="s">
        <v>196</v>
      </c>
      <c r="D2939" t="s">
        <v>16</v>
      </c>
      <c r="E2939" s="9">
        <v>40</v>
      </c>
      <c r="F2939" t="s">
        <v>12</v>
      </c>
      <c r="G2939" t="s">
        <v>33</v>
      </c>
      <c r="H2939" s="8">
        <v>42308</v>
      </c>
      <c r="I2939">
        <v>55489.08</v>
      </c>
      <c r="K2939" s="8"/>
    </row>
    <row r="2940" spans="1:11">
      <c r="A2940">
        <v>100002939</v>
      </c>
      <c r="B2940" t="s">
        <v>51</v>
      </c>
      <c r="C2940" t="s">
        <v>211</v>
      </c>
      <c r="D2940" t="s">
        <v>11</v>
      </c>
      <c r="E2940" s="9">
        <v>35</v>
      </c>
      <c r="F2940" t="s">
        <v>12</v>
      </c>
      <c r="G2940" t="s">
        <v>13</v>
      </c>
      <c r="H2940" s="7">
        <v>42308</v>
      </c>
      <c r="I2940">
        <v>56363.31</v>
      </c>
      <c r="K2940" s="7"/>
    </row>
    <row r="2941" spans="1:11">
      <c r="A2941">
        <v>100002940</v>
      </c>
      <c r="B2941" t="s">
        <v>271</v>
      </c>
      <c r="C2941" t="s">
        <v>22</v>
      </c>
      <c r="D2941" t="s">
        <v>16</v>
      </c>
      <c r="E2941" s="9">
        <v>33</v>
      </c>
      <c r="F2941" t="s">
        <v>12</v>
      </c>
      <c r="G2941" t="s">
        <v>33</v>
      </c>
      <c r="H2941" s="8">
        <v>42308</v>
      </c>
      <c r="I2941">
        <v>60395.3</v>
      </c>
      <c r="K2941" s="8"/>
    </row>
    <row r="2942" spans="1:11">
      <c r="A2942">
        <v>100002941</v>
      </c>
      <c r="B2942" t="s">
        <v>164</v>
      </c>
      <c r="C2942" t="s">
        <v>242</v>
      </c>
      <c r="D2942" t="s">
        <v>11</v>
      </c>
      <c r="E2942" s="9">
        <v>50</v>
      </c>
      <c r="F2942" t="s">
        <v>12</v>
      </c>
      <c r="G2942" t="s">
        <v>13</v>
      </c>
      <c r="H2942" s="7">
        <v>42308</v>
      </c>
      <c r="I2942">
        <v>20397.32</v>
      </c>
      <c r="K2942" s="7"/>
    </row>
    <row r="2943" spans="1:11">
      <c r="A2943">
        <v>200002942</v>
      </c>
      <c r="B2943" t="s">
        <v>72</v>
      </c>
      <c r="C2943" t="s">
        <v>209</v>
      </c>
      <c r="D2943" t="s">
        <v>11</v>
      </c>
      <c r="E2943" s="9">
        <v>52</v>
      </c>
      <c r="F2943" t="s">
        <v>32</v>
      </c>
      <c r="G2943" t="s">
        <v>33</v>
      </c>
      <c r="H2943" s="8">
        <v>42308</v>
      </c>
      <c r="I2943">
        <v>20132.46</v>
      </c>
      <c r="K2943" s="8"/>
    </row>
    <row r="2944" spans="1:11">
      <c r="A2944">
        <v>200002943</v>
      </c>
      <c r="B2944" t="s">
        <v>79</v>
      </c>
      <c r="C2944" t="s">
        <v>310</v>
      </c>
      <c r="D2944" t="s">
        <v>11</v>
      </c>
      <c r="E2944" s="9">
        <v>44</v>
      </c>
      <c r="F2944" t="s">
        <v>32</v>
      </c>
      <c r="G2944" t="s">
        <v>18</v>
      </c>
      <c r="H2944" s="7">
        <v>42308</v>
      </c>
      <c r="I2944">
        <v>101645.25</v>
      </c>
      <c r="K2944" s="7"/>
    </row>
    <row r="2945" spans="1:11">
      <c r="A2945">
        <v>200002944</v>
      </c>
      <c r="B2945" t="s">
        <v>164</v>
      </c>
      <c r="C2945" t="s">
        <v>257</v>
      </c>
      <c r="D2945" t="s">
        <v>11</v>
      </c>
      <c r="E2945" s="9">
        <v>55</v>
      </c>
      <c r="F2945" t="s">
        <v>32</v>
      </c>
      <c r="G2945" t="s">
        <v>18</v>
      </c>
      <c r="H2945" s="8">
        <v>42308</v>
      </c>
      <c r="I2945">
        <v>66721.34</v>
      </c>
      <c r="K2945" s="8"/>
    </row>
    <row r="2946" spans="1:11">
      <c r="A2946">
        <v>200002945</v>
      </c>
      <c r="B2946" t="s">
        <v>36</v>
      </c>
      <c r="C2946" t="s">
        <v>127</v>
      </c>
      <c r="D2946" t="s">
        <v>11</v>
      </c>
      <c r="E2946" s="9">
        <v>55</v>
      </c>
      <c r="F2946" t="s">
        <v>32</v>
      </c>
      <c r="G2946" t="s">
        <v>33</v>
      </c>
      <c r="H2946" s="7">
        <v>42308</v>
      </c>
      <c r="I2946">
        <v>66668.78</v>
      </c>
      <c r="K2946" s="7"/>
    </row>
    <row r="2947" spans="1:11">
      <c r="A2947">
        <v>300002946</v>
      </c>
      <c r="B2947" t="s">
        <v>218</v>
      </c>
      <c r="C2947" t="s">
        <v>125</v>
      </c>
      <c r="D2947" t="s">
        <v>11</v>
      </c>
      <c r="E2947" s="9">
        <v>45</v>
      </c>
      <c r="F2947" t="s">
        <v>23</v>
      </c>
      <c r="G2947" t="s">
        <v>18</v>
      </c>
      <c r="H2947" s="8">
        <v>42308</v>
      </c>
      <c r="I2947">
        <v>21018.89</v>
      </c>
      <c r="K2947" s="8"/>
    </row>
    <row r="2948" spans="1:11">
      <c r="A2948">
        <v>100002947</v>
      </c>
      <c r="B2948" t="s">
        <v>244</v>
      </c>
      <c r="C2948" t="s">
        <v>310</v>
      </c>
      <c r="D2948" t="s">
        <v>16</v>
      </c>
      <c r="E2948" s="9">
        <v>49</v>
      </c>
      <c r="F2948" t="s">
        <v>12</v>
      </c>
      <c r="G2948" t="s">
        <v>13</v>
      </c>
      <c r="H2948" s="7">
        <v>42309</v>
      </c>
      <c r="I2948">
        <v>48099.69</v>
      </c>
      <c r="K2948" s="7"/>
    </row>
    <row r="2949" spans="1:11">
      <c r="A2949">
        <v>100002948</v>
      </c>
      <c r="B2949" t="s">
        <v>84</v>
      </c>
      <c r="C2949" t="s">
        <v>93</v>
      </c>
      <c r="D2949" t="s">
        <v>16</v>
      </c>
      <c r="E2949" s="9">
        <v>36</v>
      </c>
      <c r="F2949" t="s">
        <v>12</v>
      </c>
      <c r="G2949" t="s">
        <v>13</v>
      </c>
      <c r="H2949" s="8">
        <v>42309</v>
      </c>
      <c r="I2949">
        <v>34618.76</v>
      </c>
      <c r="K2949" s="8"/>
    </row>
    <row r="2950" spans="1:11">
      <c r="A2950">
        <v>100002949</v>
      </c>
      <c r="B2950" t="s">
        <v>74</v>
      </c>
      <c r="C2950" t="s">
        <v>35</v>
      </c>
      <c r="D2950" t="s">
        <v>16</v>
      </c>
      <c r="E2950" s="9">
        <v>38</v>
      </c>
      <c r="F2950" t="s">
        <v>12</v>
      </c>
      <c r="G2950" t="s">
        <v>13</v>
      </c>
      <c r="H2950" s="7">
        <v>42309</v>
      </c>
      <c r="I2950">
        <v>54755.3</v>
      </c>
      <c r="K2950" s="7"/>
    </row>
    <row r="2951" spans="1:11">
      <c r="A2951">
        <v>100002950</v>
      </c>
      <c r="B2951" t="s">
        <v>245</v>
      </c>
      <c r="C2951" t="s">
        <v>237</v>
      </c>
      <c r="D2951" t="s">
        <v>11</v>
      </c>
      <c r="E2951" s="9">
        <v>33</v>
      </c>
      <c r="F2951" t="s">
        <v>12</v>
      </c>
      <c r="G2951" t="s">
        <v>13</v>
      </c>
      <c r="H2951" s="8">
        <v>42309</v>
      </c>
      <c r="I2951">
        <v>81827.13</v>
      </c>
      <c r="K2951" s="8"/>
    </row>
    <row r="2952" spans="1:11">
      <c r="A2952">
        <v>100002951</v>
      </c>
      <c r="B2952" t="s">
        <v>323</v>
      </c>
      <c r="C2952" t="s">
        <v>257</v>
      </c>
      <c r="D2952" t="s">
        <v>16</v>
      </c>
      <c r="E2952" s="9">
        <v>36</v>
      </c>
      <c r="F2952" t="s">
        <v>12</v>
      </c>
      <c r="G2952" t="s">
        <v>13</v>
      </c>
      <c r="H2952" s="7">
        <v>42309</v>
      </c>
      <c r="I2952">
        <v>47211.31</v>
      </c>
      <c r="K2952" s="7"/>
    </row>
    <row r="2953" spans="1:11">
      <c r="A2953">
        <v>100002952</v>
      </c>
      <c r="B2953" t="s">
        <v>192</v>
      </c>
      <c r="C2953" t="s">
        <v>155</v>
      </c>
      <c r="D2953" t="s">
        <v>16</v>
      </c>
      <c r="E2953" s="9">
        <v>30</v>
      </c>
      <c r="F2953" t="s">
        <v>12</v>
      </c>
      <c r="G2953" t="s">
        <v>13</v>
      </c>
      <c r="H2953" s="8">
        <v>42309</v>
      </c>
      <c r="I2953">
        <v>17332.05</v>
      </c>
      <c r="K2953" s="8"/>
    </row>
    <row r="2954" spans="1:11">
      <c r="A2954">
        <v>100002953</v>
      </c>
      <c r="B2954" t="s">
        <v>128</v>
      </c>
      <c r="C2954" t="s">
        <v>156</v>
      </c>
      <c r="D2954" t="s">
        <v>16</v>
      </c>
      <c r="E2954" s="9">
        <v>52</v>
      </c>
      <c r="F2954" t="s">
        <v>12</v>
      </c>
      <c r="G2954" t="s">
        <v>13</v>
      </c>
      <c r="H2954" s="7">
        <v>42309</v>
      </c>
      <c r="I2954">
        <v>55559.45</v>
      </c>
      <c r="K2954" s="7"/>
    </row>
    <row r="2955" spans="1:11">
      <c r="A2955">
        <v>100002954</v>
      </c>
      <c r="B2955" t="s">
        <v>126</v>
      </c>
      <c r="C2955" t="s">
        <v>107</v>
      </c>
      <c r="D2955" t="s">
        <v>16</v>
      </c>
      <c r="E2955" s="9">
        <v>42</v>
      </c>
      <c r="F2955" t="s">
        <v>12</v>
      </c>
      <c r="G2955" t="s">
        <v>18</v>
      </c>
      <c r="H2955" s="8">
        <v>42309</v>
      </c>
      <c r="I2955">
        <v>77228.100000000006</v>
      </c>
      <c r="K2955" s="8"/>
    </row>
    <row r="2956" spans="1:11">
      <c r="A2956">
        <v>100002955</v>
      </c>
      <c r="B2956" t="s">
        <v>28</v>
      </c>
      <c r="C2956" t="s">
        <v>104</v>
      </c>
      <c r="D2956" t="s">
        <v>16</v>
      </c>
      <c r="E2956" s="9">
        <v>36</v>
      </c>
      <c r="F2956" t="s">
        <v>12</v>
      </c>
      <c r="G2956" t="s">
        <v>13</v>
      </c>
      <c r="H2956" s="7">
        <v>42309</v>
      </c>
      <c r="I2956">
        <v>47360.38</v>
      </c>
      <c r="K2956" s="7"/>
    </row>
    <row r="2957" spans="1:11">
      <c r="A2957">
        <v>100002956</v>
      </c>
      <c r="B2957" t="s">
        <v>141</v>
      </c>
      <c r="C2957" t="s">
        <v>69</v>
      </c>
      <c r="D2957" t="s">
        <v>11</v>
      </c>
      <c r="E2957" s="9">
        <v>36</v>
      </c>
      <c r="F2957" t="s">
        <v>12</v>
      </c>
      <c r="G2957" t="s">
        <v>13</v>
      </c>
      <c r="H2957" s="8">
        <v>42309</v>
      </c>
      <c r="I2957">
        <v>33595.68</v>
      </c>
      <c r="K2957" s="8"/>
    </row>
    <row r="2958" spans="1:11">
      <c r="A2958">
        <v>100002957</v>
      </c>
      <c r="B2958" t="s">
        <v>62</v>
      </c>
      <c r="C2958" t="s">
        <v>31</v>
      </c>
      <c r="D2958" t="s">
        <v>16</v>
      </c>
      <c r="E2958" s="9">
        <v>47</v>
      </c>
      <c r="F2958" t="s">
        <v>12</v>
      </c>
      <c r="G2958" t="s">
        <v>13</v>
      </c>
      <c r="H2958" s="7">
        <v>42309</v>
      </c>
      <c r="I2958">
        <v>78150.39</v>
      </c>
      <c r="K2958" s="7"/>
    </row>
    <row r="2959" spans="1:11">
      <c r="A2959">
        <v>100002958</v>
      </c>
      <c r="B2959" t="s">
        <v>176</v>
      </c>
      <c r="C2959" t="s">
        <v>67</v>
      </c>
      <c r="D2959" t="s">
        <v>16</v>
      </c>
      <c r="E2959" s="9">
        <v>31</v>
      </c>
      <c r="F2959" t="s">
        <v>12</v>
      </c>
      <c r="G2959" t="s">
        <v>13</v>
      </c>
      <c r="H2959" s="8">
        <v>42309</v>
      </c>
      <c r="I2959">
        <v>59263.01</v>
      </c>
      <c r="K2959" s="8"/>
    </row>
    <row r="2960" spans="1:11">
      <c r="A2960">
        <v>100002959</v>
      </c>
      <c r="B2960" t="s">
        <v>188</v>
      </c>
      <c r="C2960" t="s">
        <v>138</v>
      </c>
      <c r="D2960" t="s">
        <v>11</v>
      </c>
      <c r="E2960" s="9">
        <v>28</v>
      </c>
      <c r="F2960" t="s">
        <v>12</v>
      </c>
      <c r="G2960" t="s">
        <v>13</v>
      </c>
      <c r="H2960" s="7">
        <v>42309</v>
      </c>
      <c r="I2960">
        <v>60496.800000000003</v>
      </c>
      <c r="K2960" s="7"/>
    </row>
    <row r="2961" spans="1:11">
      <c r="A2961">
        <v>100002960</v>
      </c>
      <c r="B2961" t="s">
        <v>42</v>
      </c>
      <c r="C2961" t="s">
        <v>93</v>
      </c>
      <c r="D2961" t="s">
        <v>11</v>
      </c>
      <c r="E2961" s="9">
        <v>29</v>
      </c>
      <c r="F2961" t="s">
        <v>12</v>
      </c>
      <c r="G2961" t="s">
        <v>13</v>
      </c>
      <c r="H2961" s="8">
        <v>42309</v>
      </c>
      <c r="I2961">
        <v>17844.830000000002</v>
      </c>
      <c r="K2961" s="8"/>
    </row>
    <row r="2962" spans="1:11">
      <c r="A2962">
        <v>100002961</v>
      </c>
      <c r="B2962" t="s">
        <v>190</v>
      </c>
      <c r="C2962" t="s">
        <v>87</v>
      </c>
      <c r="D2962" t="s">
        <v>11</v>
      </c>
      <c r="E2962" s="9">
        <v>28</v>
      </c>
      <c r="F2962" t="s">
        <v>12</v>
      </c>
      <c r="G2962" t="s">
        <v>13</v>
      </c>
      <c r="H2962" s="7">
        <v>42309</v>
      </c>
      <c r="I2962">
        <v>6680.22</v>
      </c>
      <c r="K2962" s="7"/>
    </row>
    <row r="2963" spans="1:11">
      <c r="A2963">
        <v>100002962</v>
      </c>
      <c r="B2963" t="s">
        <v>256</v>
      </c>
      <c r="C2963" t="s">
        <v>227</v>
      </c>
      <c r="D2963" t="s">
        <v>16</v>
      </c>
      <c r="E2963" s="9">
        <v>34</v>
      </c>
      <c r="F2963" t="s">
        <v>12</v>
      </c>
      <c r="G2963" t="s">
        <v>13</v>
      </c>
      <c r="H2963" s="8">
        <v>42309</v>
      </c>
      <c r="I2963">
        <v>74987.039999999994</v>
      </c>
      <c r="K2963" s="8"/>
    </row>
    <row r="2964" spans="1:11">
      <c r="A2964">
        <v>100002963</v>
      </c>
      <c r="B2964" t="s">
        <v>110</v>
      </c>
      <c r="C2964" t="s">
        <v>315</v>
      </c>
      <c r="D2964" t="s">
        <v>16</v>
      </c>
      <c r="E2964" s="9">
        <v>37</v>
      </c>
      <c r="F2964" t="s">
        <v>12</v>
      </c>
      <c r="G2964" t="s">
        <v>18</v>
      </c>
      <c r="H2964" s="7">
        <v>42309</v>
      </c>
      <c r="I2964">
        <v>16408.46</v>
      </c>
      <c r="K2964" s="7"/>
    </row>
    <row r="2965" spans="1:11">
      <c r="A2965">
        <v>100002964</v>
      </c>
      <c r="B2965" t="s">
        <v>24</v>
      </c>
      <c r="C2965" t="s">
        <v>20</v>
      </c>
      <c r="D2965" t="s">
        <v>16</v>
      </c>
      <c r="E2965" s="9">
        <v>37</v>
      </c>
      <c r="F2965" t="s">
        <v>12</v>
      </c>
      <c r="G2965" t="s">
        <v>13</v>
      </c>
      <c r="H2965" s="8">
        <v>42309</v>
      </c>
      <c r="I2965">
        <v>6845.33</v>
      </c>
      <c r="K2965" s="8"/>
    </row>
    <row r="2966" spans="1:11">
      <c r="A2966">
        <v>100002965</v>
      </c>
      <c r="B2966" t="s">
        <v>152</v>
      </c>
      <c r="C2966" t="s">
        <v>185</v>
      </c>
      <c r="D2966" t="s">
        <v>11</v>
      </c>
      <c r="E2966" s="9">
        <v>37</v>
      </c>
      <c r="F2966" t="s">
        <v>12</v>
      </c>
      <c r="G2966" t="s">
        <v>13</v>
      </c>
      <c r="H2966" s="7">
        <v>42309</v>
      </c>
      <c r="I2966">
        <v>28328.21</v>
      </c>
      <c r="K2966" s="7"/>
    </row>
    <row r="2967" spans="1:11">
      <c r="A2967">
        <v>100002966</v>
      </c>
      <c r="B2967" t="s">
        <v>119</v>
      </c>
      <c r="C2967" t="s">
        <v>179</v>
      </c>
      <c r="D2967" t="s">
        <v>16</v>
      </c>
      <c r="E2967" s="9">
        <v>41</v>
      </c>
      <c r="F2967" t="s">
        <v>12</v>
      </c>
      <c r="G2967" t="s">
        <v>33</v>
      </c>
      <c r="H2967" s="8">
        <v>42309</v>
      </c>
      <c r="I2967">
        <v>70452.02</v>
      </c>
      <c r="K2967" s="8"/>
    </row>
    <row r="2968" spans="1:11">
      <c r="A2968">
        <v>100002967</v>
      </c>
      <c r="B2968" t="s">
        <v>250</v>
      </c>
      <c r="C2968" t="s">
        <v>196</v>
      </c>
      <c r="D2968" t="s">
        <v>16</v>
      </c>
      <c r="E2968" s="9">
        <v>38</v>
      </c>
      <c r="F2968" t="s">
        <v>12</v>
      </c>
      <c r="G2968" t="s">
        <v>13</v>
      </c>
      <c r="H2968" s="7">
        <v>42309</v>
      </c>
      <c r="I2968">
        <v>5852.82</v>
      </c>
      <c r="K2968" s="7"/>
    </row>
    <row r="2969" spans="1:11">
      <c r="A2969">
        <v>100002968</v>
      </c>
      <c r="B2969" t="s">
        <v>265</v>
      </c>
      <c r="C2969" t="s">
        <v>291</v>
      </c>
      <c r="D2969" t="s">
        <v>16</v>
      </c>
      <c r="E2969" s="9">
        <v>33</v>
      </c>
      <c r="F2969" t="s">
        <v>12</v>
      </c>
      <c r="G2969" t="s">
        <v>13</v>
      </c>
      <c r="H2969" s="8">
        <v>42309</v>
      </c>
      <c r="I2969">
        <v>36017.49</v>
      </c>
      <c r="K2969" s="8"/>
    </row>
    <row r="2970" spans="1:11">
      <c r="A2970">
        <v>100002969</v>
      </c>
      <c r="B2970" t="s">
        <v>34</v>
      </c>
      <c r="C2970" t="s">
        <v>299</v>
      </c>
      <c r="D2970" t="s">
        <v>16</v>
      </c>
      <c r="E2970" s="9">
        <v>43</v>
      </c>
      <c r="F2970" t="s">
        <v>12</v>
      </c>
      <c r="G2970" t="s">
        <v>13</v>
      </c>
      <c r="H2970" s="7">
        <v>42309</v>
      </c>
      <c r="I2970">
        <v>26737.79</v>
      </c>
      <c r="K2970" s="7"/>
    </row>
    <row r="2971" spans="1:11">
      <c r="A2971">
        <v>100002970</v>
      </c>
      <c r="B2971" t="s">
        <v>36</v>
      </c>
      <c r="C2971" t="s">
        <v>108</v>
      </c>
      <c r="D2971" t="s">
        <v>11</v>
      </c>
      <c r="E2971" s="9">
        <v>24</v>
      </c>
      <c r="F2971" t="s">
        <v>12</v>
      </c>
      <c r="G2971" t="s">
        <v>18</v>
      </c>
      <c r="H2971" s="8">
        <v>42309</v>
      </c>
      <c r="I2971">
        <v>21601.11</v>
      </c>
      <c r="K2971" s="8"/>
    </row>
    <row r="2972" spans="1:11">
      <c r="A2972">
        <v>100002971</v>
      </c>
      <c r="B2972" t="s">
        <v>221</v>
      </c>
      <c r="C2972" t="s">
        <v>299</v>
      </c>
      <c r="D2972" t="s">
        <v>16</v>
      </c>
      <c r="E2972" s="9">
        <v>25</v>
      </c>
      <c r="F2972" t="s">
        <v>12</v>
      </c>
      <c r="G2972" t="s">
        <v>33</v>
      </c>
      <c r="H2972" s="7">
        <v>42309</v>
      </c>
      <c r="I2972">
        <v>71683.320000000007</v>
      </c>
      <c r="K2972" s="7"/>
    </row>
    <row r="2973" spans="1:11">
      <c r="A2973">
        <v>200002972</v>
      </c>
      <c r="B2973" t="s">
        <v>111</v>
      </c>
      <c r="C2973" t="s">
        <v>295</v>
      </c>
      <c r="D2973" t="s">
        <v>11</v>
      </c>
      <c r="E2973" s="9">
        <v>59</v>
      </c>
      <c r="F2973" t="s">
        <v>32</v>
      </c>
      <c r="G2973" t="s">
        <v>33</v>
      </c>
      <c r="H2973" s="8">
        <v>42309</v>
      </c>
      <c r="I2973">
        <v>15402.84</v>
      </c>
      <c r="K2973" s="8"/>
    </row>
    <row r="2974" spans="1:11">
      <c r="A2974">
        <v>200002973</v>
      </c>
      <c r="B2974" t="s">
        <v>190</v>
      </c>
      <c r="C2974" t="s">
        <v>305</v>
      </c>
      <c r="D2974" t="s">
        <v>11</v>
      </c>
      <c r="E2974" s="9">
        <v>48</v>
      </c>
      <c r="F2974" t="s">
        <v>32</v>
      </c>
      <c r="G2974" t="s">
        <v>18</v>
      </c>
      <c r="H2974" s="7">
        <v>42309</v>
      </c>
      <c r="I2974">
        <v>11240.91</v>
      </c>
      <c r="K2974" s="7"/>
    </row>
    <row r="2975" spans="1:11">
      <c r="A2975">
        <v>200002974</v>
      </c>
      <c r="B2975" t="s">
        <v>148</v>
      </c>
      <c r="C2975" t="s">
        <v>69</v>
      </c>
      <c r="D2975" t="s">
        <v>11</v>
      </c>
      <c r="E2975" s="9">
        <v>37</v>
      </c>
      <c r="F2975" t="s">
        <v>32</v>
      </c>
      <c r="G2975" t="s">
        <v>13</v>
      </c>
      <c r="H2975" s="8">
        <v>42309</v>
      </c>
      <c r="I2975">
        <v>15811.05</v>
      </c>
      <c r="K2975" s="8"/>
    </row>
    <row r="2976" spans="1:11">
      <c r="A2976">
        <v>200002975</v>
      </c>
      <c r="B2976" t="s">
        <v>263</v>
      </c>
      <c r="C2976" t="s">
        <v>205</v>
      </c>
      <c r="D2976" t="s">
        <v>16</v>
      </c>
      <c r="E2976" s="9">
        <v>52</v>
      </c>
      <c r="F2976" t="s">
        <v>32</v>
      </c>
      <c r="G2976" t="s">
        <v>33</v>
      </c>
      <c r="H2976" s="7">
        <v>42309</v>
      </c>
      <c r="I2976">
        <v>12210.94</v>
      </c>
      <c r="K2976" s="7"/>
    </row>
    <row r="2977" spans="1:11">
      <c r="A2977">
        <v>200002976</v>
      </c>
      <c r="B2977" t="s">
        <v>245</v>
      </c>
      <c r="C2977" t="s">
        <v>269</v>
      </c>
      <c r="D2977" t="s">
        <v>11</v>
      </c>
      <c r="E2977" s="9">
        <v>56</v>
      </c>
      <c r="F2977" t="s">
        <v>32</v>
      </c>
      <c r="G2977" t="s">
        <v>18</v>
      </c>
      <c r="H2977" s="8">
        <v>42309</v>
      </c>
      <c r="I2977">
        <v>64503.88</v>
      </c>
      <c r="K2977" s="8"/>
    </row>
    <row r="2978" spans="1:11">
      <c r="A2978">
        <v>200002977</v>
      </c>
      <c r="B2978" t="s">
        <v>256</v>
      </c>
      <c r="C2978" t="s">
        <v>20</v>
      </c>
      <c r="D2978" t="s">
        <v>16</v>
      </c>
      <c r="E2978" s="9">
        <v>45</v>
      </c>
      <c r="F2978" t="s">
        <v>32</v>
      </c>
      <c r="G2978" t="s">
        <v>33</v>
      </c>
      <c r="H2978" s="7">
        <v>42309</v>
      </c>
      <c r="I2978">
        <v>33898.15</v>
      </c>
      <c r="K2978" s="7"/>
    </row>
    <row r="2979" spans="1:11">
      <c r="A2979">
        <v>200002978</v>
      </c>
      <c r="B2979" t="s">
        <v>60</v>
      </c>
      <c r="C2979" t="s">
        <v>183</v>
      </c>
      <c r="D2979" t="s">
        <v>11</v>
      </c>
      <c r="E2979" s="9">
        <v>52</v>
      </c>
      <c r="F2979" t="s">
        <v>32</v>
      </c>
      <c r="G2979" t="s">
        <v>18</v>
      </c>
      <c r="H2979" s="8">
        <v>42309</v>
      </c>
      <c r="I2979">
        <v>12638.78</v>
      </c>
      <c r="K2979" s="8"/>
    </row>
    <row r="2980" spans="1:11">
      <c r="A2980">
        <v>200002979</v>
      </c>
      <c r="B2980" t="s">
        <v>255</v>
      </c>
      <c r="C2980" t="s">
        <v>93</v>
      </c>
      <c r="D2980" t="s">
        <v>11</v>
      </c>
      <c r="E2980" s="9">
        <v>57</v>
      </c>
      <c r="F2980" t="s">
        <v>32</v>
      </c>
      <c r="G2980" t="s">
        <v>18</v>
      </c>
      <c r="H2980" s="7">
        <v>42309</v>
      </c>
      <c r="I2980">
        <v>6436.22</v>
      </c>
      <c r="K2980" s="7"/>
    </row>
    <row r="2981" spans="1:11">
      <c r="A2981">
        <v>400002980</v>
      </c>
      <c r="B2981" t="s">
        <v>300</v>
      </c>
      <c r="C2981" t="s">
        <v>108</v>
      </c>
      <c r="D2981" t="s">
        <v>16</v>
      </c>
      <c r="E2981" s="9">
        <v>31</v>
      </c>
      <c r="F2981" t="s">
        <v>17</v>
      </c>
      <c r="G2981" t="s">
        <v>18</v>
      </c>
      <c r="H2981" s="8">
        <v>42309</v>
      </c>
      <c r="I2981">
        <v>6057.88</v>
      </c>
      <c r="K2981" s="8"/>
    </row>
    <row r="2982" spans="1:11">
      <c r="A2982">
        <v>100002981</v>
      </c>
      <c r="B2982" t="s">
        <v>176</v>
      </c>
      <c r="C2982" t="s">
        <v>242</v>
      </c>
      <c r="D2982" t="s">
        <v>16</v>
      </c>
      <c r="E2982" s="9">
        <v>23</v>
      </c>
      <c r="F2982" t="s">
        <v>12</v>
      </c>
      <c r="G2982" t="s">
        <v>33</v>
      </c>
      <c r="H2982" s="7">
        <v>42310</v>
      </c>
      <c r="I2982">
        <v>16418.919999999998</v>
      </c>
      <c r="K2982" s="7"/>
    </row>
    <row r="2983" spans="1:11">
      <c r="A2983">
        <v>100002982</v>
      </c>
      <c r="B2983" t="s">
        <v>175</v>
      </c>
      <c r="C2983" t="s">
        <v>253</v>
      </c>
      <c r="D2983" t="s">
        <v>11</v>
      </c>
      <c r="E2983" s="9">
        <v>46</v>
      </c>
      <c r="F2983" t="s">
        <v>12</v>
      </c>
      <c r="G2983" t="s">
        <v>13</v>
      </c>
      <c r="H2983" s="8">
        <v>42310</v>
      </c>
      <c r="I2983">
        <v>17757.91</v>
      </c>
      <c r="K2983" s="8"/>
    </row>
    <row r="2984" spans="1:11">
      <c r="A2984">
        <v>100002983</v>
      </c>
      <c r="B2984" t="s">
        <v>262</v>
      </c>
      <c r="C2984" t="s">
        <v>49</v>
      </c>
      <c r="D2984" t="s">
        <v>16</v>
      </c>
      <c r="E2984" s="9">
        <v>24</v>
      </c>
      <c r="F2984" t="s">
        <v>12</v>
      </c>
      <c r="G2984" t="s">
        <v>18</v>
      </c>
      <c r="H2984" s="7">
        <v>42310</v>
      </c>
      <c r="I2984">
        <v>55477.57</v>
      </c>
      <c r="K2984" s="7"/>
    </row>
    <row r="2985" spans="1:11">
      <c r="A2985">
        <v>100002984</v>
      </c>
      <c r="B2985" t="s">
        <v>234</v>
      </c>
      <c r="C2985" t="s">
        <v>205</v>
      </c>
      <c r="D2985" t="s">
        <v>11</v>
      </c>
      <c r="E2985" s="9">
        <v>34</v>
      </c>
      <c r="F2985" t="s">
        <v>12</v>
      </c>
      <c r="G2985" t="s">
        <v>33</v>
      </c>
      <c r="H2985" s="8">
        <v>42310</v>
      </c>
      <c r="I2985">
        <v>29745.48</v>
      </c>
      <c r="K2985" s="8"/>
    </row>
    <row r="2986" spans="1:11">
      <c r="A2986">
        <v>100002985</v>
      </c>
      <c r="B2986" t="s">
        <v>169</v>
      </c>
      <c r="C2986" t="s">
        <v>37</v>
      </c>
      <c r="D2986" t="s">
        <v>11</v>
      </c>
      <c r="E2986" s="9">
        <v>37</v>
      </c>
      <c r="F2986" t="s">
        <v>12</v>
      </c>
      <c r="G2986" t="s">
        <v>13</v>
      </c>
      <c r="H2986" s="7">
        <v>42310</v>
      </c>
      <c r="I2986">
        <v>13518.54</v>
      </c>
      <c r="K2986" s="7"/>
    </row>
    <row r="2987" spans="1:11">
      <c r="A2987">
        <v>100002986</v>
      </c>
      <c r="B2987" t="s">
        <v>28</v>
      </c>
      <c r="C2987" t="s">
        <v>242</v>
      </c>
      <c r="D2987" t="s">
        <v>16</v>
      </c>
      <c r="E2987" s="9">
        <v>18</v>
      </c>
      <c r="F2987" t="s">
        <v>12</v>
      </c>
      <c r="G2987" t="s">
        <v>33</v>
      </c>
      <c r="H2987" s="8">
        <v>42310</v>
      </c>
      <c r="I2987">
        <v>9281.39</v>
      </c>
      <c r="K2987" s="8"/>
    </row>
    <row r="2988" spans="1:11">
      <c r="A2988">
        <v>200002987</v>
      </c>
      <c r="B2988" t="s">
        <v>147</v>
      </c>
      <c r="C2988" t="s">
        <v>170</v>
      </c>
      <c r="D2988" t="s">
        <v>11</v>
      </c>
      <c r="E2988" s="9">
        <v>48</v>
      </c>
      <c r="F2988" t="s">
        <v>32</v>
      </c>
      <c r="G2988" t="s">
        <v>33</v>
      </c>
      <c r="H2988" s="7">
        <v>42310</v>
      </c>
      <c r="I2988">
        <v>28873.73</v>
      </c>
      <c r="K2988" s="7"/>
    </row>
    <row r="2989" spans="1:11">
      <c r="A2989">
        <v>200002988</v>
      </c>
      <c r="B2989" t="s">
        <v>152</v>
      </c>
      <c r="C2989" t="s">
        <v>162</v>
      </c>
      <c r="D2989" t="s">
        <v>11</v>
      </c>
      <c r="E2989" s="9">
        <v>58</v>
      </c>
      <c r="F2989" t="s">
        <v>32</v>
      </c>
      <c r="G2989" t="s">
        <v>18</v>
      </c>
      <c r="H2989" s="8">
        <v>42310</v>
      </c>
      <c r="I2989">
        <v>39415.54</v>
      </c>
      <c r="K2989" s="8"/>
    </row>
    <row r="2990" spans="1:11">
      <c r="A2990">
        <v>200002989</v>
      </c>
      <c r="B2990" t="s">
        <v>66</v>
      </c>
      <c r="C2990" t="s">
        <v>272</v>
      </c>
      <c r="D2990" t="s">
        <v>16</v>
      </c>
      <c r="E2990" s="9">
        <v>52</v>
      </c>
      <c r="F2990" t="s">
        <v>32</v>
      </c>
      <c r="G2990" t="s">
        <v>33</v>
      </c>
      <c r="H2990" s="7">
        <v>42310</v>
      </c>
      <c r="I2990">
        <v>16743.55</v>
      </c>
      <c r="K2990" s="7"/>
    </row>
    <row r="2991" spans="1:11">
      <c r="A2991">
        <v>200002990</v>
      </c>
      <c r="B2991" t="s">
        <v>296</v>
      </c>
      <c r="C2991" t="s">
        <v>20</v>
      </c>
      <c r="D2991" t="s">
        <v>11</v>
      </c>
      <c r="E2991" s="9">
        <v>31</v>
      </c>
      <c r="F2991" t="s">
        <v>32</v>
      </c>
      <c r="G2991" t="s">
        <v>18</v>
      </c>
      <c r="H2991" s="8">
        <v>42310</v>
      </c>
      <c r="I2991">
        <v>16470.810000000001</v>
      </c>
      <c r="K2991" s="8"/>
    </row>
    <row r="2992" spans="1:11">
      <c r="A2992">
        <v>200002991</v>
      </c>
      <c r="B2992" t="s">
        <v>101</v>
      </c>
      <c r="C2992" t="s">
        <v>295</v>
      </c>
      <c r="D2992" t="s">
        <v>11</v>
      </c>
      <c r="E2992" s="9">
        <v>54</v>
      </c>
      <c r="F2992" t="s">
        <v>32</v>
      </c>
      <c r="G2992" t="s">
        <v>18</v>
      </c>
      <c r="H2992" s="7">
        <v>42310</v>
      </c>
      <c r="I2992">
        <v>20405.95</v>
      </c>
      <c r="K2992" s="7"/>
    </row>
    <row r="2993" spans="1:11">
      <c r="A2993">
        <v>100002992</v>
      </c>
      <c r="B2993" t="s">
        <v>131</v>
      </c>
      <c r="C2993" t="s">
        <v>211</v>
      </c>
      <c r="D2993" t="s">
        <v>16</v>
      </c>
      <c r="E2993" s="9">
        <v>18</v>
      </c>
      <c r="F2993" t="s">
        <v>12</v>
      </c>
      <c r="G2993" t="s">
        <v>13</v>
      </c>
      <c r="H2993" s="8">
        <v>42311</v>
      </c>
      <c r="I2993">
        <v>31719.69</v>
      </c>
      <c r="K2993" s="8"/>
    </row>
    <row r="2994" spans="1:11">
      <c r="A2994">
        <v>100002993</v>
      </c>
      <c r="B2994" t="s">
        <v>145</v>
      </c>
      <c r="C2994" t="s">
        <v>210</v>
      </c>
      <c r="D2994" t="s">
        <v>11</v>
      </c>
      <c r="E2994" s="9">
        <v>37</v>
      </c>
      <c r="F2994" t="s">
        <v>12</v>
      </c>
      <c r="G2994" t="s">
        <v>18</v>
      </c>
      <c r="H2994" s="7">
        <v>42311</v>
      </c>
      <c r="I2994">
        <v>4725.2299999999996</v>
      </c>
      <c r="K2994" s="7"/>
    </row>
    <row r="2995" spans="1:11">
      <c r="A2995">
        <v>100002994</v>
      </c>
      <c r="B2995" t="s">
        <v>14</v>
      </c>
      <c r="C2995" t="s">
        <v>209</v>
      </c>
      <c r="D2995" t="s">
        <v>16</v>
      </c>
      <c r="E2995" s="9">
        <v>35</v>
      </c>
      <c r="F2995" t="s">
        <v>12</v>
      </c>
      <c r="G2995" t="s">
        <v>13</v>
      </c>
      <c r="H2995" s="8">
        <v>42311</v>
      </c>
      <c r="I2995">
        <v>17322.36</v>
      </c>
      <c r="K2995" s="8"/>
    </row>
    <row r="2996" spans="1:11">
      <c r="A2996">
        <v>100002995</v>
      </c>
      <c r="B2996" t="s">
        <v>284</v>
      </c>
      <c r="C2996" t="s">
        <v>257</v>
      </c>
      <c r="D2996" t="s">
        <v>16</v>
      </c>
      <c r="E2996" s="9">
        <v>29</v>
      </c>
      <c r="F2996" t="s">
        <v>12</v>
      </c>
      <c r="G2996" t="s">
        <v>18</v>
      </c>
      <c r="H2996" s="7">
        <v>42311</v>
      </c>
      <c r="I2996">
        <v>56296.6</v>
      </c>
      <c r="K2996" s="7"/>
    </row>
    <row r="2997" spans="1:11">
      <c r="A2997">
        <v>100002996</v>
      </c>
      <c r="B2997" t="s">
        <v>117</v>
      </c>
      <c r="C2997" t="s">
        <v>94</v>
      </c>
      <c r="D2997" t="s">
        <v>16</v>
      </c>
      <c r="E2997" s="9">
        <v>44</v>
      </c>
      <c r="F2997" t="s">
        <v>12</v>
      </c>
      <c r="G2997" t="s">
        <v>18</v>
      </c>
      <c r="H2997" s="8">
        <v>42311</v>
      </c>
      <c r="I2997">
        <v>4837.2299999999996</v>
      </c>
      <c r="K2997" s="8"/>
    </row>
    <row r="2998" spans="1:11">
      <c r="A2998">
        <v>100002997</v>
      </c>
      <c r="B2998" t="s">
        <v>26</v>
      </c>
      <c r="C2998" t="s">
        <v>125</v>
      </c>
      <c r="D2998" t="s">
        <v>16</v>
      </c>
      <c r="E2998" s="9">
        <v>31</v>
      </c>
      <c r="F2998" t="s">
        <v>12</v>
      </c>
      <c r="G2998" t="s">
        <v>33</v>
      </c>
      <c r="H2998" s="7">
        <v>42311</v>
      </c>
      <c r="I2998">
        <v>4064.42</v>
      </c>
      <c r="K2998" s="7"/>
    </row>
    <row r="2999" spans="1:11">
      <c r="A2999">
        <v>100002998</v>
      </c>
      <c r="B2999" t="s">
        <v>245</v>
      </c>
      <c r="C2999" t="s">
        <v>91</v>
      </c>
      <c r="D2999" t="s">
        <v>11</v>
      </c>
      <c r="E2999" s="9">
        <v>30</v>
      </c>
      <c r="F2999" t="s">
        <v>12</v>
      </c>
      <c r="G2999" t="s">
        <v>18</v>
      </c>
      <c r="H2999" s="8">
        <v>42311</v>
      </c>
      <c r="I2999">
        <v>15452.89</v>
      </c>
      <c r="K2999" s="8"/>
    </row>
    <row r="3000" spans="1:11">
      <c r="A3000">
        <v>100002999</v>
      </c>
      <c r="B3000" t="s">
        <v>284</v>
      </c>
      <c r="C3000" t="s">
        <v>109</v>
      </c>
      <c r="D3000" t="s">
        <v>16</v>
      </c>
      <c r="E3000" s="9">
        <v>32</v>
      </c>
      <c r="F3000" t="s">
        <v>12</v>
      </c>
      <c r="G3000" t="s">
        <v>13</v>
      </c>
      <c r="H3000" s="7">
        <v>42311</v>
      </c>
      <c r="I3000">
        <v>44646.75</v>
      </c>
      <c r="K3000" s="7"/>
    </row>
    <row r="3001" spans="1:11">
      <c r="A3001">
        <v>100003000</v>
      </c>
      <c r="B3001" t="s">
        <v>68</v>
      </c>
      <c r="C3001" t="s">
        <v>222</v>
      </c>
      <c r="D3001" t="s">
        <v>16</v>
      </c>
      <c r="E3001" s="9">
        <v>30</v>
      </c>
      <c r="F3001" t="s">
        <v>12</v>
      </c>
      <c r="G3001" t="s">
        <v>13</v>
      </c>
      <c r="H3001" s="8">
        <v>42311</v>
      </c>
      <c r="I3001">
        <v>52200.62</v>
      </c>
      <c r="K3001" s="8"/>
    </row>
    <row r="3002" spans="1:11">
      <c r="A3002">
        <v>100003001</v>
      </c>
      <c r="B3002" t="s">
        <v>147</v>
      </c>
      <c r="C3002" t="s">
        <v>270</v>
      </c>
      <c r="D3002" t="s">
        <v>11</v>
      </c>
      <c r="E3002" s="9">
        <v>47</v>
      </c>
      <c r="F3002" t="s">
        <v>12</v>
      </c>
      <c r="G3002" t="s">
        <v>18</v>
      </c>
      <c r="H3002" s="7">
        <v>42311</v>
      </c>
      <c r="I3002">
        <v>8576.4599999999991</v>
      </c>
      <c r="K3002" s="7"/>
    </row>
    <row r="3003" spans="1:11">
      <c r="A3003">
        <v>100003002</v>
      </c>
      <c r="B3003" t="s">
        <v>175</v>
      </c>
      <c r="C3003" t="s">
        <v>155</v>
      </c>
      <c r="D3003" t="s">
        <v>11</v>
      </c>
      <c r="E3003" s="9">
        <v>23</v>
      </c>
      <c r="F3003" t="s">
        <v>12</v>
      </c>
      <c r="G3003" t="s">
        <v>13</v>
      </c>
      <c r="H3003" s="8">
        <v>42311</v>
      </c>
      <c r="I3003">
        <v>640.91</v>
      </c>
      <c r="K3003" s="8"/>
    </row>
    <row r="3004" spans="1:11">
      <c r="A3004">
        <v>200003003</v>
      </c>
      <c r="B3004" t="s">
        <v>70</v>
      </c>
      <c r="C3004" t="s">
        <v>91</v>
      </c>
      <c r="D3004" t="s">
        <v>11</v>
      </c>
      <c r="E3004" s="9">
        <v>54</v>
      </c>
      <c r="F3004" t="s">
        <v>32</v>
      </c>
      <c r="G3004" t="s">
        <v>18</v>
      </c>
      <c r="H3004" s="7">
        <v>42311</v>
      </c>
      <c r="I3004">
        <v>68965.070000000007</v>
      </c>
      <c r="K3004" s="7"/>
    </row>
    <row r="3005" spans="1:11">
      <c r="A3005">
        <v>200003004</v>
      </c>
      <c r="B3005" t="s">
        <v>159</v>
      </c>
      <c r="C3005" t="s">
        <v>246</v>
      </c>
      <c r="D3005" t="s">
        <v>11</v>
      </c>
      <c r="E3005" s="9">
        <v>51</v>
      </c>
      <c r="F3005" t="s">
        <v>32</v>
      </c>
      <c r="G3005" t="s">
        <v>18</v>
      </c>
      <c r="H3005" s="8">
        <v>42311</v>
      </c>
      <c r="I3005">
        <v>52186.48</v>
      </c>
      <c r="K3005" s="8"/>
    </row>
    <row r="3006" spans="1:11">
      <c r="A3006">
        <v>200003005</v>
      </c>
      <c r="B3006" t="s">
        <v>245</v>
      </c>
      <c r="C3006" t="s">
        <v>183</v>
      </c>
      <c r="D3006" t="s">
        <v>11</v>
      </c>
      <c r="E3006" s="9">
        <v>39</v>
      </c>
      <c r="F3006" t="s">
        <v>32</v>
      </c>
      <c r="G3006" t="s">
        <v>13</v>
      </c>
      <c r="H3006" s="7">
        <v>42311</v>
      </c>
      <c r="I3006">
        <v>69713.05</v>
      </c>
      <c r="K3006" s="7"/>
    </row>
    <row r="3007" spans="1:11">
      <c r="A3007">
        <v>300003006</v>
      </c>
      <c r="B3007" t="s">
        <v>221</v>
      </c>
      <c r="C3007" t="s">
        <v>305</v>
      </c>
      <c r="D3007" t="s">
        <v>16</v>
      </c>
      <c r="E3007" s="9">
        <v>34</v>
      </c>
      <c r="F3007" t="s">
        <v>23</v>
      </c>
      <c r="G3007" t="s">
        <v>13</v>
      </c>
      <c r="H3007" s="8">
        <v>42311</v>
      </c>
      <c r="I3007">
        <v>116366.09</v>
      </c>
      <c r="K3007" s="8"/>
    </row>
    <row r="3008" spans="1:11">
      <c r="A3008">
        <v>300003007</v>
      </c>
      <c r="B3008" t="s">
        <v>298</v>
      </c>
      <c r="C3008" t="s">
        <v>292</v>
      </c>
      <c r="D3008" t="s">
        <v>16</v>
      </c>
      <c r="E3008" s="9">
        <v>43</v>
      </c>
      <c r="F3008" t="s">
        <v>23</v>
      </c>
      <c r="G3008" t="s">
        <v>13</v>
      </c>
      <c r="H3008" s="7">
        <v>42311</v>
      </c>
      <c r="I3008">
        <v>33336.870000000003</v>
      </c>
      <c r="K3008" s="7"/>
    </row>
    <row r="3009" spans="1:11">
      <c r="A3009">
        <v>300003008</v>
      </c>
      <c r="B3009" t="s">
        <v>208</v>
      </c>
      <c r="C3009" t="s">
        <v>211</v>
      </c>
      <c r="D3009" t="s">
        <v>11</v>
      </c>
      <c r="E3009" s="9">
        <v>43</v>
      </c>
      <c r="F3009" t="s">
        <v>23</v>
      </c>
      <c r="G3009" t="s">
        <v>33</v>
      </c>
      <c r="H3009" s="8">
        <v>42311</v>
      </c>
      <c r="I3009">
        <v>78323.16</v>
      </c>
      <c r="K3009" s="8"/>
    </row>
    <row r="3010" spans="1:11">
      <c r="A3010">
        <v>400003009</v>
      </c>
      <c r="B3010" t="s">
        <v>83</v>
      </c>
      <c r="C3010" t="s">
        <v>69</v>
      </c>
      <c r="D3010" t="s">
        <v>16</v>
      </c>
      <c r="E3010" s="9">
        <v>31</v>
      </c>
      <c r="F3010" t="s">
        <v>17</v>
      </c>
      <c r="G3010" t="s">
        <v>33</v>
      </c>
      <c r="H3010" s="7">
        <v>42311</v>
      </c>
      <c r="I3010">
        <v>50699.67</v>
      </c>
      <c r="K3010" s="7"/>
    </row>
    <row r="3011" spans="1:11">
      <c r="A3011">
        <v>100003010</v>
      </c>
      <c r="B3011" t="s">
        <v>194</v>
      </c>
      <c r="C3011" t="s">
        <v>189</v>
      </c>
      <c r="D3011" t="s">
        <v>16</v>
      </c>
      <c r="E3011" s="9">
        <v>56</v>
      </c>
      <c r="F3011" t="s">
        <v>12</v>
      </c>
      <c r="G3011" t="s">
        <v>13</v>
      </c>
      <c r="H3011" s="8">
        <v>42312</v>
      </c>
      <c r="I3011">
        <v>47447.17</v>
      </c>
      <c r="K3011" s="8"/>
    </row>
    <row r="3012" spans="1:11">
      <c r="A3012">
        <v>100003011</v>
      </c>
      <c r="B3012" t="s">
        <v>206</v>
      </c>
      <c r="C3012" t="s">
        <v>58</v>
      </c>
      <c r="D3012" t="s">
        <v>11</v>
      </c>
      <c r="E3012" s="9">
        <v>41</v>
      </c>
      <c r="F3012" t="s">
        <v>12</v>
      </c>
      <c r="G3012" t="s">
        <v>13</v>
      </c>
      <c r="H3012" s="7">
        <v>42312</v>
      </c>
      <c r="I3012">
        <v>2665.32</v>
      </c>
      <c r="K3012" s="7"/>
    </row>
    <row r="3013" spans="1:11">
      <c r="A3013">
        <v>100003012</v>
      </c>
      <c r="B3013" t="s">
        <v>24</v>
      </c>
      <c r="C3013" t="s">
        <v>77</v>
      </c>
      <c r="D3013" t="s">
        <v>16</v>
      </c>
      <c r="E3013" s="9">
        <v>32</v>
      </c>
      <c r="F3013" t="s">
        <v>12</v>
      </c>
      <c r="G3013" t="s">
        <v>13</v>
      </c>
      <c r="H3013" s="8">
        <v>42312</v>
      </c>
      <c r="I3013">
        <v>82104.77</v>
      </c>
      <c r="K3013" s="8"/>
    </row>
    <row r="3014" spans="1:11">
      <c r="A3014">
        <v>200003013</v>
      </c>
      <c r="B3014" t="s">
        <v>312</v>
      </c>
      <c r="C3014" t="s">
        <v>100</v>
      </c>
      <c r="D3014" t="s">
        <v>11</v>
      </c>
      <c r="E3014" s="9">
        <v>49</v>
      </c>
      <c r="F3014" t="s">
        <v>32</v>
      </c>
      <c r="G3014" t="s">
        <v>18</v>
      </c>
      <c r="H3014" s="7">
        <v>42312</v>
      </c>
      <c r="I3014">
        <v>17312.41</v>
      </c>
      <c r="K3014" s="7"/>
    </row>
    <row r="3015" spans="1:11">
      <c r="A3015">
        <v>200003014</v>
      </c>
      <c r="B3015" t="s">
        <v>147</v>
      </c>
      <c r="C3015" t="s">
        <v>322</v>
      </c>
      <c r="D3015" t="s">
        <v>11</v>
      </c>
      <c r="E3015" s="9">
        <v>60</v>
      </c>
      <c r="F3015" t="s">
        <v>32</v>
      </c>
      <c r="G3015" t="s">
        <v>33</v>
      </c>
      <c r="H3015" s="8">
        <v>42312</v>
      </c>
      <c r="I3015">
        <v>55173.94</v>
      </c>
      <c r="K3015" s="8"/>
    </row>
    <row r="3016" spans="1:11">
      <c r="A3016">
        <v>300003015</v>
      </c>
      <c r="B3016" t="s">
        <v>14</v>
      </c>
      <c r="C3016" t="s">
        <v>163</v>
      </c>
      <c r="D3016" t="s">
        <v>16</v>
      </c>
      <c r="E3016" s="9">
        <v>18</v>
      </c>
      <c r="F3016" t="s">
        <v>23</v>
      </c>
      <c r="G3016" t="s">
        <v>33</v>
      </c>
      <c r="H3016" s="7">
        <v>42312</v>
      </c>
      <c r="I3016">
        <v>18574.759999999998</v>
      </c>
      <c r="K3016" s="7"/>
    </row>
    <row r="3017" spans="1:11">
      <c r="A3017">
        <v>100003016</v>
      </c>
      <c r="B3017" t="s">
        <v>217</v>
      </c>
      <c r="C3017" t="s">
        <v>155</v>
      </c>
      <c r="D3017" t="s">
        <v>11</v>
      </c>
      <c r="E3017" s="9">
        <v>36</v>
      </c>
      <c r="F3017" t="s">
        <v>12</v>
      </c>
      <c r="G3017" t="s">
        <v>13</v>
      </c>
      <c r="H3017" s="8">
        <v>42313</v>
      </c>
      <c r="I3017">
        <v>17823.650000000001</v>
      </c>
      <c r="K3017" s="8"/>
    </row>
    <row r="3018" spans="1:11">
      <c r="A3018">
        <v>100003017</v>
      </c>
      <c r="B3018" t="s">
        <v>133</v>
      </c>
      <c r="C3018" t="s">
        <v>25</v>
      </c>
      <c r="D3018" t="s">
        <v>11</v>
      </c>
      <c r="E3018" s="9">
        <v>30</v>
      </c>
      <c r="F3018" t="s">
        <v>12</v>
      </c>
      <c r="G3018" t="s">
        <v>33</v>
      </c>
      <c r="H3018" s="7">
        <v>42313</v>
      </c>
      <c r="I3018">
        <v>71799.259999999995</v>
      </c>
      <c r="K3018" s="7"/>
    </row>
    <row r="3019" spans="1:11">
      <c r="A3019">
        <v>100003018</v>
      </c>
      <c r="B3019" t="s">
        <v>57</v>
      </c>
      <c r="C3019" t="s">
        <v>67</v>
      </c>
      <c r="D3019" t="s">
        <v>11</v>
      </c>
      <c r="E3019" s="9">
        <v>26</v>
      </c>
      <c r="F3019" t="s">
        <v>12</v>
      </c>
      <c r="G3019" t="s">
        <v>13</v>
      </c>
      <c r="H3019" s="8">
        <v>42313</v>
      </c>
      <c r="I3019">
        <v>34526.639999999999</v>
      </c>
      <c r="K3019" s="8"/>
    </row>
    <row r="3020" spans="1:11">
      <c r="A3020">
        <v>100003019</v>
      </c>
      <c r="B3020" t="s">
        <v>55</v>
      </c>
      <c r="C3020" t="s">
        <v>58</v>
      </c>
      <c r="D3020" t="s">
        <v>11</v>
      </c>
      <c r="E3020" s="9">
        <v>42</v>
      </c>
      <c r="F3020" t="s">
        <v>12</v>
      </c>
      <c r="G3020" t="s">
        <v>13</v>
      </c>
      <c r="H3020" s="7">
        <v>42313</v>
      </c>
      <c r="I3020">
        <v>19996.169999999998</v>
      </c>
      <c r="K3020" s="7"/>
    </row>
    <row r="3021" spans="1:11">
      <c r="A3021">
        <v>100003020</v>
      </c>
      <c r="B3021" t="s">
        <v>42</v>
      </c>
      <c r="C3021" t="s">
        <v>233</v>
      </c>
      <c r="D3021" t="s">
        <v>11</v>
      </c>
      <c r="E3021" s="9">
        <v>30</v>
      </c>
      <c r="F3021" t="s">
        <v>12</v>
      </c>
      <c r="G3021" t="s">
        <v>13</v>
      </c>
      <c r="H3021" s="8">
        <v>42313</v>
      </c>
      <c r="I3021">
        <v>33885.07</v>
      </c>
      <c r="K3021" s="8"/>
    </row>
    <row r="3022" spans="1:11">
      <c r="A3022">
        <v>100003021</v>
      </c>
      <c r="B3022" t="s">
        <v>50</v>
      </c>
      <c r="C3022" t="s">
        <v>160</v>
      </c>
      <c r="D3022" t="s">
        <v>16</v>
      </c>
      <c r="E3022" s="9">
        <v>43</v>
      </c>
      <c r="F3022" t="s">
        <v>12</v>
      </c>
      <c r="G3022" t="s">
        <v>18</v>
      </c>
      <c r="H3022" s="7">
        <v>42313</v>
      </c>
      <c r="I3022">
        <v>38227.22</v>
      </c>
      <c r="K3022" s="7"/>
    </row>
    <row r="3023" spans="1:11">
      <c r="A3023">
        <v>100003022</v>
      </c>
      <c r="B3023" t="s">
        <v>314</v>
      </c>
      <c r="C3023" t="s">
        <v>61</v>
      </c>
      <c r="D3023" t="s">
        <v>16</v>
      </c>
      <c r="E3023" s="9">
        <v>27</v>
      </c>
      <c r="F3023" t="s">
        <v>12</v>
      </c>
      <c r="G3023" t="s">
        <v>13</v>
      </c>
      <c r="H3023" s="8">
        <v>42313</v>
      </c>
      <c r="I3023">
        <v>63257.61</v>
      </c>
      <c r="K3023" s="8"/>
    </row>
    <row r="3024" spans="1:11">
      <c r="A3024">
        <v>100003023</v>
      </c>
      <c r="B3024" t="s">
        <v>191</v>
      </c>
      <c r="C3024" t="s">
        <v>129</v>
      </c>
      <c r="D3024" t="s">
        <v>11</v>
      </c>
      <c r="E3024" s="9">
        <v>37</v>
      </c>
      <c r="F3024" t="s">
        <v>12</v>
      </c>
      <c r="G3024" t="s">
        <v>13</v>
      </c>
      <c r="H3024" s="7">
        <v>42313</v>
      </c>
      <c r="I3024">
        <v>77501.350000000006</v>
      </c>
      <c r="K3024" s="7"/>
    </row>
    <row r="3025" spans="1:11">
      <c r="A3025">
        <v>100003024</v>
      </c>
      <c r="B3025" t="s">
        <v>149</v>
      </c>
      <c r="C3025" t="s">
        <v>94</v>
      </c>
      <c r="D3025" t="s">
        <v>16</v>
      </c>
      <c r="E3025" s="9">
        <v>41</v>
      </c>
      <c r="F3025" t="s">
        <v>12</v>
      </c>
      <c r="G3025" t="s">
        <v>13</v>
      </c>
      <c r="H3025" s="8">
        <v>42313</v>
      </c>
      <c r="I3025">
        <v>38019.49</v>
      </c>
      <c r="K3025" s="8"/>
    </row>
    <row r="3026" spans="1:11">
      <c r="A3026">
        <v>100003025</v>
      </c>
      <c r="B3026" t="s">
        <v>250</v>
      </c>
      <c r="C3026" t="s">
        <v>113</v>
      </c>
      <c r="D3026" t="s">
        <v>16</v>
      </c>
      <c r="E3026" s="9">
        <v>37</v>
      </c>
      <c r="F3026" t="s">
        <v>12</v>
      </c>
      <c r="G3026" t="s">
        <v>33</v>
      </c>
      <c r="H3026" s="7">
        <v>42313</v>
      </c>
      <c r="I3026">
        <v>37294.080000000002</v>
      </c>
      <c r="K3026" s="7"/>
    </row>
    <row r="3027" spans="1:11">
      <c r="A3027">
        <v>100003026</v>
      </c>
      <c r="B3027" t="s">
        <v>220</v>
      </c>
      <c r="C3027" t="s">
        <v>77</v>
      </c>
      <c r="D3027" t="s">
        <v>16</v>
      </c>
      <c r="E3027" s="9">
        <v>25</v>
      </c>
      <c r="F3027" t="s">
        <v>12</v>
      </c>
      <c r="G3027" t="s">
        <v>13</v>
      </c>
      <c r="H3027" s="8">
        <v>42313</v>
      </c>
      <c r="I3027">
        <v>74258.42</v>
      </c>
      <c r="K3027" s="8"/>
    </row>
    <row r="3028" spans="1:11">
      <c r="A3028">
        <v>100003027</v>
      </c>
      <c r="B3028" t="s">
        <v>92</v>
      </c>
      <c r="C3028" t="s">
        <v>107</v>
      </c>
      <c r="D3028" t="s">
        <v>16</v>
      </c>
      <c r="E3028" s="9">
        <v>32</v>
      </c>
      <c r="F3028" t="s">
        <v>12</v>
      </c>
      <c r="G3028" t="s">
        <v>13</v>
      </c>
      <c r="H3028" s="7">
        <v>42313</v>
      </c>
      <c r="I3028">
        <v>55749.19</v>
      </c>
      <c r="K3028" s="7"/>
    </row>
    <row r="3029" spans="1:11">
      <c r="A3029">
        <v>100003028</v>
      </c>
      <c r="B3029" t="s">
        <v>66</v>
      </c>
      <c r="C3029" t="s">
        <v>257</v>
      </c>
      <c r="D3029" t="s">
        <v>16</v>
      </c>
      <c r="E3029" s="9">
        <v>35</v>
      </c>
      <c r="F3029" t="s">
        <v>12</v>
      </c>
      <c r="G3029" t="s">
        <v>13</v>
      </c>
      <c r="H3029" s="8">
        <v>42313</v>
      </c>
      <c r="I3029">
        <v>5247.83</v>
      </c>
      <c r="K3029" s="8"/>
    </row>
    <row r="3030" spans="1:11">
      <c r="A3030">
        <v>200003029</v>
      </c>
      <c r="B3030" t="s">
        <v>19</v>
      </c>
      <c r="C3030" t="s">
        <v>318</v>
      </c>
      <c r="D3030" t="s">
        <v>11</v>
      </c>
      <c r="E3030" s="9">
        <v>33</v>
      </c>
      <c r="F3030" t="s">
        <v>32</v>
      </c>
      <c r="G3030" t="s">
        <v>13</v>
      </c>
      <c r="H3030" s="7">
        <v>42313</v>
      </c>
      <c r="I3030">
        <v>61079.39</v>
      </c>
      <c r="K3030" s="7"/>
    </row>
    <row r="3031" spans="1:11">
      <c r="A3031">
        <v>200003030</v>
      </c>
      <c r="B3031" t="s">
        <v>262</v>
      </c>
      <c r="C3031" t="s">
        <v>69</v>
      </c>
      <c r="D3031" t="s">
        <v>16</v>
      </c>
      <c r="E3031" s="9">
        <v>44</v>
      </c>
      <c r="F3031" t="s">
        <v>32</v>
      </c>
      <c r="G3031" t="s">
        <v>33</v>
      </c>
      <c r="H3031" s="8">
        <v>42313</v>
      </c>
      <c r="I3031">
        <v>12939.73</v>
      </c>
      <c r="K3031" s="8"/>
    </row>
    <row r="3032" spans="1:11">
      <c r="A3032">
        <v>200003031</v>
      </c>
      <c r="B3032" t="s">
        <v>9</v>
      </c>
      <c r="C3032" t="s">
        <v>270</v>
      </c>
      <c r="D3032" t="s">
        <v>11</v>
      </c>
      <c r="E3032" s="9">
        <v>40</v>
      </c>
      <c r="F3032" t="s">
        <v>32</v>
      </c>
      <c r="G3032" t="s">
        <v>18</v>
      </c>
      <c r="H3032" s="7">
        <v>42313</v>
      </c>
      <c r="I3032">
        <v>42462.18</v>
      </c>
      <c r="K3032" s="7"/>
    </row>
    <row r="3033" spans="1:11">
      <c r="A3033">
        <v>200003032</v>
      </c>
      <c r="B3033" t="s">
        <v>57</v>
      </c>
      <c r="C3033" t="s">
        <v>85</v>
      </c>
      <c r="D3033" t="s">
        <v>11</v>
      </c>
      <c r="E3033" s="9">
        <v>44</v>
      </c>
      <c r="F3033" t="s">
        <v>32</v>
      </c>
      <c r="G3033" t="s">
        <v>18</v>
      </c>
      <c r="H3033" s="8">
        <v>42313</v>
      </c>
      <c r="I3033">
        <v>86184.27</v>
      </c>
      <c r="K3033" s="8"/>
    </row>
    <row r="3034" spans="1:11">
      <c r="A3034">
        <v>200003033</v>
      </c>
      <c r="B3034" t="s">
        <v>89</v>
      </c>
      <c r="C3034" t="s">
        <v>152</v>
      </c>
      <c r="D3034" t="s">
        <v>11</v>
      </c>
      <c r="E3034" s="9">
        <v>45</v>
      </c>
      <c r="F3034" t="s">
        <v>32</v>
      </c>
      <c r="G3034" t="s">
        <v>18</v>
      </c>
      <c r="H3034" s="7">
        <v>42313</v>
      </c>
      <c r="I3034">
        <v>88366.080000000002</v>
      </c>
      <c r="K3034" s="7"/>
    </row>
    <row r="3035" spans="1:11">
      <c r="A3035">
        <v>300003034</v>
      </c>
      <c r="B3035" t="s">
        <v>316</v>
      </c>
      <c r="C3035" t="s">
        <v>313</v>
      </c>
      <c r="D3035" t="s">
        <v>16</v>
      </c>
      <c r="E3035" s="9">
        <v>28</v>
      </c>
      <c r="F3035" t="s">
        <v>23</v>
      </c>
      <c r="G3035" t="s">
        <v>33</v>
      </c>
      <c r="H3035" s="8">
        <v>42313</v>
      </c>
      <c r="I3035">
        <v>62137.79</v>
      </c>
      <c r="K3035" s="8"/>
    </row>
    <row r="3036" spans="1:11">
      <c r="A3036">
        <v>300003035</v>
      </c>
      <c r="B3036" t="s">
        <v>150</v>
      </c>
      <c r="C3036" t="s">
        <v>69</v>
      </c>
      <c r="D3036" t="s">
        <v>16</v>
      </c>
      <c r="E3036" s="9">
        <v>40</v>
      </c>
      <c r="F3036" t="s">
        <v>23</v>
      </c>
      <c r="G3036" t="s">
        <v>13</v>
      </c>
      <c r="H3036" s="7">
        <v>42313</v>
      </c>
      <c r="I3036">
        <v>10914.74</v>
      </c>
      <c r="K3036" s="7"/>
    </row>
    <row r="3037" spans="1:11">
      <c r="A3037">
        <v>400003036</v>
      </c>
      <c r="B3037" t="s">
        <v>30</v>
      </c>
      <c r="C3037" t="s">
        <v>63</v>
      </c>
      <c r="D3037" t="s">
        <v>16</v>
      </c>
      <c r="E3037" s="9">
        <v>39</v>
      </c>
      <c r="F3037" t="s">
        <v>17</v>
      </c>
      <c r="G3037" t="s">
        <v>33</v>
      </c>
      <c r="H3037" s="8">
        <v>42313</v>
      </c>
      <c r="I3037">
        <v>50492.06</v>
      </c>
      <c r="K3037" s="8"/>
    </row>
    <row r="3038" spans="1:11">
      <c r="A3038">
        <v>400003037</v>
      </c>
      <c r="B3038" t="s">
        <v>74</v>
      </c>
      <c r="C3038" t="s">
        <v>205</v>
      </c>
      <c r="D3038" t="s">
        <v>16</v>
      </c>
      <c r="E3038" s="9">
        <v>42</v>
      </c>
      <c r="F3038" t="s">
        <v>17</v>
      </c>
      <c r="G3038" t="s">
        <v>33</v>
      </c>
      <c r="H3038" s="7">
        <v>42313</v>
      </c>
      <c r="I3038">
        <v>43376.23</v>
      </c>
      <c r="K3038" s="7"/>
    </row>
    <row r="3039" spans="1:11">
      <c r="A3039">
        <v>100003038</v>
      </c>
      <c r="B3039" t="s">
        <v>145</v>
      </c>
      <c r="C3039" t="s">
        <v>78</v>
      </c>
      <c r="D3039" t="s">
        <v>11</v>
      </c>
      <c r="E3039" s="9">
        <v>38</v>
      </c>
      <c r="F3039" t="s">
        <v>12</v>
      </c>
      <c r="G3039" t="s">
        <v>13</v>
      </c>
      <c r="H3039" s="8">
        <v>42314</v>
      </c>
      <c r="I3039">
        <v>12380.76</v>
      </c>
      <c r="K3039" s="8"/>
    </row>
    <row r="3040" spans="1:11">
      <c r="A3040">
        <v>100003039</v>
      </c>
      <c r="B3040" t="s">
        <v>46</v>
      </c>
      <c r="C3040" t="s">
        <v>198</v>
      </c>
      <c r="D3040" t="s">
        <v>11</v>
      </c>
      <c r="E3040" s="9">
        <v>28</v>
      </c>
      <c r="F3040" t="s">
        <v>12</v>
      </c>
      <c r="G3040" t="s">
        <v>13</v>
      </c>
      <c r="H3040" s="7">
        <v>42314</v>
      </c>
      <c r="I3040">
        <v>13390.78</v>
      </c>
      <c r="K3040" s="7"/>
    </row>
    <row r="3041" spans="1:11">
      <c r="A3041">
        <v>100003040</v>
      </c>
      <c r="B3041" t="s">
        <v>150</v>
      </c>
      <c r="C3041" t="s">
        <v>152</v>
      </c>
      <c r="D3041" t="s">
        <v>16</v>
      </c>
      <c r="E3041" s="9">
        <v>29</v>
      </c>
      <c r="F3041" t="s">
        <v>12</v>
      </c>
      <c r="G3041" t="s">
        <v>33</v>
      </c>
      <c r="H3041" s="8">
        <v>42314</v>
      </c>
      <c r="I3041">
        <v>1834.14</v>
      </c>
      <c r="K3041" s="8"/>
    </row>
    <row r="3042" spans="1:11">
      <c r="A3042">
        <v>100003041</v>
      </c>
      <c r="B3042" t="s">
        <v>103</v>
      </c>
      <c r="C3042" t="s">
        <v>52</v>
      </c>
      <c r="D3042" t="s">
        <v>11</v>
      </c>
      <c r="E3042" s="9">
        <v>34</v>
      </c>
      <c r="F3042" t="s">
        <v>12</v>
      </c>
      <c r="G3042" t="s">
        <v>13</v>
      </c>
      <c r="H3042" s="7">
        <v>42314</v>
      </c>
      <c r="I3042">
        <v>18971.509999999998</v>
      </c>
      <c r="K3042" s="7"/>
    </row>
    <row r="3043" spans="1:11">
      <c r="A3043">
        <v>200003042</v>
      </c>
      <c r="B3043" t="s">
        <v>57</v>
      </c>
      <c r="C3043" t="s">
        <v>10</v>
      </c>
      <c r="D3043" t="s">
        <v>11</v>
      </c>
      <c r="E3043" s="9">
        <v>61</v>
      </c>
      <c r="F3043" t="s">
        <v>32</v>
      </c>
      <c r="G3043" t="s">
        <v>18</v>
      </c>
      <c r="H3043" s="8">
        <v>42314</v>
      </c>
      <c r="I3043">
        <v>27421.16</v>
      </c>
      <c r="K3043" s="8"/>
    </row>
    <row r="3044" spans="1:11">
      <c r="A3044">
        <v>200003043</v>
      </c>
      <c r="B3044" t="s">
        <v>145</v>
      </c>
      <c r="C3044" t="s">
        <v>179</v>
      </c>
      <c r="D3044" t="s">
        <v>11</v>
      </c>
      <c r="E3044" s="9">
        <v>49</v>
      </c>
      <c r="F3044" t="s">
        <v>32</v>
      </c>
      <c r="G3044" t="s">
        <v>33</v>
      </c>
      <c r="H3044" s="7">
        <v>42314</v>
      </c>
      <c r="I3044">
        <v>83989.67</v>
      </c>
      <c r="K3044" s="7"/>
    </row>
    <row r="3045" spans="1:11">
      <c r="A3045">
        <v>200003044</v>
      </c>
      <c r="B3045" t="s">
        <v>38</v>
      </c>
      <c r="C3045" t="s">
        <v>54</v>
      </c>
      <c r="D3045" t="s">
        <v>11</v>
      </c>
      <c r="E3045" s="9">
        <v>43</v>
      </c>
      <c r="F3045" t="s">
        <v>32</v>
      </c>
      <c r="G3045" t="s">
        <v>33</v>
      </c>
      <c r="H3045" s="8">
        <v>42314</v>
      </c>
      <c r="I3045">
        <v>70629.05</v>
      </c>
      <c r="K3045" s="8"/>
    </row>
    <row r="3046" spans="1:11">
      <c r="A3046">
        <v>100003045</v>
      </c>
      <c r="B3046" t="s">
        <v>304</v>
      </c>
      <c r="C3046" t="s">
        <v>35</v>
      </c>
      <c r="D3046" t="s">
        <v>16</v>
      </c>
      <c r="E3046" s="9">
        <v>32</v>
      </c>
      <c r="F3046" t="s">
        <v>12</v>
      </c>
      <c r="G3046" t="s">
        <v>18</v>
      </c>
      <c r="H3046" s="7">
        <v>42315</v>
      </c>
      <c r="I3046">
        <v>10818.08</v>
      </c>
      <c r="K3046" s="7"/>
    </row>
    <row r="3047" spans="1:11">
      <c r="A3047">
        <v>100003046</v>
      </c>
      <c r="B3047" t="s">
        <v>161</v>
      </c>
      <c r="C3047" t="s">
        <v>56</v>
      </c>
      <c r="D3047" t="s">
        <v>16</v>
      </c>
      <c r="E3047" s="9">
        <v>26</v>
      </c>
      <c r="F3047" t="s">
        <v>12</v>
      </c>
      <c r="G3047" t="s">
        <v>13</v>
      </c>
      <c r="H3047" s="8">
        <v>42315</v>
      </c>
      <c r="I3047">
        <v>13299.35</v>
      </c>
      <c r="K3047" s="8"/>
    </row>
    <row r="3048" spans="1:11">
      <c r="A3048">
        <v>100003047</v>
      </c>
      <c r="B3048" t="s">
        <v>107</v>
      </c>
      <c r="C3048" t="s">
        <v>22</v>
      </c>
      <c r="D3048" t="s">
        <v>11</v>
      </c>
      <c r="E3048" s="9">
        <v>33</v>
      </c>
      <c r="F3048" t="s">
        <v>12</v>
      </c>
      <c r="G3048" t="s">
        <v>13</v>
      </c>
      <c r="H3048" s="7">
        <v>42315</v>
      </c>
      <c r="I3048">
        <v>30227.5</v>
      </c>
      <c r="K3048" s="7"/>
    </row>
    <row r="3049" spans="1:11">
      <c r="A3049">
        <v>100003048</v>
      </c>
      <c r="B3049" t="s">
        <v>42</v>
      </c>
      <c r="C3049" t="s">
        <v>282</v>
      </c>
      <c r="D3049" t="s">
        <v>11</v>
      </c>
      <c r="E3049" s="9">
        <v>46</v>
      </c>
      <c r="F3049" t="s">
        <v>12</v>
      </c>
      <c r="G3049" t="s">
        <v>13</v>
      </c>
      <c r="H3049" s="8">
        <v>42315</v>
      </c>
      <c r="I3049">
        <v>84080.85</v>
      </c>
      <c r="K3049" s="8"/>
    </row>
    <row r="3050" spans="1:11">
      <c r="A3050">
        <v>100003049</v>
      </c>
      <c r="B3050" t="s">
        <v>129</v>
      </c>
      <c r="C3050" t="s">
        <v>54</v>
      </c>
      <c r="D3050" t="s">
        <v>11</v>
      </c>
      <c r="E3050" s="9">
        <v>35</v>
      </c>
      <c r="F3050" t="s">
        <v>12</v>
      </c>
      <c r="G3050" t="s">
        <v>18</v>
      </c>
      <c r="H3050" s="7">
        <v>42315</v>
      </c>
      <c r="I3050">
        <v>15908.89</v>
      </c>
      <c r="K3050" s="7"/>
    </row>
    <row r="3051" spans="1:11">
      <c r="A3051">
        <v>100003050</v>
      </c>
      <c r="B3051" t="s">
        <v>254</v>
      </c>
      <c r="C3051" t="s">
        <v>306</v>
      </c>
      <c r="D3051" t="s">
        <v>11</v>
      </c>
      <c r="E3051" s="9">
        <v>48</v>
      </c>
      <c r="F3051" t="s">
        <v>12</v>
      </c>
      <c r="G3051" t="s">
        <v>13</v>
      </c>
      <c r="H3051" s="8">
        <v>42315</v>
      </c>
      <c r="I3051">
        <v>18254.46</v>
      </c>
      <c r="K3051" s="8"/>
    </row>
    <row r="3052" spans="1:11">
      <c r="A3052">
        <v>100003051</v>
      </c>
      <c r="B3052" t="s">
        <v>72</v>
      </c>
      <c r="C3052" t="s">
        <v>203</v>
      </c>
      <c r="D3052" t="s">
        <v>11</v>
      </c>
      <c r="E3052" s="9">
        <v>39</v>
      </c>
      <c r="F3052" t="s">
        <v>12</v>
      </c>
      <c r="G3052" t="s">
        <v>13</v>
      </c>
      <c r="H3052" s="7">
        <v>42315</v>
      </c>
      <c r="I3052">
        <v>59641.84</v>
      </c>
      <c r="K3052" s="7"/>
    </row>
    <row r="3053" spans="1:11">
      <c r="A3053">
        <v>200003052</v>
      </c>
      <c r="B3053" t="s">
        <v>97</v>
      </c>
      <c r="C3053" t="s">
        <v>322</v>
      </c>
      <c r="D3053" t="s">
        <v>16</v>
      </c>
      <c r="E3053" s="9">
        <v>51</v>
      </c>
      <c r="F3053" t="s">
        <v>32</v>
      </c>
      <c r="G3053" t="s">
        <v>18</v>
      </c>
      <c r="H3053" s="8">
        <v>42315</v>
      </c>
      <c r="I3053">
        <v>52001.9</v>
      </c>
      <c r="K3053" s="8"/>
    </row>
    <row r="3054" spans="1:11">
      <c r="A3054">
        <v>200003053</v>
      </c>
      <c r="B3054" t="s">
        <v>319</v>
      </c>
      <c r="C3054" t="s">
        <v>144</v>
      </c>
      <c r="D3054" t="s">
        <v>16</v>
      </c>
      <c r="E3054" s="9">
        <v>39</v>
      </c>
      <c r="F3054" t="s">
        <v>32</v>
      </c>
      <c r="G3054" t="s">
        <v>33</v>
      </c>
      <c r="H3054" s="7">
        <v>42315</v>
      </c>
      <c r="I3054">
        <v>31245</v>
      </c>
      <c r="K3054" s="7"/>
    </row>
    <row r="3055" spans="1:11">
      <c r="A3055">
        <v>200003054</v>
      </c>
      <c r="B3055" t="s">
        <v>139</v>
      </c>
      <c r="C3055" t="s">
        <v>222</v>
      </c>
      <c r="D3055" t="s">
        <v>16</v>
      </c>
      <c r="E3055" s="9">
        <v>56</v>
      </c>
      <c r="F3055" t="s">
        <v>32</v>
      </c>
      <c r="G3055" t="s">
        <v>33</v>
      </c>
      <c r="H3055" s="8">
        <v>42315</v>
      </c>
      <c r="I3055">
        <v>29174.19</v>
      </c>
      <c r="K3055" s="8"/>
    </row>
    <row r="3056" spans="1:11">
      <c r="A3056">
        <v>200003055</v>
      </c>
      <c r="B3056" t="s">
        <v>122</v>
      </c>
      <c r="C3056" t="s">
        <v>224</v>
      </c>
      <c r="D3056" t="s">
        <v>11</v>
      </c>
      <c r="E3056" s="9">
        <v>36</v>
      </c>
      <c r="F3056" t="s">
        <v>32</v>
      </c>
      <c r="G3056" t="s">
        <v>18</v>
      </c>
      <c r="H3056" s="7">
        <v>42315</v>
      </c>
      <c r="I3056">
        <v>106275.73</v>
      </c>
      <c r="K3056" s="7"/>
    </row>
    <row r="3057" spans="1:11">
      <c r="A3057">
        <v>100003056</v>
      </c>
      <c r="B3057" t="s">
        <v>84</v>
      </c>
      <c r="C3057" t="s">
        <v>322</v>
      </c>
      <c r="D3057" t="s">
        <v>16</v>
      </c>
      <c r="E3057" s="9">
        <v>33</v>
      </c>
      <c r="F3057" t="s">
        <v>12</v>
      </c>
      <c r="G3057" t="s">
        <v>13</v>
      </c>
      <c r="H3057" s="8">
        <v>42316</v>
      </c>
      <c r="I3057">
        <v>64582.89</v>
      </c>
      <c r="K3057" s="8"/>
    </row>
    <row r="3058" spans="1:11">
      <c r="A3058">
        <v>100003057</v>
      </c>
      <c r="B3058" t="s">
        <v>244</v>
      </c>
      <c r="C3058" t="s">
        <v>247</v>
      </c>
      <c r="D3058" t="s">
        <v>16</v>
      </c>
      <c r="E3058" s="9">
        <v>43</v>
      </c>
      <c r="F3058" t="s">
        <v>12</v>
      </c>
      <c r="G3058" t="s">
        <v>33</v>
      </c>
      <c r="H3058" s="7">
        <v>42316</v>
      </c>
      <c r="I3058">
        <v>73601.8</v>
      </c>
      <c r="K3058" s="7"/>
    </row>
    <row r="3059" spans="1:11">
      <c r="A3059">
        <v>100003058</v>
      </c>
      <c r="B3059" t="s">
        <v>119</v>
      </c>
      <c r="C3059" t="s">
        <v>163</v>
      </c>
      <c r="D3059" t="s">
        <v>16</v>
      </c>
      <c r="E3059" s="9">
        <v>44</v>
      </c>
      <c r="F3059" t="s">
        <v>12</v>
      </c>
      <c r="G3059" t="s">
        <v>13</v>
      </c>
      <c r="H3059" s="8">
        <v>42316</v>
      </c>
      <c r="I3059">
        <v>9209.02</v>
      </c>
      <c r="K3059" s="8"/>
    </row>
    <row r="3060" spans="1:11">
      <c r="A3060">
        <v>100003059</v>
      </c>
      <c r="B3060" t="s">
        <v>70</v>
      </c>
      <c r="C3060" t="s">
        <v>242</v>
      </c>
      <c r="D3060" t="s">
        <v>11</v>
      </c>
      <c r="E3060" s="9">
        <v>24</v>
      </c>
      <c r="F3060" t="s">
        <v>12</v>
      </c>
      <c r="G3060" t="s">
        <v>13</v>
      </c>
      <c r="H3060" s="7">
        <v>42316</v>
      </c>
      <c r="I3060">
        <v>35939.96</v>
      </c>
      <c r="K3060" s="7"/>
    </row>
    <row r="3061" spans="1:11">
      <c r="A3061">
        <v>100003060</v>
      </c>
      <c r="B3061" t="s">
        <v>249</v>
      </c>
      <c r="C3061" t="s">
        <v>278</v>
      </c>
      <c r="D3061" t="s">
        <v>16</v>
      </c>
      <c r="E3061" s="9">
        <v>31</v>
      </c>
      <c r="F3061" t="s">
        <v>12</v>
      </c>
      <c r="G3061" t="s">
        <v>13</v>
      </c>
      <c r="H3061" s="8">
        <v>42316</v>
      </c>
      <c r="I3061">
        <v>1447.65</v>
      </c>
      <c r="K3061" s="8"/>
    </row>
    <row r="3062" spans="1:11">
      <c r="A3062">
        <v>100003061</v>
      </c>
      <c r="B3062" t="s">
        <v>171</v>
      </c>
      <c r="C3062" t="s">
        <v>259</v>
      </c>
      <c r="D3062" t="s">
        <v>16</v>
      </c>
      <c r="E3062" s="9">
        <v>25</v>
      </c>
      <c r="F3062" t="s">
        <v>12</v>
      </c>
      <c r="G3062" t="s">
        <v>33</v>
      </c>
      <c r="H3062" s="7">
        <v>42316</v>
      </c>
      <c r="I3062">
        <v>1890.37</v>
      </c>
      <c r="K3062" s="7"/>
    </row>
    <row r="3063" spans="1:11">
      <c r="A3063">
        <v>100003062</v>
      </c>
      <c r="B3063" t="s">
        <v>40</v>
      </c>
      <c r="C3063" t="s">
        <v>104</v>
      </c>
      <c r="D3063" t="s">
        <v>11</v>
      </c>
      <c r="E3063" s="9">
        <v>39</v>
      </c>
      <c r="F3063" t="s">
        <v>12</v>
      </c>
      <c r="G3063" t="s">
        <v>18</v>
      </c>
      <c r="H3063" s="8">
        <v>42316</v>
      </c>
      <c r="I3063">
        <v>29040.639999999999</v>
      </c>
      <c r="K3063" s="8"/>
    </row>
    <row r="3064" spans="1:11">
      <c r="A3064">
        <v>100003063</v>
      </c>
      <c r="B3064" t="s">
        <v>60</v>
      </c>
      <c r="C3064" t="s">
        <v>88</v>
      </c>
      <c r="D3064" t="s">
        <v>11</v>
      </c>
      <c r="E3064" s="9">
        <v>24</v>
      </c>
      <c r="F3064" t="s">
        <v>12</v>
      </c>
      <c r="G3064" t="s">
        <v>13</v>
      </c>
      <c r="H3064" s="7">
        <v>42316</v>
      </c>
      <c r="I3064">
        <v>24875.64</v>
      </c>
      <c r="K3064" s="7"/>
    </row>
    <row r="3065" spans="1:11">
      <c r="A3065">
        <v>100003064</v>
      </c>
      <c r="B3065" t="s">
        <v>206</v>
      </c>
      <c r="C3065" t="s">
        <v>156</v>
      </c>
      <c r="D3065" t="s">
        <v>11</v>
      </c>
      <c r="E3065" s="9">
        <v>43</v>
      </c>
      <c r="F3065" t="s">
        <v>12</v>
      </c>
      <c r="G3065" t="s">
        <v>13</v>
      </c>
      <c r="H3065" s="8">
        <v>42316</v>
      </c>
      <c r="I3065">
        <v>4421.1000000000004</v>
      </c>
      <c r="K3065" s="8"/>
    </row>
    <row r="3066" spans="1:11">
      <c r="A3066">
        <v>100003065</v>
      </c>
      <c r="B3066" t="s">
        <v>309</v>
      </c>
      <c r="C3066" t="s">
        <v>211</v>
      </c>
      <c r="D3066" t="s">
        <v>16</v>
      </c>
      <c r="E3066" s="9">
        <v>32</v>
      </c>
      <c r="F3066" t="s">
        <v>12</v>
      </c>
      <c r="G3066" t="s">
        <v>13</v>
      </c>
      <c r="H3066" s="7">
        <v>42316</v>
      </c>
      <c r="I3066">
        <v>27424.78</v>
      </c>
      <c r="K3066" s="7"/>
    </row>
    <row r="3067" spans="1:11">
      <c r="A3067">
        <v>100003066</v>
      </c>
      <c r="B3067" t="s">
        <v>236</v>
      </c>
      <c r="C3067" t="s">
        <v>227</v>
      </c>
      <c r="D3067" t="s">
        <v>16</v>
      </c>
      <c r="E3067" s="9">
        <v>27</v>
      </c>
      <c r="F3067" t="s">
        <v>12</v>
      </c>
      <c r="G3067" t="s">
        <v>13</v>
      </c>
      <c r="H3067" s="8">
        <v>42316</v>
      </c>
      <c r="I3067">
        <v>3120.2</v>
      </c>
      <c r="K3067" s="8"/>
    </row>
    <row r="3068" spans="1:11">
      <c r="A3068">
        <v>200003067</v>
      </c>
      <c r="B3068" t="s">
        <v>164</v>
      </c>
      <c r="C3068" t="s">
        <v>157</v>
      </c>
      <c r="D3068" t="s">
        <v>11</v>
      </c>
      <c r="E3068" s="9">
        <v>51</v>
      </c>
      <c r="F3068" t="s">
        <v>32</v>
      </c>
      <c r="G3068" t="s">
        <v>13</v>
      </c>
      <c r="H3068" s="7">
        <v>42316</v>
      </c>
      <c r="I3068">
        <v>32448.94</v>
      </c>
      <c r="K3068" s="7"/>
    </row>
    <row r="3069" spans="1:11">
      <c r="A3069">
        <v>200003068</v>
      </c>
      <c r="B3069" t="s">
        <v>128</v>
      </c>
      <c r="C3069" t="s">
        <v>59</v>
      </c>
      <c r="D3069" t="s">
        <v>16</v>
      </c>
      <c r="E3069" s="9">
        <v>48</v>
      </c>
      <c r="F3069" t="s">
        <v>32</v>
      </c>
      <c r="G3069" t="s">
        <v>33</v>
      </c>
      <c r="H3069" s="8">
        <v>42316</v>
      </c>
      <c r="I3069">
        <v>19089.330000000002</v>
      </c>
      <c r="K3069" s="8"/>
    </row>
    <row r="3070" spans="1:11">
      <c r="A3070">
        <v>200003069</v>
      </c>
      <c r="B3070" t="s">
        <v>175</v>
      </c>
      <c r="C3070" t="s">
        <v>103</v>
      </c>
      <c r="D3070" t="s">
        <v>11</v>
      </c>
      <c r="E3070" s="9">
        <v>52</v>
      </c>
      <c r="F3070" t="s">
        <v>32</v>
      </c>
      <c r="G3070" t="s">
        <v>13</v>
      </c>
      <c r="H3070" s="7">
        <v>42316</v>
      </c>
      <c r="I3070">
        <v>74560.83</v>
      </c>
      <c r="K3070" s="7"/>
    </row>
    <row r="3071" spans="1:11">
      <c r="A3071">
        <v>200003070</v>
      </c>
      <c r="B3071" t="s">
        <v>215</v>
      </c>
      <c r="C3071" t="s">
        <v>172</v>
      </c>
      <c r="D3071" t="s">
        <v>16</v>
      </c>
      <c r="E3071" s="9">
        <v>40</v>
      </c>
      <c r="F3071" t="s">
        <v>32</v>
      </c>
      <c r="G3071" t="s">
        <v>33</v>
      </c>
      <c r="H3071" s="8">
        <v>42316</v>
      </c>
      <c r="I3071">
        <v>22027.41</v>
      </c>
      <c r="K3071" s="8"/>
    </row>
    <row r="3072" spans="1:11">
      <c r="A3072">
        <v>200003071</v>
      </c>
      <c r="B3072" t="s">
        <v>24</v>
      </c>
      <c r="C3072" t="s">
        <v>121</v>
      </c>
      <c r="D3072" t="s">
        <v>16</v>
      </c>
      <c r="E3072" s="9">
        <v>49</v>
      </c>
      <c r="F3072" t="s">
        <v>32</v>
      </c>
      <c r="G3072" t="s">
        <v>33</v>
      </c>
      <c r="H3072" s="7">
        <v>42316</v>
      </c>
      <c r="I3072">
        <v>115069.41</v>
      </c>
      <c r="K3072" s="7"/>
    </row>
    <row r="3073" spans="1:11">
      <c r="A3073">
        <v>200003072</v>
      </c>
      <c r="B3073" t="s">
        <v>226</v>
      </c>
      <c r="C3073" t="s">
        <v>25</v>
      </c>
      <c r="D3073" t="s">
        <v>16</v>
      </c>
      <c r="E3073" s="9">
        <v>31</v>
      </c>
      <c r="F3073" t="s">
        <v>32</v>
      </c>
      <c r="G3073" t="s">
        <v>33</v>
      </c>
      <c r="H3073" s="8">
        <v>42316</v>
      </c>
      <c r="I3073">
        <v>14526.24</v>
      </c>
      <c r="K3073" s="8"/>
    </row>
    <row r="3074" spans="1:11">
      <c r="A3074">
        <v>300003073</v>
      </c>
      <c r="B3074" t="s">
        <v>141</v>
      </c>
      <c r="C3074" t="s">
        <v>203</v>
      </c>
      <c r="D3074" t="s">
        <v>11</v>
      </c>
      <c r="E3074" s="9">
        <v>31</v>
      </c>
      <c r="F3074" t="s">
        <v>23</v>
      </c>
      <c r="G3074" t="s">
        <v>13</v>
      </c>
      <c r="H3074" s="7">
        <v>42316</v>
      </c>
      <c r="I3074">
        <v>35448.769999999997</v>
      </c>
      <c r="K3074" s="7"/>
    </row>
    <row r="3075" spans="1:11">
      <c r="A3075">
        <v>300003074</v>
      </c>
      <c r="B3075" t="s">
        <v>48</v>
      </c>
      <c r="C3075" t="s">
        <v>322</v>
      </c>
      <c r="D3075" t="s">
        <v>16</v>
      </c>
      <c r="E3075" s="9">
        <v>38</v>
      </c>
      <c r="F3075" t="s">
        <v>23</v>
      </c>
      <c r="G3075" t="s">
        <v>13</v>
      </c>
      <c r="H3075" s="8">
        <v>42316</v>
      </c>
      <c r="I3075">
        <v>12426.64</v>
      </c>
      <c r="K3075" s="8"/>
    </row>
    <row r="3076" spans="1:11">
      <c r="A3076">
        <v>300003075</v>
      </c>
      <c r="B3076" t="s">
        <v>169</v>
      </c>
      <c r="C3076" t="s">
        <v>233</v>
      </c>
      <c r="D3076" t="s">
        <v>11</v>
      </c>
      <c r="E3076" s="9">
        <v>27</v>
      </c>
      <c r="F3076" t="s">
        <v>23</v>
      </c>
      <c r="G3076" t="s">
        <v>13</v>
      </c>
      <c r="H3076" s="7">
        <v>42316</v>
      </c>
      <c r="I3076">
        <v>89186.6</v>
      </c>
      <c r="K3076" s="7"/>
    </row>
    <row r="3077" spans="1:11">
      <c r="A3077">
        <v>100003076</v>
      </c>
      <c r="B3077" t="s">
        <v>264</v>
      </c>
      <c r="C3077" t="s">
        <v>325</v>
      </c>
      <c r="D3077" t="s">
        <v>11</v>
      </c>
      <c r="E3077" s="9">
        <v>29</v>
      </c>
      <c r="F3077" t="s">
        <v>12</v>
      </c>
      <c r="G3077" t="s">
        <v>18</v>
      </c>
      <c r="H3077" s="8">
        <v>42317</v>
      </c>
      <c r="I3077">
        <v>9567.74</v>
      </c>
      <c r="K3077" s="8"/>
    </row>
    <row r="3078" spans="1:11">
      <c r="A3078">
        <v>100003077</v>
      </c>
      <c r="B3078" t="s">
        <v>298</v>
      </c>
      <c r="C3078" t="s">
        <v>82</v>
      </c>
      <c r="D3078" t="s">
        <v>16</v>
      </c>
      <c r="E3078" s="9">
        <v>47</v>
      </c>
      <c r="F3078" t="s">
        <v>12</v>
      </c>
      <c r="G3078" t="s">
        <v>13</v>
      </c>
      <c r="H3078" s="7">
        <v>42317</v>
      </c>
      <c r="I3078">
        <v>9244.66</v>
      </c>
      <c r="K3078" s="7"/>
    </row>
    <row r="3079" spans="1:11">
      <c r="A3079">
        <v>100003078</v>
      </c>
      <c r="B3079" t="s">
        <v>111</v>
      </c>
      <c r="C3079" t="s">
        <v>25</v>
      </c>
      <c r="D3079" t="s">
        <v>11</v>
      </c>
      <c r="E3079" s="9">
        <v>23</v>
      </c>
      <c r="F3079" t="s">
        <v>12</v>
      </c>
      <c r="G3079" t="s">
        <v>33</v>
      </c>
      <c r="H3079" s="8">
        <v>42317</v>
      </c>
      <c r="I3079">
        <v>4588.12</v>
      </c>
      <c r="K3079" s="8"/>
    </row>
    <row r="3080" spans="1:11">
      <c r="A3080">
        <v>100003079</v>
      </c>
      <c r="B3080" t="s">
        <v>28</v>
      </c>
      <c r="C3080" t="s">
        <v>253</v>
      </c>
      <c r="D3080" t="s">
        <v>16</v>
      </c>
      <c r="E3080" s="9">
        <v>29</v>
      </c>
      <c r="F3080" t="s">
        <v>12</v>
      </c>
      <c r="G3080" t="s">
        <v>13</v>
      </c>
      <c r="H3080" s="7">
        <v>42317</v>
      </c>
      <c r="I3080">
        <v>34725.589999999997</v>
      </c>
      <c r="K3080" s="7"/>
    </row>
    <row r="3081" spans="1:11">
      <c r="A3081">
        <v>100003080</v>
      </c>
      <c r="B3081" t="s">
        <v>36</v>
      </c>
      <c r="C3081" t="s">
        <v>224</v>
      </c>
      <c r="D3081" t="s">
        <v>11</v>
      </c>
      <c r="E3081" s="9">
        <v>37</v>
      </c>
      <c r="F3081" t="s">
        <v>12</v>
      </c>
      <c r="G3081" t="s">
        <v>33</v>
      </c>
      <c r="H3081" s="8">
        <v>42317</v>
      </c>
      <c r="I3081">
        <v>23396.9</v>
      </c>
      <c r="K3081" s="8"/>
    </row>
    <row r="3082" spans="1:11">
      <c r="A3082">
        <v>100003081</v>
      </c>
      <c r="B3082" t="s">
        <v>147</v>
      </c>
      <c r="C3082" t="s">
        <v>205</v>
      </c>
      <c r="D3082" t="s">
        <v>11</v>
      </c>
      <c r="E3082" s="9">
        <v>35</v>
      </c>
      <c r="F3082" t="s">
        <v>12</v>
      </c>
      <c r="G3082" t="s">
        <v>18</v>
      </c>
      <c r="H3082" s="7">
        <v>42317</v>
      </c>
      <c r="I3082">
        <v>4653.3100000000004</v>
      </c>
      <c r="K3082" s="7"/>
    </row>
    <row r="3083" spans="1:11">
      <c r="A3083">
        <v>100003082</v>
      </c>
      <c r="B3083" t="s">
        <v>284</v>
      </c>
      <c r="C3083" t="s">
        <v>187</v>
      </c>
      <c r="D3083" t="s">
        <v>16</v>
      </c>
      <c r="E3083" s="9">
        <v>35</v>
      </c>
      <c r="F3083" t="s">
        <v>12</v>
      </c>
      <c r="G3083" t="s">
        <v>18</v>
      </c>
      <c r="H3083" s="8">
        <v>42317</v>
      </c>
      <c r="I3083">
        <v>17717.330000000002</v>
      </c>
      <c r="K3083" s="8"/>
    </row>
    <row r="3084" spans="1:11">
      <c r="A3084">
        <v>100003083</v>
      </c>
      <c r="B3084" t="s">
        <v>213</v>
      </c>
      <c r="C3084" t="s">
        <v>114</v>
      </c>
      <c r="D3084" t="s">
        <v>11</v>
      </c>
      <c r="E3084" s="9">
        <v>30</v>
      </c>
      <c r="F3084" t="s">
        <v>12</v>
      </c>
      <c r="G3084" t="s">
        <v>13</v>
      </c>
      <c r="H3084" s="7">
        <v>42317</v>
      </c>
      <c r="I3084">
        <v>8422.2999999999993</v>
      </c>
      <c r="K3084" s="7"/>
    </row>
    <row r="3085" spans="1:11">
      <c r="A3085">
        <v>200003084</v>
      </c>
      <c r="B3085" t="s">
        <v>105</v>
      </c>
      <c r="C3085" t="s">
        <v>127</v>
      </c>
      <c r="D3085" t="s">
        <v>16</v>
      </c>
      <c r="E3085" s="9">
        <v>46</v>
      </c>
      <c r="F3085" t="s">
        <v>32</v>
      </c>
      <c r="G3085" t="s">
        <v>18</v>
      </c>
      <c r="H3085" s="8">
        <v>42317</v>
      </c>
      <c r="I3085">
        <v>53327.97</v>
      </c>
      <c r="K3085" s="8"/>
    </row>
    <row r="3086" spans="1:11">
      <c r="A3086">
        <v>200003085</v>
      </c>
      <c r="B3086" t="s">
        <v>308</v>
      </c>
      <c r="C3086" t="s">
        <v>59</v>
      </c>
      <c r="D3086" t="s">
        <v>16</v>
      </c>
      <c r="E3086" s="9">
        <v>43</v>
      </c>
      <c r="F3086" t="s">
        <v>32</v>
      </c>
      <c r="G3086" t="s">
        <v>33</v>
      </c>
      <c r="H3086" s="7">
        <v>42317</v>
      </c>
      <c r="I3086">
        <v>38308.54</v>
      </c>
      <c r="K3086" s="7"/>
    </row>
    <row r="3087" spans="1:11">
      <c r="A3087">
        <v>200003086</v>
      </c>
      <c r="B3087" t="s">
        <v>57</v>
      </c>
      <c r="C3087" t="s">
        <v>222</v>
      </c>
      <c r="D3087" t="s">
        <v>11</v>
      </c>
      <c r="E3087" s="9">
        <v>42</v>
      </c>
      <c r="F3087" t="s">
        <v>32</v>
      </c>
      <c r="G3087" t="s">
        <v>18</v>
      </c>
      <c r="H3087" s="8">
        <v>42317</v>
      </c>
      <c r="I3087">
        <v>68973.86</v>
      </c>
      <c r="K3087" s="8"/>
    </row>
    <row r="3088" spans="1:11">
      <c r="A3088">
        <v>200003087</v>
      </c>
      <c r="B3088" t="s">
        <v>321</v>
      </c>
      <c r="C3088" t="s">
        <v>129</v>
      </c>
      <c r="D3088" t="s">
        <v>16</v>
      </c>
      <c r="E3088" s="9">
        <v>28</v>
      </c>
      <c r="F3088" t="s">
        <v>32</v>
      </c>
      <c r="G3088" t="s">
        <v>33</v>
      </c>
      <c r="H3088" s="7">
        <v>42317</v>
      </c>
      <c r="I3088">
        <v>32468.21</v>
      </c>
      <c r="K3088" s="7"/>
    </row>
    <row r="3089" spans="1:11">
      <c r="A3089">
        <v>200003088</v>
      </c>
      <c r="B3089" t="s">
        <v>317</v>
      </c>
      <c r="C3089" t="s">
        <v>98</v>
      </c>
      <c r="D3089" t="s">
        <v>16</v>
      </c>
      <c r="E3089" s="9">
        <v>51</v>
      </c>
      <c r="F3089" t="s">
        <v>32</v>
      </c>
      <c r="G3089" t="s">
        <v>33</v>
      </c>
      <c r="H3089" s="8">
        <v>42317</v>
      </c>
      <c r="I3089">
        <v>5227.6899999999996</v>
      </c>
      <c r="K3089" s="8"/>
    </row>
    <row r="3090" spans="1:11">
      <c r="A3090">
        <v>200003089</v>
      </c>
      <c r="B3090" t="s">
        <v>214</v>
      </c>
      <c r="C3090" t="s">
        <v>294</v>
      </c>
      <c r="D3090" t="s">
        <v>11</v>
      </c>
      <c r="E3090" s="9">
        <v>56</v>
      </c>
      <c r="F3090" t="s">
        <v>32</v>
      </c>
      <c r="G3090" t="s">
        <v>18</v>
      </c>
      <c r="H3090" s="7">
        <v>42317</v>
      </c>
      <c r="I3090">
        <v>55295.38</v>
      </c>
      <c r="K3090" s="7"/>
    </row>
    <row r="3091" spans="1:11">
      <c r="A3091">
        <v>300003090</v>
      </c>
      <c r="B3091" t="s">
        <v>28</v>
      </c>
      <c r="C3091" t="s">
        <v>195</v>
      </c>
      <c r="D3091" t="s">
        <v>16</v>
      </c>
      <c r="E3091" s="9">
        <v>50</v>
      </c>
      <c r="F3091" t="s">
        <v>23</v>
      </c>
      <c r="G3091" t="s">
        <v>33</v>
      </c>
      <c r="H3091" s="8">
        <v>42317</v>
      </c>
      <c r="I3091">
        <v>91569.83</v>
      </c>
      <c r="K3091" s="8"/>
    </row>
    <row r="3092" spans="1:11">
      <c r="A3092">
        <v>100003091</v>
      </c>
      <c r="B3092" t="s">
        <v>115</v>
      </c>
      <c r="C3092" t="s">
        <v>71</v>
      </c>
      <c r="D3092" t="s">
        <v>16</v>
      </c>
      <c r="E3092" s="9">
        <v>23</v>
      </c>
      <c r="F3092" t="s">
        <v>12</v>
      </c>
      <c r="G3092" t="s">
        <v>13</v>
      </c>
      <c r="H3092" s="7">
        <v>42318</v>
      </c>
      <c r="I3092">
        <v>24384.59</v>
      </c>
      <c r="K3092" s="7"/>
    </row>
    <row r="3093" spans="1:11">
      <c r="A3093">
        <v>100003092</v>
      </c>
      <c r="B3093" t="s">
        <v>320</v>
      </c>
      <c r="C3093" t="s">
        <v>123</v>
      </c>
      <c r="D3093" t="s">
        <v>16</v>
      </c>
      <c r="E3093" s="9">
        <v>30</v>
      </c>
      <c r="F3093" t="s">
        <v>12</v>
      </c>
      <c r="G3093" t="s">
        <v>13</v>
      </c>
      <c r="H3093" s="8">
        <v>42318</v>
      </c>
      <c r="I3093">
        <v>26551.11</v>
      </c>
      <c r="K3093" s="8"/>
    </row>
    <row r="3094" spans="1:11">
      <c r="A3094">
        <v>100003093</v>
      </c>
      <c r="B3094" t="s">
        <v>79</v>
      </c>
      <c r="C3094" t="s">
        <v>269</v>
      </c>
      <c r="D3094" t="s">
        <v>11</v>
      </c>
      <c r="E3094" s="9">
        <v>34</v>
      </c>
      <c r="F3094" t="s">
        <v>12</v>
      </c>
      <c r="G3094" t="s">
        <v>13</v>
      </c>
      <c r="H3094" s="7">
        <v>42318</v>
      </c>
      <c r="I3094">
        <v>71362.710000000006</v>
      </c>
      <c r="K3094" s="7"/>
    </row>
    <row r="3095" spans="1:11">
      <c r="A3095">
        <v>100003094</v>
      </c>
      <c r="B3095" t="s">
        <v>184</v>
      </c>
      <c r="C3095" t="s">
        <v>275</v>
      </c>
      <c r="D3095" t="s">
        <v>16</v>
      </c>
      <c r="E3095" s="9">
        <v>23</v>
      </c>
      <c r="F3095" t="s">
        <v>12</v>
      </c>
      <c r="G3095" t="s">
        <v>13</v>
      </c>
      <c r="H3095" s="8">
        <v>42318</v>
      </c>
      <c r="I3095">
        <v>133589.87</v>
      </c>
      <c r="K3095" s="8"/>
    </row>
    <row r="3096" spans="1:11">
      <c r="A3096">
        <v>100003095</v>
      </c>
      <c r="B3096" t="s">
        <v>129</v>
      </c>
      <c r="C3096" t="s">
        <v>35</v>
      </c>
      <c r="D3096" t="s">
        <v>11</v>
      </c>
      <c r="E3096" s="9">
        <v>34</v>
      </c>
      <c r="F3096" t="s">
        <v>12</v>
      </c>
      <c r="G3096" t="s">
        <v>13</v>
      </c>
      <c r="H3096" s="7">
        <v>42318</v>
      </c>
      <c r="I3096">
        <v>96893.79</v>
      </c>
      <c r="K3096" s="7"/>
    </row>
    <row r="3097" spans="1:11">
      <c r="A3097">
        <v>100003096</v>
      </c>
      <c r="B3097" t="s">
        <v>235</v>
      </c>
      <c r="C3097" t="s">
        <v>134</v>
      </c>
      <c r="D3097" t="s">
        <v>11</v>
      </c>
      <c r="E3097" s="9">
        <v>26</v>
      </c>
      <c r="F3097" t="s">
        <v>12</v>
      </c>
      <c r="G3097" t="s">
        <v>18</v>
      </c>
      <c r="H3097" s="8">
        <v>42318</v>
      </c>
      <c r="I3097">
        <v>9438.06</v>
      </c>
      <c r="K3097" s="8"/>
    </row>
    <row r="3098" spans="1:11">
      <c r="A3098">
        <v>100003097</v>
      </c>
      <c r="B3098" t="s">
        <v>221</v>
      </c>
      <c r="C3098" t="s">
        <v>100</v>
      </c>
      <c r="D3098" t="s">
        <v>16</v>
      </c>
      <c r="E3098" s="9">
        <v>24</v>
      </c>
      <c r="F3098" t="s">
        <v>12</v>
      </c>
      <c r="G3098" t="s">
        <v>13</v>
      </c>
      <c r="H3098" s="7">
        <v>42318</v>
      </c>
      <c r="I3098">
        <v>93329.94</v>
      </c>
      <c r="K3098" s="7"/>
    </row>
    <row r="3099" spans="1:11">
      <c r="A3099">
        <v>200003098</v>
      </c>
      <c r="B3099" t="s">
        <v>46</v>
      </c>
      <c r="C3099" t="s">
        <v>257</v>
      </c>
      <c r="D3099" t="s">
        <v>11</v>
      </c>
      <c r="E3099" s="9">
        <v>50</v>
      </c>
      <c r="F3099" t="s">
        <v>32</v>
      </c>
      <c r="G3099" t="s">
        <v>13</v>
      </c>
      <c r="H3099" s="8">
        <v>42318</v>
      </c>
      <c r="I3099">
        <v>19956.27</v>
      </c>
      <c r="K3099" s="8"/>
    </row>
    <row r="3100" spans="1:11">
      <c r="A3100">
        <v>200003099</v>
      </c>
      <c r="B3100" t="s">
        <v>311</v>
      </c>
      <c r="C3100" t="s">
        <v>10</v>
      </c>
      <c r="D3100" t="s">
        <v>11</v>
      </c>
      <c r="E3100" s="9">
        <v>40</v>
      </c>
      <c r="F3100" t="s">
        <v>32</v>
      </c>
      <c r="G3100" t="s">
        <v>18</v>
      </c>
      <c r="H3100" s="7">
        <v>42318</v>
      </c>
      <c r="I3100">
        <v>18505.82</v>
      </c>
      <c r="K3100" s="7"/>
    </row>
    <row r="3101" spans="1:11">
      <c r="A3101">
        <v>200003100</v>
      </c>
      <c r="B3101" t="s">
        <v>152</v>
      </c>
      <c r="C3101" t="s">
        <v>289</v>
      </c>
      <c r="D3101" t="s">
        <v>11</v>
      </c>
      <c r="E3101" s="9">
        <v>61</v>
      </c>
      <c r="F3101" t="s">
        <v>32</v>
      </c>
      <c r="G3101" t="s">
        <v>18</v>
      </c>
      <c r="H3101" s="8">
        <v>42318</v>
      </c>
      <c r="I3101">
        <v>6243.3</v>
      </c>
      <c r="K3101" s="8"/>
    </row>
    <row r="3102" spans="1:11">
      <c r="A3102">
        <v>200003101</v>
      </c>
      <c r="B3102" t="s">
        <v>51</v>
      </c>
      <c r="C3102" t="s">
        <v>279</v>
      </c>
      <c r="D3102" t="s">
        <v>11</v>
      </c>
      <c r="E3102" s="9">
        <v>53</v>
      </c>
      <c r="F3102" t="s">
        <v>32</v>
      </c>
      <c r="G3102" t="s">
        <v>18</v>
      </c>
      <c r="H3102" s="7">
        <v>42318</v>
      </c>
      <c r="I3102">
        <v>4821.6000000000004</v>
      </c>
      <c r="K3102" s="7"/>
    </row>
    <row r="3103" spans="1:11">
      <c r="A3103">
        <v>200003102</v>
      </c>
      <c r="B3103" t="s">
        <v>217</v>
      </c>
      <c r="C3103" t="s">
        <v>322</v>
      </c>
      <c r="D3103" t="s">
        <v>11</v>
      </c>
      <c r="E3103" s="9">
        <v>61</v>
      </c>
      <c r="F3103" t="s">
        <v>32</v>
      </c>
      <c r="G3103" t="s">
        <v>33</v>
      </c>
      <c r="H3103" s="8">
        <v>42318</v>
      </c>
      <c r="I3103">
        <v>5711.43</v>
      </c>
      <c r="K3103" s="8"/>
    </row>
    <row r="3104" spans="1:11">
      <c r="A3104">
        <v>200003103</v>
      </c>
      <c r="B3104" t="s">
        <v>202</v>
      </c>
      <c r="C3104" t="s">
        <v>275</v>
      </c>
      <c r="D3104" t="s">
        <v>11</v>
      </c>
      <c r="E3104" s="9">
        <v>61</v>
      </c>
      <c r="F3104" t="s">
        <v>32</v>
      </c>
      <c r="G3104" t="s">
        <v>18</v>
      </c>
      <c r="H3104" s="7">
        <v>42318</v>
      </c>
      <c r="I3104">
        <v>75638.28</v>
      </c>
      <c r="K3104" s="7"/>
    </row>
    <row r="3105" spans="1:11">
      <c r="A3105">
        <v>300003104</v>
      </c>
      <c r="B3105" t="s">
        <v>70</v>
      </c>
      <c r="C3105" t="s">
        <v>47</v>
      </c>
      <c r="D3105" t="s">
        <v>11</v>
      </c>
      <c r="E3105" s="9">
        <v>42</v>
      </c>
      <c r="F3105" t="s">
        <v>23</v>
      </c>
      <c r="G3105" t="s">
        <v>13</v>
      </c>
      <c r="H3105" s="8">
        <v>42318</v>
      </c>
      <c r="I3105">
        <v>14699.25</v>
      </c>
      <c r="K3105" s="8"/>
    </row>
    <row r="3106" spans="1:11">
      <c r="A3106">
        <v>300003105</v>
      </c>
      <c r="B3106" t="s">
        <v>152</v>
      </c>
      <c r="C3106" t="s">
        <v>114</v>
      </c>
      <c r="D3106" t="s">
        <v>11</v>
      </c>
      <c r="E3106" s="9">
        <v>31</v>
      </c>
      <c r="F3106" t="s">
        <v>23</v>
      </c>
      <c r="G3106" t="s">
        <v>13</v>
      </c>
      <c r="H3106" s="7">
        <v>42318</v>
      </c>
      <c r="I3106">
        <v>48703.81</v>
      </c>
      <c r="K3106" s="7"/>
    </row>
    <row r="3107" spans="1:11">
      <c r="A3107">
        <v>300003106</v>
      </c>
      <c r="B3107" t="s">
        <v>204</v>
      </c>
      <c r="C3107" t="s">
        <v>240</v>
      </c>
      <c r="D3107" t="s">
        <v>11</v>
      </c>
      <c r="E3107" s="9">
        <v>32</v>
      </c>
      <c r="F3107" t="s">
        <v>23</v>
      </c>
      <c r="G3107" t="s">
        <v>18</v>
      </c>
      <c r="H3107" s="8">
        <v>42318</v>
      </c>
      <c r="I3107">
        <v>43532.66</v>
      </c>
      <c r="K3107" s="8"/>
    </row>
    <row r="3108" spans="1:11">
      <c r="A3108">
        <v>100003107</v>
      </c>
      <c r="B3108" t="s">
        <v>280</v>
      </c>
      <c r="C3108" t="s">
        <v>285</v>
      </c>
      <c r="D3108" t="s">
        <v>11</v>
      </c>
      <c r="E3108" s="9">
        <v>42</v>
      </c>
      <c r="F3108" t="s">
        <v>12</v>
      </c>
      <c r="G3108" t="s">
        <v>13</v>
      </c>
      <c r="H3108" s="7">
        <v>42319</v>
      </c>
      <c r="I3108">
        <v>49683.78</v>
      </c>
      <c r="K3108" s="7"/>
    </row>
    <row r="3109" spans="1:11">
      <c r="A3109">
        <v>100003108</v>
      </c>
      <c r="B3109" t="s">
        <v>137</v>
      </c>
      <c r="C3109" t="s">
        <v>210</v>
      </c>
      <c r="D3109" t="s">
        <v>11</v>
      </c>
      <c r="E3109" s="9">
        <v>27</v>
      </c>
      <c r="F3109" t="s">
        <v>12</v>
      </c>
      <c r="G3109" t="s">
        <v>13</v>
      </c>
      <c r="H3109" s="8">
        <v>42319</v>
      </c>
      <c r="I3109">
        <v>146892.37</v>
      </c>
      <c r="K3109" s="8"/>
    </row>
    <row r="3110" spans="1:11">
      <c r="A3110">
        <v>100003109</v>
      </c>
      <c r="B3110" t="s">
        <v>158</v>
      </c>
      <c r="C3110" t="s">
        <v>106</v>
      </c>
      <c r="D3110" t="s">
        <v>16</v>
      </c>
      <c r="E3110" s="9">
        <v>38</v>
      </c>
      <c r="F3110" t="s">
        <v>12</v>
      </c>
      <c r="G3110" t="s">
        <v>13</v>
      </c>
      <c r="H3110" s="7">
        <v>42319</v>
      </c>
      <c r="I3110">
        <v>23666.54</v>
      </c>
      <c r="K3110" s="7"/>
    </row>
    <row r="3111" spans="1:11">
      <c r="A3111">
        <v>100003110</v>
      </c>
      <c r="B3111" t="s">
        <v>229</v>
      </c>
      <c r="C3111" t="s">
        <v>22</v>
      </c>
      <c r="D3111" t="s">
        <v>16</v>
      </c>
      <c r="E3111" s="9">
        <v>45</v>
      </c>
      <c r="F3111" t="s">
        <v>12</v>
      </c>
      <c r="G3111" t="s">
        <v>13</v>
      </c>
      <c r="H3111" s="8">
        <v>42319</v>
      </c>
      <c r="I3111">
        <v>21695.26</v>
      </c>
      <c r="K3111" s="8"/>
    </row>
    <row r="3112" spans="1:11">
      <c r="A3112">
        <v>100003111</v>
      </c>
      <c r="B3112" t="s">
        <v>38</v>
      </c>
      <c r="C3112" t="s">
        <v>63</v>
      </c>
      <c r="D3112" t="s">
        <v>11</v>
      </c>
      <c r="E3112" s="9">
        <v>33</v>
      </c>
      <c r="F3112" t="s">
        <v>12</v>
      </c>
      <c r="G3112" t="s">
        <v>33</v>
      </c>
      <c r="H3112" s="7">
        <v>42319</v>
      </c>
      <c r="I3112">
        <v>2609.2800000000002</v>
      </c>
      <c r="K3112" s="7"/>
    </row>
    <row r="3113" spans="1:11">
      <c r="A3113">
        <v>100003112</v>
      </c>
      <c r="B3113" t="s">
        <v>254</v>
      </c>
      <c r="C3113" t="s">
        <v>69</v>
      </c>
      <c r="D3113" t="s">
        <v>11</v>
      </c>
      <c r="E3113" s="9">
        <v>30</v>
      </c>
      <c r="F3113" t="s">
        <v>12</v>
      </c>
      <c r="G3113" t="s">
        <v>13</v>
      </c>
      <c r="H3113" s="8">
        <v>42319</v>
      </c>
      <c r="I3113">
        <v>42732.72</v>
      </c>
      <c r="K3113" s="8"/>
    </row>
    <row r="3114" spans="1:11">
      <c r="A3114">
        <v>100003113</v>
      </c>
      <c r="B3114" t="s">
        <v>245</v>
      </c>
      <c r="C3114" t="s">
        <v>71</v>
      </c>
      <c r="D3114" t="s">
        <v>11</v>
      </c>
      <c r="E3114" s="9">
        <v>25</v>
      </c>
      <c r="F3114" t="s">
        <v>12</v>
      </c>
      <c r="G3114" t="s">
        <v>13</v>
      </c>
      <c r="H3114" s="7">
        <v>42319</v>
      </c>
      <c r="I3114">
        <v>36021.53</v>
      </c>
      <c r="K3114" s="7"/>
    </row>
    <row r="3115" spans="1:11">
      <c r="A3115">
        <v>100003114</v>
      </c>
      <c r="B3115" t="s">
        <v>154</v>
      </c>
      <c r="C3115" t="s">
        <v>290</v>
      </c>
      <c r="D3115" t="s">
        <v>16</v>
      </c>
      <c r="E3115" s="9">
        <v>34</v>
      </c>
      <c r="F3115" t="s">
        <v>12</v>
      </c>
      <c r="G3115" t="s">
        <v>13</v>
      </c>
      <c r="H3115" s="8">
        <v>42319</v>
      </c>
      <c r="I3115">
        <v>18856.080000000002</v>
      </c>
      <c r="K3115" s="8"/>
    </row>
    <row r="3116" spans="1:11">
      <c r="A3116">
        <v>100003115</v>
      </c>
      <c r="B3116" t="s">
        <v>255</v>
      </c>
      <c r="C3116" t="s">
        <v>281</v>
      </c>
      <c r="D3116" t="s">
        <v>11</v>
      </c>
      <c r="E3116" s="9">
        <v>34</v>
      </c>
      <c r="F3116" t="s">
        <v>12</v>
      </c>
      <c r="G3116" t="s">
        <v>13</v>
      </c>
      <c r="H3116" s="7">
        <v>42319</v>
      </c>
      <c r="I3116">
        <v>42429.24</v>
      </c>
      <c r="K3116" s="7"/>
    </row>
    <row r="3117" spans="1:11">
      <c r="A3117">
        <v>100003116</v>
      </c>
      <c r="B3117" t="s">
        <v>177</v>
      </c>
      <c r="C3117" t="s">
        <v>94</v>
      </c>
      <c r="D3117" t="s">
        <v>11</v>
      </c>
      <c r="E3117" s="9">
        <v>35</v>
      </c>
      <c r="F3117" t="s">
        <v>12</v>
      </c>
      <c r="G3117" t="s">
        <v>33</v>
      </c>
      <c r="H3117" s="8">
        <v>42319</v>
      </c>
      <c r="I3117">
        <v>25257.22</v>
      </c>
      <c r="K3117" s="8"/>
    </row>
    <row r="3118" spans="1:11">
      <c r="A3118">
        <v>100003117</v>
      </c>
      <c r="B3118" t="s">
        <v>320</v>
      </c>
      <c r="C3118" t="s">
        <v>259</v>
      </c>
      <c r="D3118" t="s">
        <v>16</v>
      </c>
      <c r="E3118" s="9">
        <v>32</v>
      </c>
      <c r="F3118" t="s">
        <v>12</v>
      </c>
      <c r="G3118" t="s">
        <v>13</v>
      </c>
      <c r="H3118" s="7">
        <v>42319</v>
      </c>
      <c r="I3118">
        <v>64135.72</v>
      </c>
      <c r="K3118" s="7"/>
    </row>
    <row r="3119" spans="1:11">
      <c r="A3119">
        <v>200003118</v>
      </c>
      <c r="B3119" t="s">
        <v>293</v>
      </c>
      <c r="C3119" t="s">
        <v>47</v>
      </c>
      <c r="D3119" t="s">
        <v>11</v>
      </c>
      <c r="E3119" s="9">
        <v>58</v>
      </c>
      <c r="F3119" t="s">
        <v>32</v>
      </c>
      <c r="G3119" t="s">
        <v>18</v>
      </c>
      <c r="H3119" s="8">
        <v>42319</v>
      </c>
      <c r="I3119">
        <v>76328.95</v>
      </c>
      <c r="K3119" s="8"/>
    </row>
    <row r="3120" spans="1:11">
      <c r="A3120">
        <v>200003119</v>
      </c>
      <c r="B3120" t="s">
        <v>84</v>
      </c>
      <c r="C3120" t="s">
        <v>247</v>
      </c>
      <c r="D3120" t="s">
        <v>16</v>
      </c>
      <c r="E3120" s="9">
        <v>39</v>
      </c>
      <c r="F3120" t="s">
        <v>32</v>
      </c>
      <c r="G3120" t="s">
        <v>33</v>
      </c>
      <c r="H3120" s="7">
        <v>42319</v>
      </c>
      <c r="I3120">
        <v>60307.56</v>
      </c>
      <c r="K3120" s="7"/>
    </row>
    <row r="3121" spans="1:11">
      <c r="A3121">
        <v>200003120</v>
      </c>
      <c r="B3121" t="s">
        <v>72</v>
      </c>
      <c r="C3121" t="s">
        <v>248</v>
      </c>
      <c r="D3121" t="s">
        <v>11</v>
      </c>
      <c r="E3121" s="9">
        <v>53</v>
      </c>
      <c r="F3121" t="s">
        <v>32</v>
      </c>
      <c r="G3121" t="s">
        <v>13</v>
      </c>
      <c r="H3121" s="8">
        <v>42319</v>
      </c>
      <c r="I3121">
        <v>28479.55</v>
      </c>
      <c r="K3121" s="8"/>
    </row>
    <row r="3122" spans="1:11">
      <c r="A3122">
        <v>200003121</v>
      </c>
      <c r="B3122" t="s">
        <v>34</v>
      </c>
      <c r="C3122" t="s">
        <v>157</v>
      </c>
      <c r="D3122" t="s">
        <v>16</v>
      </c>
      <c r="E3122" s="9">
        <v>27</v>
      </c>
      <c r="F3122" t="s">
        <v>32</v>
      </c>
      <c r="G3122" t="s">
        <v>33</v>
      </c>
      <c r="H3122" s="7">
        <v>42319</v>
      </c>
      <c r="I3122">
        <v>7835.23</v>
      </c>
      <c r="K3122" s="7"/>
    </row>
    <row r="3123" spans="1:11">
      <c r="A3123">
        <v>200003122</v>
      </c>
      <c r="B3123" t="s">
        <v>147</v>
      </c>
      <c r="C3123" t="s">
        <v>65</v>
      </c>
      <c r="D3123" t="s">
        <v>11</v>
      </c>
      <c r="E3123" s="9">
        <v>45</v>
      </c>
      <c r="F3123" t="s">
        <v>32</v>
      </c>
      <c r="G3123" t="s">
        <v>18</v>
      </c>
      <c r="H3123" s="8">
        <v>42319</v>
      </c>
      <c r="I3123">
        <v>10760.17</v>
      </c>
      <c r="K3123" s="8"/>
    </row>
    <row r="3124" spans="1:11">
      <c r="A3124">
        <v>200003123</v>
      </c>
      <c r="B3124" t="s">
        <v>36</v>
      </c>
      <c r="C3124" t="s">
        <v>31</v>
      </c>
      <c r="D3124" t="s">
        <v>11</v>
      </c>
      <c r="E3124" s="9">
        <v>52</v>
      </c>
      <c r="F3124" t="s">
        <v>32</v>
      </c>
      <c r="G3124" t="s">
        <v>18</v>
      </c>
      <c r="H3124" s="7">
        <v>42319</v>
      </c>
      <c r="I3124">
        <v>31275.84</v>
      </c>
      <c r="K3124" s="7"/>
    </row>
    <row r="3125" spans="1:11">
      <c r="A3125">
        <v>200003124</v>
      </c>
      <c r="B3125" t="s">
        <v>169</v>
      </c>
      <c r="C3125" t="s">
        <v>75</v>
      </c>
      <c r="D3125" t="s">
        <v>11</v>
      </c>
      <c r="E3125" s="9">
        <v>51</v>
      </c>
      <c r="F3125" t="s">
        <v>32</v>
      </c>
      <c r="G3125" t="s">
        <v>18</v>
      </c>
      <c r="H3125" s="8">
        <v>42319</v>
      </c>
      <c r="I3125">
        <v>62238.7</v>
      </c>
      <c r="K3125" s="8"/>
    </row>
    <row r="3126" spans="1:11">
      <c r="A3126">
        <v>200003125</v>
      </c>
      <c r="B3126" t="s">
        <v>55</v>
      </c>
      <c r="C3126" t="s">
        <v>130</v>
      </c>
      <c r="D3126" t="s">
        <v>11</v>
      </c>
      <c r="E3126" s="9">
        <v>60</v>
      </c>
      <c r="F3126" t="s">
        <v>32</v>
      </c>
      <c r="G3126" t="s">
        <v>33</v>
      </c>
      <c r="H3126" s="7">
        <v>42319</v>
      </c>
      <c r="I3126">
        <v>23122.01</v>
      </c>
      <c r="K3126" s="7"/>
    </row>
    <row r="3127" spans="1:11">
      <c r="A3127">
        <v>200003126</v>
      </c>
      <c r="B3127" t="s">
        <v>184</v>
      </c>
      <c r="C3127" t="s">
        <v>45</v>
      </c>
      <c r="D3127" t="s">
        <v>16</v>
      </c>
      <c r="E3127" s="9">
        <v>58</v>
      </c>
      <c r="F3127" t="s">
        <v>32</v>
      </c>
      <c r="G3127" t="s">
        <v>33</v>
      </c>
      <c r="H3127" s="8">
        <v>42319</v>
      </c>
      <c r="I3127">
        <v>105104.49</v>
      </c>
      <c r="K3127" s="8"/>
    </row>
    <row r="3128" spans="1:11">
      <c r="A3128">
        <v>200003127</v>
      </c>
      <c r="B3128" t="s">
        <v>46</v>
      </c>
      <c r="C3128" t="s">
        <v>27</v>
      </c>
      <c r="D3128" t="s">
        <v>11</v>
      </c>
      <c r="E3128" s="9">
        <v>45</v>
      </c>
      <c r="F3128" t="s">
        <v>32</v>
      </c>
      <c r="G3128" t="s">
        <v>18</v>
      </c>
      <c r="H3128" s="7">
        <v>42319</v>
      </c>
      <c r="I3128">
        <v>28654.5</v>
      </c>
      <c r="K3128" s="7"/>
    </row>
    <row r="3129" spans="1:11">
      <c r="A3129">
        <v>200003128</v>
      </c>
      <c r="B3129" t="s">
        <v>234</v>
      </c>
      <c r="C3129" t="s">
        <v>20</v>
      </c>
      <c r="D3129" t="s">
        <v>11</v>
      </c>
      <c r="E3129" s="9">
        <v>49</v>
      </c>
      <c r="F3129" t="s">
        <v>32</v>
      </c>
      <c r="G3129" t="s">
        <v>18</v>
      </c>
      <c r="H3129" s="8">
        <v>42319</v>
      </c>
      <c r="I3129">
        <v>35192.83</v>
      </c>
      <c r="K3129" s="8"/>
    </row>
    <row r="3130" spans="1:11">
      <c r="A3130">
        <v>300003129</v>
      </c>
      <c r="B3130" t="s">
        <v>131</v>
      </c>
      <c r="C3130" t="s">
        <v>257</v>
      </c>
      <c r="D3130" t="s">
        <v>16</v>
      </c>
      <c r="E3130" s="9">
        <v>25</v>
      </c>
      <c r="F3130" t="s">
        <v>23</v>
      </c>
      <c r="G3130" t="s">
        <v>13</v>
      </c>
      <c r="H3130" s="7">
        <v>42319</v>
      </c>
      <c r="I3130">
        <v>14632.29</v>
      </c>
      <c r="K3130" s="7"/>
    </row>
    <row r="3131" spans="1:11">
      <c r="A3131">
        <v>300003130</v>
      </c>
      <c r="B3131" t="s">
        <v>66</v>
      </c>
      <c r="C3131" t="s">
        <v>132</v>
      </c>
      <c r="D3131" t="s">
        <v>16</v>
      </c>
      <c r="E3131" s="9">
        <v>34</v>
      </c>
      <c r="F3131" t="s">
        <v>23</v>
      </c>
      <c r="G3131" t="s">
        <v>13</v>
      </c>
      <c r="H3131" s="8">
        <v>42319</v>
      </c>
      <c r="I3131">
        <v>8456.7800000000007</v>
      </c>
      <c r="K3131" s="8"/>
    </row>
    <row r="3132" spans="1:11">
      <c r="A3132">
        <v>300003131</v>
      </c>
      <c r="B3132" t="s">
        <v>117</v>
      </c>
      <c r="C3132" t="s">
        <v>134</v>
      </c>
      <c r="D3132" t="s">
        <v>16</v>
      </c>
      <c r="E3132" s="9">
        <v>44</v>
      </c>
      <c r="F3132" t="s">
        <v>23</v>
      </c>
      <c r="G3132" t="s">
        <v>13</v>
      </c>
      <c r="H3132" s="7">
        <v>42319</v>
      </c>
      <c r="I3132">
        <v>33172.400000000001</v>
      </c>
      <c r="K3132" s="7"/>
    </row>
    <row r="3133" spans="1:11">
      <c r="A3133">
        <v>300003132</v>
      </c>
      <c r="B3133" t="s">
        <v>24</v>
      </c>
      <c r="C3133" t="s">
        <v>201</v>
      </c>
      <c r="D3133" t="s">
        <v>16</v>
      </c>
      <c r="E3133" s="9">
        <v>46</v>
      </c>
      <c r="F3133" t="s">
        <v>23</v>
      </c>
      <c r="G3133" t="s">
        <v>18</v>
      </c>
      <c r="H3133" s="8">
        <v>42319</v>
      </c>
      <c r="I3133">
        <v>29012.65</v>
      </c>
      <c r="K3133" s="8"/>
    </row>
    <row r="3134" spans="1:11">
      <c r="A3134">
        <v>100003133</v>
      </c>
      <c r="B3134" t="s">
        <v>146</v>
      </c>
      <c r="C3134" t="s">
        <v>172</v>
      </c>
      <c r="D3134" t="s">
        <v>16</v>
      </c>
      <c r="E3134" s="9">
        <v>46</v>
      </c>
      <c r="F3134" t="s">
        <v>12</v>
      </c>
      <c r="G3134" t="s">
        <v>18</v>
      </c>
      <c r="H3134" s="7">
        <v>42320</v>
      </c>
      <c r="I3134">
        <v>4907.58</v>
      </c>
      <c r="K3134" s="7"/>
    </row>
    <row r="3135" spans="1:11">
      <c r="A3135">
        <v>100003134</v>
      </c>
      <c r="B3135" t="s">
        <v>122</v>
      </c>
      <c r="C3135" t="s">
        <v>93</v>
      </c>
      <c r="D3135" t="s">
        <v>11</v>
      </c>
      <c r="E3135" s="9">
        <v>39</v>
      </c>
      <c r="F3135" t="s">
        <v>12</v>
      </c>
      <c r="G3135" t="s">
        <v>13</v>
      </c>
      <c r="H3135" s="8">
        <v>42320</v>
      </c>
      <c r="I3135">
        <v>4563.4399999999996</v>
      </c>
      <c r="K3135" s="8"/>
    </row>
    <row r="3136" spans="1:11">
      <c r="A3136">
        <v>100003135</v>
      </c>
      <c r="B3136" t="s">
        <v>145</v>
      </c>
      <c r="C3136" t="s">
        <v>187</v>
      </c>
      <c r="D3136" t="s">
        <v>11</v>
      </c>
      <c r="E3136" s="9">
        <v>29</v>
      </c>
      <c r="F3136" t="s">
        <v>12</v>
      </c>
      <c r="G3136" t="s">
        <v>18</v>
      </c>
      <c r="H3136" s="7">
        <v>42320</v>
      </c>
      <c r="I3136">
        <v>19118.759999999998</v>
      </c>
      <c r="K3136" s="7"/>
    </row>
    <row r="3137" spans="1:11">
      <c r="A3137">
        <v>100003136</v>
      </c>
      <c r="B3137" t="s">
        <v>145</v>
      </c>
      <c r="C3137" t="s">
        <v>274</v>
      </c>
      <c r="D3137" t="s">
        <v>11</v>
      </c>
      <c r="E3137" s="9">
        <v>32</v>
      </c>
      <c r="F3137" t="s">
        <v>12</v>
      </c>
      <c r="G3137" t="s">
        <v>13</v>
      </c>
      <c r="H3137" s="8">
        <v>42320</v>
      </c>
      <c r="I3137">
        <v>59266.239999999998</v>
      </c>
      <c r="K3137" s="8"/>
    </row>
    <row r="3138" spans="1:11">
      <c r="A3138">
        <v>100003137</v>
      </c>
      <c r="B3138" t="s">
        <v>232</v>
      </c>
      <c r="C3138" t="s">
        <v>225</v>
      </c>
      <c r="D3138" t="s">
        <v>16</v>
      </c>
      <c r="E3138" s="9">
        <v>34</v>
      </c>
      <c r="F3138" t="s">
        <v>12</v>
      </c>
      <c r="G3138" t="s">
        <v>13</v>
      </c>
      <c r="H3138" s="7">
        <v>42320</v>
      </c>
      <c r="I3138">
        <v>26768.44</v>
      </c>
      <c r="K3138" s="7"/>
    </row>
    <row r="3139" spans="1:11">
      <c r="A3139">
        <v>200003138</v>
      </c>
      <c r="B3139" t="s">
        <v>254</v>
      </c>
      <c r="C3139" t="s">
        <v>266</v>
      </c>
      <c r="D3139" t="s">
        <v>11</v>
      </c>
      <c r="E3139" s="9">
        <v>41</v>
      </c>
      <c r="F3139" t="s">
        <v>32</v>
      </c>
      <c r="G3139" t="s">
        <v>18</v>
      </c>
      <c r="H3139" s="8">
        <v>42320</v>
      </c>
      <c r="I3139">
        <v>97626.31</v>
      </c>
      <c r="K3139" s="8"/>
    </row>
    <row r="3140" spans="1:11">
      <c r="A3140">
        <v>200003139</v>
      </c>
      <c r="B3140" t="s">
        <v>64</v>
      </c>
      <c r="C3140" t="s">
        <v>144</v>
      </c>
      <c r="D3140" t="s">
        <v>11</v>
      </c>
      <c r="E3140" s="9">
        <v>58</v>
      </c>
      <c r="F3140" t="s">
        <v>32</v>
      </c>
      <c r="G3140" t="s">
        <v>18</v>
      </c>
      <c r="H3140" s="7">
        <v>42320</v>
      </c>
      <c r="I3140">
        <v>10786.24</v>
      </c>
      <c r="K3140" s="7"/>
    </row>
    <row r="3141" spans="1:11">
      <c r="A3141">
        <v>200003140</v>
      </c>
      <c r="B3141" t="s">
        <v>129</v>
      </c>
      <c r="C3141" t="s">
        <v>269</v>
      </c>
      <c r="D3141" t="s">
        <v>11</v>
      </c>
      <c r="E3141" s="9">
        <v>32</v>
      </c>
      <c r="F3141" t="s">
        <v>32</v>
      </c>
      <c r="G3141" t="s">
        <v>18</v>
      </c>
      <c r="H3141" s="8">
        <v>42320</v>
      </c>
      <c r="I3141">
        <v>45810.04</v>
      </c>
      <c r="K3141" s="8"/>
    </row>
    <row r="3142" spans="1:11">
      <c r="A3142">
        <v>200003141</v>
      </c>
      <c r="B3142" t="s">
        <v>207</v>
      </c>
      <c r="C3142" t="s">
        <v>87</v>
      </c>
      <c r="D3142" t="s">
        <v>11</v>
      </c>
      <c r="E3142" s="9">
        <v>18</v>
      </c>
      <c r="F3142" t="s">
        <v>32</v>
      </c>
      <c r="G3142" t="s">
        <v>18</v>
      </c>
      <c r="H3142" s="7">
        <v>42320</v>
      </c>
      <c r="I3142">
        <v>25898.720000000001</v>
      </c>
      <c r="K3142" s="7"/>
    </row>
    <row r="3143" spans="1:11">
      <c r="A3143">
        <v>300003142</v>
      </c>
      <c r="B3143" t="s">
        <v>215</v>
      </c>
      <c r="C3143" t="s">
        <v>216</v>
      </c>
      <c r="D3143" t="s">
        <v>16</v>
      </c>
      <c r="E3143" s="9">
        <v>40</v>
      </c>
      <c r="F3143" t="s">
        <v>23</v>
      </c>
      <c r="G3143" t="s">
        <v>13</v>
      </c>
      <c r="H3143" s="8">
        <v>42320</v>
      </c>
      <c r="I3143">
        <v>19448.189999999999</v>
      </c>
      <c r="K3143" s="8"/>
    </row>
    <row r="3144" spans="1:11">
      <c r="A3144">
        <v>300003143</v>
      </c>
      <c r="B3144" t="s">
        <v>64</v>
      </c>
      <c r="C3144" t="s">
        <v>78</v>
      </c>
      <c r="D3144" t="s">
        <v>11</v>
      </c>
      <c r="E3144" s="9">
        <v>39</v>
      </c>
      <c r="F3144" t="s">
        <v>23</v>
      </c>
      <c r="G3144" t="s">
        <v>18</v>
      </c>
      <c r="H3144" s="7">
        <v>42320</v>
      </c>
      <c r="I3144">
        <v>48032.86</v>
      </c>
      <c r="K3144" s="7"/>
    </row>
    <row r="3145" spans="1:11">
      <c r="A3145">
        <v>300003144</v>
      </c>
      <c r="B3145" t="s">
        <v>129</v>
      </c>
      <c r="C3145" t="s">
        <v>127</v>
      </c>
      <c r="D3145" t="s">
        <v>11</v>
      </c>
      <c r="E3145" s="9">
        <v>41</v>
      </c>
      <c r="F3145" t="s">
        <v>23</v>
      </c>
      <c r="G3145" t="s">
        <v>13</v>
      </c>
      <c r="H3145" s="8">
        <v>42320</v>
      </c>
      <c r="I3145">
        <v>8176.98</v>
      </c>
      <c r="K3145" s="8"/>
    </row>
    <row r="3146" spans="1:11">
      <c r="A3146">
        <v>100003145</v>
      </c>
      <c r="B3146" t="s">
        <v>145</v>
      </c>
      <c r="C3146" t="s">
        <v>10</v>
      </c>
      <c r="D3146" t="s">
        <v>11</v>
      </c>
      <c r="E3146" s="9">
        <v>29</v>
      </c>
      <c r="F3146" t="s">
        <v>12</v>
      </c>
      <c r="G3146" t="s">
        <v>13</v>
      </c>
      <c r="H3146" s="7">
        <v>42321</v>
      </c>
      <c r="I3146">
        <v>20166.68</v>
      </c>
      <c r="K3146" s="7"/>
    </row>
    <row r="3147" spans="1:11">
      <c r="A3147">
        <v>100003146</v>
      </c>
      <c r="B3147" t="s">
        <v>173</v>
      </c>
      <c r="C3147" t="s">
        <v>167</v>
      </c>
      <c r="D3147" t="s">
        <v>11</v>
      </c>
      <c r="E3147" s="9">
        <v>44</v>
      </c>
      <c r="F3147" t="s">
        <v>12</v>
      </c>
      <c r="G3147" t="s">
        <v>13</v>
      </c>
      <c r="H3147" s="8">
        <v>42321</v>
      </c>
      <c r="I3147">
        <v>13179.89</v>
      </c>
      <c r="K3147" s="8"/>
    </row>
    <row r="3148" spans="1:11">
      <c r="A3148">
        <v>100003147</v>
      </c>
      <c r="B3148" t="s">
        <v>86</v>
      </c>
      <c r="C3148" t="s">
        <v>73</v>
      </c>
      <c r="D3148" t="s">
        <v>11</v>
      </c>
      <c r="E3148" s="9">
        <v>37</v>
      </c>
      <c r="F3148" t="s">
        <v>12</v>
      </c>
      <c r="G3148" t="s">
        <v>13</v>
      </c>
      <c r="H3148" s="7">
        <v>42321</v>
      </c>
      <c r="I3148">
        <v>59673.88</v>
      </c>
      <c r="K3148" s="7"/>
    </row>
    <row r="3149" spans="1:11">
      <c r="A3149">
        <v>100003148</v>
      </c>
      <c r="B3149" t="s">
        <v>194</v>
      </c>
      <c r="C3149" t="s">
        <v>54</v>
      </c>
      <c r="D3149" t="s">
        <v>16</v>
      </c>
      <c r="E3149" s="9">
        <v>32</v>
      </c>
      <c r="F3149" t="s">
        <v>12</v>
      </c>
      <c r="G3149" t="s">
        <v>13</v>
      </c>
      <c r="H3149" s="8">
        <v>42321</v>
      </c>
      <c r="I3149">
        <v>53274.83</v>
      </c>
      <c r="K3149" s="8"/>
    </row>
    <row r="3150" spans="1:11">
      <c r="A3150">
        <v>100003149</v>
      </c>
      <c r="B3150" t="s">
        <v>276</v>
      </c>
      <c r="C3150" t="s">
        <v>224</v>
      </c>
      <c r="D3150" t="s">
        <v>16</v>
      </c>
      <c r="E3150" s="9">
        <v>38</v>
      </c>
      <c r="F3150" t="s">
        <v>12</v>
      </c>
      <c r="G3150" t="s">
        <v>13</v>
      </c>
      <c r="H3150" s="7">
        <v>42321</v>
      </c>
      <c r="I3150">
        <v>1768.41</v>
      </c>
      <c r="K3150" s="7"/>
    </row>
    <row r="3151" spans="1:11">
      <c r="A3151">
        <v>100003150</v>
      </c>
      <c r="B3151" t="s">
        <v>263</v>
      </c>
      <c r="C3151" t="s">
        <v>272</v>
      </c>
      <c r="D3151" t="s">
        <v>16</v>
      </c>
      <c r="E3151" s="9">
        <v>32</v>
      </c>
      <c r="F3151" t="s">
        <v>12</v>
      </c>
      <c r="G3151" t="s">
        <v>13</v>
      </c>
      <c r="H3151" s="8">
        <v>42321</v>
      </c>
      <c r="I3151">
        <v>9287.6299999999992</v>
      </c>
      <c r="K3151" s="8"/>
    </row>
    <row r="3152" spans="1:11">
      <c r="A3152">
        <v>100003151</v>
      </c>
      <c r="B3152" t="s">
        <v>284</v>
      </c>
      <c r="C3152" t="s">
        <v>140</v>
      </c>
      <c r="D3152" t="s">
        <v>16</v>
      </c>
      <c r="E3152" s="9">
        <v>38</v>
      </c>
      <c r="F3152" t="s">
        <v>12</v>
      </c>
      <c r="G3152" t="s">
        <v>13</v>
      </c>
      <c r="H3152" s="7">
        <v>42321</v>
      </c>
      <c r="I3152">
        <v>66093.41</v>
      </c>
      <c r="K3152" s="7"/>
    </row>
    <row r="3153" spans="1:11">
      <c r="A3153">
        <v>200003152</v>
      </c>
      <c r="B3153" t="s">
        <v>51</v>
      </c>
      <c r="C3153" t="s">
        <v>269</v>
      </c>
      <c r="D3153" t="s">
        <v>11</v>
      </c>
      <c r="E3153" s="9">
        <v>51</v>
      </c>
      <c r="F3153" t="s">
        <v>32</v>
      </c>
      <c r="G3153" t="s">
        <v>33</v>
      </c>
      <c r="H3153" s="8">
        <v>42321</v>
      </c>
      <c r="I3153">
        <v>13547.12</v>
      </c>
      <c r="K3153" s="8"/>
    </row>
    <row r="3154" spans="1:11">
      <c r="A3154">
        <v>200003153</v>
      </c>
      <c r="B3154" t="s">
        <v>296</v>
      </c>
      <c r="C3154" t="s">
        <v>138</v>
      </c>
      <c r="D3154" t="s">
        <v>11</v>
      </c>
      <c r="E3154" s="9">
        <v>51</v>
      </c>
      <c r="F3154" t="s">
        <v>32</v>
      </c>
      <c r="G3154" t="s">
        <v>18</v>
      </c>
      <c r="H3154" s="7">
        <v>42321</v>
      </c>
      <c r="I3154">
        <v>109395.78</v>
      </c>
      <c r="K3154" s="7"/>
    </row>
    <row r="3155" spans="1:11">
      <c r="A3155">
        <v>200003154</v>
      </c>
      <c r="B3155" t="s">
        <v>137</v>
      </c>
      <c r="C3155" t="s">
        <v>275</v>
      </c>
      <c r="D3155" t="s">
        <v>11</v>
      </c>
      <c r="E3155" s="9">
        <v>49</v>
      </c>
      <c r="F3155" t="s">
        <v>32</v>
      </c>
      <c r="G3155" t="s">
        <v>33</v>
      </c>
      <c r="H3155" s="8">
        <v>42321</v>
      </c>
      <c r="I3155">
        <v>45629.65</v>
      </c>
      <c r="K3155" s="8"/>
    </row>
    <row r="3156" spans="1:11">
      <c r="A3156">
        <v>200003155</v>
      </c>
      <c r="B3156" t="s">
        <v>192</v>
      </c>
      <c r="C3156" t="s">
        <v>54</v>
      </c>
      <c r="D3156" t="s">
        <v>16</v>
      </c>
      <c r="E3156" s="9">
        <v>56</v>
      </c>
      <c r="F3156" t="s">
        <v>32</v>
      </c>
      <c r="G3156" t="s">
        <v>33</v>
      </c>
      <c r="H3156" s="7">
        <v>42321</v>
      </c>
      <c r="I3156">
        <v>11863.42</v>
      </c>
      <c r="K3156" s="7"/>
    </row>
    <row r="3157" spans="1:11">
      <c r="A3157">
        <v>300003156</v>
      </c>
      <c r="B3157" t="s">
        <v>101</v>
      </c>
      <c r="C3157" t="s">
        <v>125</v>
      </c>
      <c r="D3157" t="s">
        <v>11</v>
      </c>
      <c r="E3157" s="9">
        <v>42</v>
      </c>
      <c r="F3157" t="s">
        <v>23</v>
      </c>
      <c r="G3157" t="s">
        <v>13</v>
      </c>
      <c r="H3157" s="8">
        <v>42321</v>
      </c>
      <c r="I3157">
        <v>45546.49</v>
      </c>
      <c r="K3157" s="8"/>
    </row>
    <row r="3158" spans="1:11">
      <c r="A3158">
        <v>300003157</v>
      </c>
      <c r="B3158" t="s">
        <v>137</v>
      </c>
      <c r="C3158" t="s">
        <v>225</v>
      </c>
      <c r="D3158" t="s">
        <v>11</v>
      </c>
      <c r="E3158" s="9">
        <v>35</v>
      </c>
      <c r="F3158" t="s">
        <v>23</v>
      </c>
      <c r="G3158" t="s">
        <v>13</v>
      </c>
      <c r="H3158" s="7">
        <v>42321</v>
      </c>
      <c r="I3158">
        <v>7139.62</v>
      </c>
      <c r="K3158" s="7"/>
    </row>
    <row r="3159" spans="1:11">
      <c r="A3159">
        <v>300003158</v>
      </c>
      <c r="B3159" t="s">
        <v>139</v>
      </c>
      <c r="C3159" t="s">
        <v>129</v>
      </c>
      <c r="D3159" t="s">
        <v>16</v>
      </c>
      <c r="E3159" s="9">
        <v>42</v>
      </c>
      <c r="F3159" t="s">
        <v>23</v>
      </c>
      <c r="G3159" t="s">
        <v>18</v>
      </c>
      <c r="H3159" s="8">
        <v>42321</v>
      </c>
      <c r="I3159">
        <v>24238.89</v>
      </c>
      <c r="K3159" s="8"/>
    </row>
    <row r="3160" spans="1:11">
      <c r="A3160">
        <v>100003159</v>
      </c>
      <c r="B3160" t="s">
        <v>232</v>
      </c>
      <c r="C3160" t="s">
        <v>134</v>
      </c>
      <c r="D3160" t="s">
        <v>16</v>
      </c>
      <c r="E3160" s="9">
        <v>27</v>
      </c>
      <c r="F3160" t="s">
        <v>12</v>
      </c>
      <c r="G3160" t="s">
        <v>13</v>
      </c>
      <c r="H3160" s="7">
        <v>42322</v>
      </c>
      <c r="I3160">
        <v>73722.880000000005</v>
      </c>
      <c r="K3160" s="7"/>
    </row>
    <row r="3161" spans="1:11">
      <c r="A3161">
        <v>100003160</v>
      </c>
      <c r="B3161" t="s">
        <v>308</v>
      </c>
      <c r="C3161" t="s">
        <v>85</v>
      </c>
      <c r="D3161" t="s">
        <v>16</v>
      </c>
      <c r="E3161" s="9">
        <v>33</v>
      </c>
      <c r="F3161" t="s">
        <v>12</v>
      </c>
      <c r="G3161" t="s">
        <v>13</v>
      </c>
      <c r="H3161" s="8">
        <v>42322</v>
      </c>
      <c r="I3161">
        <v>21875.7</v>
      </c>
      <c r="K3161" s="8"/>
    </row>
    <row r="3162" spans="1:11">
      <c r="A3162">
        <v>100003161</v>
      </c>
      <c r="B3162" t="s">
        <v>103</v>
      </c>
      <c r="C3162" t="s">
        <v>285</v>
      </c>
      <c r="D3162" t="s">
        <v>11</v>
      </c>
      <c r="E3162" s="9">
        <v>44</v>
      </c>
      <c r="F3162" t="s">
        <v>12</v>
      </c>
      <c r="G3162" t="s">
        <v>13</v>
      </c>
      <c r="H3162" s="7">
        <v>42322</v>
      </c>
      <c r="I3162">
        <v>3790.23</v>
      </c>
      <c r="K3162" s="7"/>
    </row>
    <row r="3163" spans="1:11">
      <c r="A3163">
        <v>100003162</v>
      </c>
      <c r="B3163" t="s">
        <v>192</v>
      </c>
      <c r="C3163" t="s">
        <v>285</v>
      </c>
      <c r="D3163" t="s">
        <v>16</v>
      </c>
      <c r="E3163" s="9">
        <v>29</v>
      </c>
      <c r="F3163" t="s">
        <v>12</v>
      </c>
      <c r="G3163" t="s">
        <v>13</v>
      </c>
      <c r="H3163" s="8">
        <v>42322</v>
      </c>
      <c r="I3163">
        <v>23159.95</v>
      </c>
      <c r="K3163" s="8"/>
    </row>
    <row r="3164" spans="1:11">
      <c r="A3164">
        <v>100003163</v>
      </c>
      <c r="B3164" t="s">
        <v>249</v>
      </c>
      <c r="C3164" t="s">
        <v>136</v>
      </c>
      <c r="D3164" t="s">
        <v>16</v>
      </c>
      <c r="E3164" s="9">
        <v>23</v>
      </c>
      <c r="F3164" t="s">
        <v>12</v>
      </c>
      <c r="G3164" t="s">
        <v>13</v>
      </c>
      <c r="H3164" s="7">
        <v>42322</v>
      </c>
      <c r="I3164">
        <v>23220.99</v>
      </c>
      <c r="K3164" s="7"/>
    </row>
    <row r="3165" spans="1:11">
      <c r="A3165">
        <v>100003164</v>
      </c>
      <c r="B3165" t="s">
        <v>184</v>
      </c>
      <c r="C3165" t="s">
        <v>95</v>
      </c>
      <c r="D3165" t="s">
        <v>16</v>
      </c>
      <c r="E3165" s="9">
        <v>37</v>
      </c>
      <c r="F3165" t="s">
        <v>12</v>
      </c>
      <c r="G3165" t="s">
        <v>13</v>
      </c>
      <c r="H3165" s="8">
        <v>42322</v>
      </c>
      <c r="I3165">
        <v>27784.27</v>
      </c>
      <c r="K3165" s="8"/>
    </row>
    <row r="3166" spans="1:11">
      <c r="A3166">
        <v>100003165</v>
      </c>
      <c r="B3166" t="s">
        <v>19</v>
      </c>
      <c r="C3166" t="s">
        <v>313</v>
      </c>
      <c r="D3166" t="s">
        <v>11</v>
      </c>
      <c r="E3166" s="9">
        <v>31</v>
      </c>
      <c r="F3166" t="s">
        <v>12</v>
      </c>
      <c r="G3166" t="s">
        <v>13</v>
      </c>
      <c r="H3166" s="7">
        <v>42322</v>
      </c>
      <c r="I3166">
        <v>10377.129999999999</v>
      </c>
      <c r="K3166" s="7"/>
    </row>
    <row r="3167" spans="1:11">
      <c r="A3167">
        <v>100003166</v>
      </c>
      <c r="B3167" t="s">
        <v>81</v>
      </c>
      <c r="C3167" t="s">
        <v>219</v>
      </c>
      <c r="D3167" t="s">
        <v>16</v>
      </c>
      <c r="E3167" s="9">
        <v>25</v>
      </c>
      <c r="F3167" t="s">
        <v>12</v>
      </c>
      <c r="G3167" t="s">
        <v>33</v>
      </c>
      <c r="H3167" s="8">
        <v>42322</v>
      </c>
      <c r="I3167">
        <v>12589.45</v>
      </c>
      <c r="K3167" s="8"/>
    </row>
    <row r="3168" spans="1:11">
      <c r="A3168">
        <v>100003167</v>
      </c>
      <c r="B3168" t="s">
        <v>101</v>
      </c>
      <c r="C3168" t="s">
        <v>167</v>
      </c>
      <c r="D3168" t="s">
        <v>11</v>
      </c>
      <c r="E3168" s="9">
        <v>41</v>
      </c>
      <c r="F3168" t="s">
        <v>12</v>
      </c>
      <c r="G3168" t="s">
        <v>33</v>
      </c>
      <c r="H3168" s="7">
        <v>42322</v>
      </c>
      <c r="I3168">
        <v>4111.42</v>
      </c>
      <c r="K3168" s="7"/>
    </row>
    <row r="3169" spans="1:11">
      <c r="A3169">
        <v>100003168</v>
      </c>
      <c r="B3169" t="s">
        <v>199</v>
      </c>
      <c r="C3169" t="s">
        <v>69</v>
      </c>
      <c r="D3169" t="s">
        <v>11</v>
      </c>
      <c r="E3169" s="9">
        <v>40</v>
      </c>
      <c r="F3169" t="s">
        <v>12</v>
      </c>
      <c r="G3169" t="s">
        <v>13</v>
      </c>
      <c r="H3169" s="8">
        <v>42322</v>
      </c>
      <c r="I3169">
        <v>49490.49</v>
      </c>
      <c r="K3169" s="8"/>
    </row>
    <row r="3170" spans="1:11">
      <c r="A3170">
        <v>100003169</v>
      </c>
      <c r="B3170" t="s">
        <v>28</v>
      </c>
      <c r="C3170" t="s">
        <v>241</v>
      </c>
      <c r="D3170" t="s">
        <v>16</v>
      </c>
      <c r="E3170" s="9">
        <v>35</v>
      </c>
      <c r="F3170" t="s">
        <v>12</v>
      </c>
      <c r="G3170" t="s">
        <v>18</v>
      </c>
      <c r="H3170" s="7">
        <v>42322</v>
      </c>
      <c r="I3170">
        <v>3673.79</v>
      </c>
      <c r="K3170" s="7"/>
    </row>
    <row r="3171" spans="1:11">
      <c r="A3171">
        <v>100003170</v>
      </c>
      <c r="B3171" t="s">
        <v>165</v>
      </c>
      <c r="C3171" t="s">
        <v>107</v>
      </c>
      <c r="D3171" t="s">
        <v>16</v>
      </c>
      <c r="E3171" s="9">
        <v>41</v>
      </c>
      <c r="F3171" t="s">
        <v>12</v>
      </c>
      <c r="G3171" t="s">
        <v>13</v>
      </c>
      <c r="H3171" s="8">
        <v>42322</v>
      </c>
      <c r="I3171">
        <v>20793.41</v>
      </c>
      <c r="K3171" s="8"/>
    </row>
    <row r="3172" spans="1:11">
      <c r="A3172">
        <v>100003171</v>
      </c>
      <c r="B3172" t="s">
        <v>214</v>
      </c>
      <c r="C3172" t="s">
        <v>253</v>
      </c>
      <c r="D3172" t="s">
        <v>11</v>
      </c>
      <c r="E3172" s="9">
        <v>25</v>
      </c>
      <c r="F3172" t="s">
        <v>12</v>
      </c>
      <c r="G3172" t="s">
        <v>13</v>
      </c>
      <c r="H3172" s="7">
        <v>42322</v>
      </c>
      <c r="I3172">
        <v>18053.11</v>
      </c>
      <c r="K3172" s="7"/>
    </row>
    <row r="3173" spans="1:11">
      <c r="A3173">
        <v>100003172</v>
      </c>
      <c r="B3173" t="s">
        <v>174</v>
      </c>
      <c r="C3173" t="s">
        <v>151</v>
      </c>
      <c r="D3173" t="s">
        <v>11</v>
      </c>
      <c r="E3173" s="9">
        <v>43</v>
      </c>
      <c r="F3173" t="s">
        <v>12</v>
      </c>
      <c r="G3173" t="s">
        <v>18</v>
      </c>
      <c r="H3173" s="8">
        <v>42322</v>
      </c>
      <c r="I3173">
        <v>4808.93</v>
      </c>
      <c r="K3173" s="8"/>
    </row>
    <row r="3174" spans="1:11">
      <c r="A3174">
        <v>100003173</v>
      </c>
      <c r="B3174" t="s">
        <v>303</v>
      </c>
      <c r="C3174" t="s">
        <v>85</v>
      </c>
      <c r="D3174" t="s">
        <v>11</v>
      </c>
      <c r="E3174" s="9">
        <v>39</v>
      </c>
      <c r="F3174" t="s">
        <v>12</v>
      </c>
      <c r="G3174" t="s">
        <v>18</v>
      </c>
      <c r="H3174" s="7">
        <v>42322</v>
      </c>
      <c r="I3174">
        <v>3436.77</v>
      </c>
      <c r="K3174" s="7"/>
    </row>
    <row r="3175" spans="1:11">
      <c r="A3175">
        <v>100003174</v>
      </c>
      <c r="B3175" t="s">
        <v>303</v>
      </c>
      <c r="C3175" t="s">
        <v>100</v>
      </c>
      <c r="D3175" t="s">
        <v>11</v>
      </c>
      <c r="E3175" s="9">
        <v>36</v>
      </c>
      <c r="F3175" t="s">
        <v>12</v>
      </c>
      <c r="G3175" t="s">
        <v>13</v>
      </c>
      <c r="H3175" s="8">
        <v>42322</v>
      </c>
      <c r="I3175">
        <v>8060.05</v>
      </c>
      <c r="K3175" s="8"/>
    </row>
    <row r="3176" spans="1:11">
      <c r="A3176">
        <v>100003175</v>
      </c>
      <c r="B3176" t="s">
        <v>293</v>
      </c>
      <c r="C3176" t="s">
        <v>85</v>
      </c>
      <c r="D3176" t="s">
        <v>11</v>
      </c>
      <c r="E3176" s="9">
        <v>32</v>
      </c>
      <c r="F3176" t="s">
        <v>12</v>
      </c>
      <c r="G3176" t="s">
        <v>18</v>
      </c>
      <c r="H3176" s="7">
        <v>42322</v>
      </c>
      <c r="I3176">
        <v>27316.09</v>
      </c>
      <c r="K3176" s="7"/>
    </row>
    <row r="3177" spans="1:11">
      <c r="A3177">
        <v>200003176</v>
      </c>
      <c r="B3177" t="s">
        <v>228</v>
      </c>
      <c r="C3177" t="s">
        <v>189</v>
      </c>
      <c r="D3177" t="s">
        <v>11</v>
      </c>
      <c r="E3177" s="9">
        <v>52</v>
      </c>
      <c r="F3177" t="s">
        <v>32</v>
      </c>
      <c r="G3177" t="s">
        <v>33</v>
      </c>
      <c r="H3177" s="8">
        <v>42322</v>
      </c>
      <c r="I3177">
        <v>111036.92</v>
      </c>
      <c r="K3177" s="8"/>
    </row>
    <row r="3178" spans="1:11">
      <c r="A3178">
        <v>200003177</v>
      </c>
      <c r="B3178" t="s">
        <v>154</v>
      </c>
      <c r="C3178" t="s">
        <v>114</v>
      </c>
      <c r="D3178" t="s">
        <v>16</v>
      </c>
      <c r="E3178" s="9">
        <v>55</v>
      </c>
      <c r="F3178" t="s">
        <v>32</v>
      </c>
      <c r="G3178" t="s">
        <v>33</v>
      </c>
      <c r="H3178" s="7">
        <v>42322</v>
      </c>
      <c r="I3178">
        <v>7365.5</v>
      </c>
      <c r="K3178" s="7"/>
    </row>
    <row r="3179" spans="1:11">
      <c r="A3179">
        <v>200003178</v>
      </c>
      <c r="B3179" t="s">
        <v>53</v>
      </c>
      <c r="C3179" t="s">
        <v>63</v>
      </c>
      <c r="D3179" t="s">
        <v>16</v>
      </c>
      <c r="E3179" s="9">
        <v>55</v>
      </c>
      <c r="F3179" t="s">
        <v>32</v>
      </c>
      <c r="G3179" t="s">
        <v>33</v>
      </c>
      <c r="H3179" s="8">
        <v>42322</v>
      </c>
      <c r="I3179">
        <v>18705.830000000002</v>
      </c>
      <c r="K3179" s="8"/>
    </row>
    <row r="3180" spans="1:11">
      <c r="A3180">
        <v>200003179</v>
      </c>
      <c r="B3180" t="s">
        <v>107</v>
      </c>
      <c r="C3180" t="s">
        <v>54</v>
      </c>
      <c r="D3180" t="s">
        <v>11</v>
      </c>
      <c r="E3180" s="9">
        <v>51</v>
      </c>
      <c r="F3180" t="s">
        <v>32</v>
      </c>
      <c r="G3180" t="s">
        <v>18</v>
      </c>
      <c r="H3180" s="7">
        <v>42322</v>
      </c>
      <c r="I3180">
        <v>29247.25</v>
      </c>
      <c r="K3180" s="7"/>
    </row>
    <row r="3181" spans="1:11">
      <c r="A3181">
        <v>200003180</v>
      </c>
      <c r="B3181" t="s">
        <v>190</v>
      </c>
      <c r="C3181" t="s">
        <v>187</v>
      </c>
      <c r="D3181" t="s">
        <v>11</v>
      </c>
      <c r="E3181" s="9">
        <v>49</v>
      </c>
      <c r="F3181" t="s">
        <v>32</v>
      </c>
      <c r="G3181" t="s">
        <v>33</v>
      </c>
      <c r="H3181" s="8">
        <v>42322</v>
      </c>
      <c r="I3181">
        <v>6881.74</v>
      </c>
      <c r="K3181" s="8"/>
    </row>
    <row r="3182" spans="1:11">
      <c r="A3182">
        <v>200003181</v>
      </c>
      <c r="B3182" t="s">
        <v>76</v>
      </c>
      <c r="C3182" t="s">
        <v>277</v>
      </c>
      <c r="D3182" t="s">
        <v>11</v>
      </c>
      <c r="E3182" s="9">
        <v>58</v>
      </c>
      <c r="F3182" t="s">
        <v>32</v>
      </c>
      <c r="G3182" t="s">
        <v>18</v>
      </c>
      <c r="H3182" s="7">
        <v>42322</v>
      </c>
      <c r="I3182">
        <v>65497.14</v>
      </c>
      <c r="K3182" s="7"/>
    </row>
    <row r="3183" spans="1:11">
      <c r="A3183">
        <v>200003182</v>
      </c>
      <c r="B3183" t="s">
        <v>111</v>
      </c>
      <c r="C3183" t="s">
        <v>222</v>
      </c>
      <c r="D3183" t="s">
        <v>11</v>
      </c>
      <c r="E3183" s="9">
        <v>49</v>
      </c>
      <c r="F3183" t="s">
        <v>32</v>
      </c>
      <c r="G3183" t="s">
        <v>33</v>
      </c>
      <c r="H3183" s="8">
        <v>42322</v>
      </c>
      <c r="I3183">
        <v>45545.02</v>
      </c>
      <c r="K3183" s="8"/>
    </row>
    <row r="3184" spans="1:11">
      <c r="A3184">
        <v>200003183</v>
      </c>
      <c r="B3184" t="s">
        <v>150</v>
      </c>
      <c r="C3184" t="s">
        <v>94</v>
      </c>
      <c r="D3184" t="s">
        <v>16</v>
      </c>
      <c r="E3184" s="9">
        <v>30</v>
      </c>
      <c r="F3184" t="s">
        <v>32</v>
      </c>
      <c r="G3184" t="s">
        <v>33</v>
      </c>
      <c r="H3184" s="7">
        <v>42322</v>
      </c>
      <c r="I3184">
        <v>31311.45</v>
      </c>
      <c r="K3184" s="7"/>
    </row>
    <row r="3185" spans="1:11">
      <c r="A3185">
        <v>200003184</v>
      </c>
      <c r="B3185" t="s">
        <v>308</v>
      </c>
      <c r="C3185" t="s">
        <v>114</v>
      </c>
      <c r="D3185" t="s">
        <v>16</v>
      </c>
      <c r="E3185" s="9">
        <v>48</v>
      </c>
      <c r="F3185" t="s">
        <v>32</v>
      </c>
      <c r="G3185" t="s">
        <v>33</v>
      </c>
      <c r="H3185" s="8">
        <v>42322</v>
      </c>
      <c r="I3185">
        <v>9758.08</v>
      </c>
      <c r="K3185" s="8"/>
    </row>
    <row r="3186" spans="1:11">
      <c r="A3186">
        <v>300003185</v>
      </c>
      <c r="B3186" t="s">
        <v>111</v>
      </c>
      <c r="C3186" t="s">
        <v>82</v>
      </c>
      <c r="D3186" t="s">
        <v>11</v>
      </c>
      <c r="E3186" s="9">
        <v>39</v>
      </c>
      <c r="F3186" t="s">
        <v>23</v>
      </c>
      <c r="G3186" t="s">
        <v>13</v>
      </c>
      <c r="H3186" s="7">
        <v>42322</v>
      </c>
      <c r="I3186">
        <v>144607.38</v>
      </c>
      <c r="K3186" s="7"/>
    </row>
    <row r="3187" spans="1:11">
      <c r="A3187">
        <v>300003186</v>
      </c>
      <c r="B3187" t="s">
        <v>207</v>
      </c>
      <c r="C3187" t="s">
        <v>39</v>
      </c>
      <c r="D3187" t="s">
        <v>11</v>
      </c>
      <c r="E3187" s="9">
        <v>27</v>
      </c>
      <c r="F3187" t="s">
        <v>23</v>
      </c>
      <c r="G3187" t="s">
        <v>13</v>
      </c>
      <c r="H3187" s="8">
        <v>42322</v>
      </c>
      <c r="I3187">
        <v>15126.82</v>
      </c>
      <c r="K3187" s="8"/>
    </row>
    <row r="3188" spans="1:11">
      <c r="A3188">
        <v>300003187</v>
      </c>
      <c r="B3188" t="s">
        <v>99</v>
      </c>
      <c r="C3188" t="s">
        <v>203</v>
      </c>
      <c r="D3188" t="s">
        <v>16</v>
      </c>
      <c r="E3188" s="9">
        <v>31</v>
      </c>
      <c r="F3188" t="s">
        <v>23</v>
      </c>
      <c r="G3188" t="s">
        <v>33</v>
      </c>
      <c r="H3188" s="7">
        <v>42322</v>
      </c>
      <c r="I3188">
        <v>23095.68</v>
      </c>
      <c r="K3188" s="7"/>
    </row>
    <row r="3189" spans="1:11">
      <c r="A3189">
        <v>300003188</v>
      </c>
      <c r="B3189" t="s">
        <v>135</v>
      </c>
      <c r="C3189" t="s">
        <v>156</v>
      </c>
      <c r="D3189" t="s">
        <v>11</v>
      </c>
      <c r="E3189" s="9">
        <v>47</v>
      </c>
      <c r="F3189" t="s">
        <v>23</v>
      </c>
      <c r="G3189" t="s">
        <v>18</v>
      </c>
      <c r="H3189" s="8">
        <v>42322</v>
      </c>
      <c r="I3189">
        <v>97201.55</v>
      </c>
      <c r="K3189" s="8"/>
    </row>
    <row r="3190" spans="1:11">
      <c r="A3190">
        <v>100003189</v>
      </c>
      <c r="B3190" t="s">
        <v>64</v>
      </c>
      <c r="C3190" t="s">
        <v>291</v>
      </c>
      <c r="D3190" t="s">
        <v>11</v>
      </c>
      <c r="E3190" s="9">
        <v>48</v>
      </c>
      <c r="F3190" t="s">
        <v>12</v>
      </c>
      <c r="G3190" t="s">
        <v>13</v>
      </c>
      <c r="H3190" s="7">
        <v>42323</v>
      </c>
      <c r="I3190">
        <v>4098.82</v>
      </c>
      <c r="K3190" s="7"/>
    </row>
    <row r="3191" spans="1:11">
      <c r="A3191">
        <v>100003190</v>
      </c>
      <c r="B3191" t="s">
        <v>184</v>
      </c>
      <c r="C3191" t="s">
        <v>155</v>
      </c>
      <c r="D3191" t="s">
        <v>16</v>
      </c>
      <c r="E3191" s="9">
        <v>44</v>
      </c>
      <c r="F3191" t="s">
        <v>12</v>
      </c>
      <c r="G3191" t="s">
        <v>13</v>
      </c>
      <c r="H3191" s="8">
        <v>42323</v>
      </c>
      <c r="I3191">
        <v>9777.9</v>
      </c>
      <c r="K3191" s="8"/>
    </row>
    <row r="3192" spans="1:11">
      <c r="A3192">
        <v>100003191</v>
      </c>
      <c r="B3192" t="s">
        <v>218</v>
      </c>
      <c r="C3192" t="s">
        <v>153</v>
      </c>
      <c r="D3192" t="s">
        <v>11</v>
      </c>
      <c r="E3192" s="9">
        <v>31</v>
      </c>
      <c r="F3192" t="s">
        <v>12</v>
      </c>
      <c r="G3192" t="s">
        <v>33</v>
      </c>
      <c r="H3192" s="7">
        <v>42323</v>
      </c>
      <c r="I3192">
        <v>5478.06</v>
      </c>
      <c r="K3192" s="7"/>
    </row>
    <row r="3193" spans="1:11">
      <c r="A3193">
        <v>100003192</v>
      </c>
      <c r="B3193" t="s">
        <v>206</v>
      </c>
      <c r="C3193" t="s">
        <v>282</v>
      </c>
      <c r="D3193" t="s">
        <v>11</v>
      </c>
      <c r="E3193" s="9">
        <v>27</v>
      </c>
      <c r="F3193" t="s">
        <v>12</v>
      </c>
      <c r="G3193" t="s">
        <v>13</v>
      </c>
      <c r="H3193" s="8">
        <v>42323</v>
      </c>
      <c r="I3193">
        <v>10183.23</v>
      </c>
      <c r="K3193" s="8"/>
    </row>
    <row r="3194" spans="1:11">
      <c r="A3194">
        <v>100003193</v>
      </c>
      <c r="B3194" t="s">
        <v>176</v>
      </c>
      <c r="C3194" t="s">
        <v>27</v>
      </c>
      <c r="D3194" t="s">
        <v>16</v>
      </c>
      <c r="E3194" s="9">
        <v>36</v>
      </c>
      <c r="F3194" t="s">
        <v>12</v>
      </c>
      <c r="G3194" t="s">
        <v>18</v>
      </c>
      <c r="H3194" s="7">
        <v>42323</v>
      </c>
      <c r="I3194">
        <v>18925.43</v>
      </c>
      <c r="K3194" s="7"/>
    </row>
    <row r="3195" spans="1:11">
      <c r="A3195">
        <v>100003194</v>
      </c>
      <c r="B3195" t="s">
        <v>207</v>
      </c>
      <c r="C3195" t="s">
        <v>233</v>
      </c>
      <c r="D3195" t="s">
        <v>11</v>
      </c>
      <c r="E3195" s="9">
        <v>29</v>
      </c>
      <c r="F3195" t="s">
        <v>12</v>
      </c>
      <c r="G3195" t="s">
        <v>13</v>
      </c>
      <c r="H3195" s="8">
        <v>42323</v>
      </c>
      <c r="I3195">
        <v>57228.34</v>
      </c>
      <c r="K3195" s="8"/>
    </row>
    <row r="3196" spans="1:11">
      <c r="A3196">
        <v>100003195</v>
      </c>
      <c r="B3196" t="s">
        <v>83</v>
      </c>
      <c r="C3196" t="s">
        <v>260</v>
      </c>
      <c r="D3196" t="s">
        <v>16</v>
      </c>
      <c r="E3196" s="9">
        <v>35</v>
      </c>
      <c r="F3196" t="s">
        <v>12</v>
      </c>
      <c r="G3196" t="s">
        <v>13</v>
      </c>
      <c r="H3196" s="7">
        <v>42323</v>
      </c>
      <c r="I3196">
        <v>31376.37</v>
      </c>
      <c r="K3196" s="7"/>
    </row>
    <row r="3197" spans="1:11">
      <c r="A3197">
        <v>100003196</v>
      </c>
      <c r="B3197" t="s">
        <v>303</v>
      </c>
      <c r="C3197" t="s">
        <v>306</v>
      </c>
      <c r="D3197" t="s">
        <v>11</v>
      </c>
      <c r="E3197" s="9">
        <v>28</v>
      </c>
      <c r="F3197" t="s">
        <v>12</v>
      </c>
      <c r="G3197" t="s">
        <v>33</v>
      </c>
      <c r="H3197" s="8">
        <v>42323</v>
      </c>
      <c r="I3197">
        <v>13468.66</v>
      </c>
      <c r="K3197" s="8"/>
    </row>
    <row r="3198" spans="1:11">
      <c r="A3198">
        <v>100003197</v>
      </c>
      <c r="B3198" t="s">
        <v>226</v>
      </c>
      <c r="C3198" t="s">
        <v>116</v>
      </c>
      <c r="D3198" t="s">
        <v>16</v>
      </c>
      <c r="E3198" s="9">
        <v>31</v>
      </c>
      <c r="F3198" t="s">
        <v>12</v>
      </c>
      <c r="G3198" t="s">
        <v>13</v>
      </c>
      <c r="H3198" s="7">
        <v>42323</v>
      </c>
      <c r="I3198">
        <v>42662.04</v>
      </c>
      <c r="K3198" s="7"/>
    </row>
    <row r="3199" spans="1:11">
      <c r="A3199">
        <v>100003198</v>
      </c>
      <c r="B3199" t="s">
        <v>188</v>
      </c>
      <c r="C3199" t="s">
        <v>183</v>
      </c>
      <c r="D3199" t="s">
        <v>11</v>
      </c>
      <c r="E3199" s="9">
        <v>29</v>
      </c>
      <c r="F3199" t="s">
        <v>12</v>
      </c>
      <c r="G3199" t="s">
        <v>33</v>
      </c>
      <c r="H3199" s="8">
        <v>42323</v>
      </c>
      <c r="I3199">
        <v>36086.9</v>
      </c>
      <c r="K3199" s="8"/>
    </row>
    <row r="3200" spans="1:11">
      <c r="A3200">
        <v>100003199</v>
      </c>
      <c r="B3200" t="s">
        <v>72</v>
      </c>
      <c r="C3200" t="s">
        <v>103</v>
      </c>
      <c r="D3200" t="s">
        <v>11</v>
      </c>
      <c r="E3200" s="9">
        <v>32</v>
      </c>
      <c r="F3200" t="s">
        <v>12</v>
      </c>
      <c r="G3200" t="s">
        <v>13</v>
      </c>
      <c r="H3200" s="7">
        <v>42323</v>
      </c>
      <c r="I3200">
        <v>12954.98</v>
      </c>
      <c r="K3200" s="7"/>
    </row>
    <row r="3201" spans="1:11">
      <c r="A3201">
        <v>300003200</v>
      </c>
      <c r="B3201" t="s">
        <v>79</v>
      </c>
      <c r="C3201" t="s">
        <v>47</v>
      </c>
      <c r="D3201" t="s">
        <v>11</v>
      </c>
      <c r="E3201" s="9">
        <v>37</v>
      </c>
      <c r="F3201" t="s">
        <v>23</v>
      </c>
      <c r="G3201" t="s">
        <v>13</v>
      </c>
      <c r="H3201" s="8">
        <v>42323</v>
      </c>
      <c r="I3201">
        <v>59494.69</v>
      </c>
      <c r="K3201" s="8"/>
    </row>
    <row r="3202" spans="1:11">
      <c r="A3202">
        <v>300003201</v>
      </c>
      <c r="B3202" t="s">
        <v>119</v>
      </c>
      <c r="C3202" t="s">
        <v>153</v>
      </c>
      <c r="D3202" t="s">
        <v>16</v>
      </c>
      <c r="E3202" s="9">
        <v>26</v>
      </c>
      <c r="F3202" t="s">
        <v>23</v>
      </c>
      <c r="G3202" t="s">
        <v>13</v>
      </c>
      <c r="H3202" s="7">
        <v>42323</v>
      </c>
      <c r="I3202">
        <v>133683.93</v>
      </c>
      <c r="K3202" s="7"/>
    </row>
    <row r="3203" spans="1:11">
      <c r="A3203">
        <v>100003202</v>
      </c>
      <c r="B3203" t="s">
        <v>309</v>
      </c>
      <c r="C3203" t="s">
        <v>10</v>
      </c>
      <c r="D3203" t="s">
        <v>16</v>
      </c>
      <c r="E3203" s="9">
        <v>40</v>
      </c>
      <c r="F3203" t="s">
        <v>12</v>
      </c>
      <c r="G3203" t="s">
        <v>13</v>
      </c>
      <c r="H3203" s="8">
        <v>42324</v>
      </c>
      <c r="I3203">
        <v>32051.33</v>
      </c>
      <c r="K3203" s="8"/>
    </row>
    <row r="3204" spans="1:11">
      <c r="A3204">
        <v>100003203</v>
      </c>
      <c r="B3204" t="s">
        <v>111</v>
      </c>
      <c r="C3204" t="s">
        <v>35</v>
      </c>
      <c r="D3204" t="s">
        <v>11</v>
      </c>
      <c r="E3204" s="9">
        <v>37</v>
      </c>
      <c r="F3204" t="s">
        <v>12</v>
      </c>
      <c r="G3204" t="s">
        <v>13</v>
      </c>
      <c r="H3204" s="7">
        <v>42324</v>
      </c>
      <c r="I3204">
        <v>4269.3100000000004</v>
      </c>
      <c r="K3204" s="7"/>
    </row>
    <row r="3205" spans="1:11">
      <c r="A3205">
        <v>100003204</v>
      </c>
      <c r="B3205" t="s">
        <v>111</v>
      </c>
      <c r="C3205" t="s">
        <v>47</v>
      </c>
      <c r="D3205" t="s">
        <v>11</v>
      </c>
      <c r="E3205" s="9">
        <v>29</v>
      </c>
      <c r="F3205" t="s">
        <v>12</v>
      </c>
      <c r="G3205" t="s">
        <v>18</v>
      </c>
      <c r="H3205" s="8">
        <v>42324</v>
      </c>
      <c r="I3205">
        <v>37027.410000000003</v>
      </c>
      <c r="K3205" s="8"/>
    </row>
    <row r="3206" spans="1:11">
      <c r="A3206">
        <v>100003205</v>
      </c>
      <c r="B3206" t="s">
        <v>36</v>
      </c>
      <c r="C3206" t="s">
        <v>241</v>
      </c>
      <c r="D3206" t="s">
        <v>11</v>
      </c>
      <c r="E3206" s="9">
        <v>40</v>
      </c>
      <c r="F3206" t="s">
        <v>12</v>
      </c>
      <c r="G3206" t="s">
        <v>13</v>
      </c>
      <c r="H3206" s="7">
        <v>42324</v>
      </c>
      <c r="I3206">
        <v>55771.08</v>
      </c>
      <c r="K3206" s="7"/>
    </row>
    <row r="3207" spans="1:11">
      <c r="A3207">
        <v>100003206</v>
      </c>
      <c r="B3207" t="s">
        <v>215</v>
      </c>
      <c r="C3207" t="s">
        <v>22</v>
      </c>
      <c r="D3207" t="s">
        <v>16</v>
      </c>
      <c r="E3207" s="9">
        <v>35</v>
      </c>
      <c r="F3207" t="s">
        <v>12</v>
      </c>
      <c r="G3207" t="s">
        <v>13</v>
      </c>
      <c r="H3207" s="8">
        <v>42324</v>
      </c>
      <c r="I3207">
        <v>8196.9</v>
      </c>
      <c r="K3207" s="8"/>
    </row>
    <row r="3208" spans="1:11">
      <c r="A3208">
        <v>100003207</v>
      </c>
      <c r="B3208" t="s">
        <v>244</v>
      </c>
      <c r="C3208" t="s">
        <v>203</v>
      </c>
      <c r="D3208" t="s">
        <v>16</v>
      </c>
      <c r="E3208" s="9">
        <v>31</v>
      </c>
      <c r="F3208" t="s">
        <v>12</v>
      </c>
      <c r="G3208" t="s">
        <v>13</v>
      </c>
      <c r="H3208" s="7">
        <v>42324</v>
      </c>
      <c r="I3208">
        <v>29296.95</v>
      </c>
      <c r="K3208" s="7"/>
    </row>
    <row r="3209" spans="1:11">
      <c r="A3209">
        <v>100003208</v>
      </c>
      <c r="B3209" t="s">
        <v>159</v>
      </c>
      <c r="C3209" t="s">
        <v>103</v>
      </c>
      <c r="D3209" t="s">
        <v>11</v>
      </c>
      <c r="E3209" s="9">
        <v>35</v>
      </c>
      <c r="F3209" t="s">
        <v>12</v>
      </c>
      <c r="G3209" t="s">
        <v>13</v>
      </c>
      <c r="H3209" s="8">
        <v>42324</v>
      </c>
      <c r="I3209">
        <v>10291.64</v>
      </c>
      <c r="K3209" s="8"/>
    </row>
    <row r="3210" spans="1:11">
      <c r="A3210">
        <v>100003209</v>
      </c>
      <c r="B3210" t="s">
        <v>55</v>
      </c>
      <c r="C3210" t="s">
        <v>61</v>
      </c>
      <c r="D3210" t="s">
        <v>11</v>
      </c>
      <c r="E3210" s="9">
        <v>24</v>
      </c>
      <c r="F3210" t="s">
        <v>12</v>
      </c>
      <c r="G3210" t="s">
        <v>33</v>
      </c>
      <c r="H3210" s="7">
        <v>42324</v>
      </c>
      <c r="I3210">
        <v>57099.28</v>
      </c>
      <c r="K3210" s="7"/>
    </row>
    <row r="3211" spans="1:11">
      <c r="A3211">
        <v>100003210</v>
      </c>
      <c r="B3211" t="s">
        <v>220</v>
      </c>
      <c r="C3211" t="s">
        <v>116</v>
      </c>
      <c r="D3211" t="s">
        <v>16</v>
      </c>
      <c r="E3211" s="9">
        <v>50</v>
      </c>
      <c r="F3211" t="s">
        <v>12</v>
      </c>
      <c r="G3211" t="s">
        <v>13</v>
      </c>
      <c r="H3211" s="8">
        <v>42324</v>
      </c>
      <c r="I3211">
        <v>50609.43</v>
      </c>
      <c r="K3211" s="8"/>
    </row>
    <row r="3212" spans="1:11">
      <c r="A3212">
        <v>100003211</v>
      </c>
      <c r="B3212" t="s">
        <v>264</v>
      </c>
      <c r="C3212" t="s">
        <v>54</v>
      </c>
      <c r="D3212" t="s">
        <v>11</v>
      </c>
      <c r="E3212" s="9">
        <v>44</v>
      </c>
      <c r="F3212" t="s">
        <v>12</v>
      </c>
      <c r="G3212" t="s">
        <v>13</v>
      </c>
      <c r="H3212" s="7">
        <v>42324</v>
      </c>
      <c r="I3212">
        <v>9161.15</v>
      </c>
      <c r="K3212" s="7"/>
    </row>
    <row r="3213" spans="1:11">
      <c r="A3213">
        <v>100003212</v>
      </c>
      <c r="B3213" t="s">
        <v>173</v>
      </c>
      <c r="C3213" t="s">
        <v>237</v>
      </c>
      <c r="D3213" t="s">
        <v>11</v>
      </c>
      <c r="E3213" s="9">
        <v>38</v>
      </c>
      <c r="F3213" t="s">
        <v>12</v>
      </c>
      <c r="G3213" t="s">
        <v>13</v>
      </c>
      <c r="H3213" s="8">
        <v>42324</v>
      </c>
      <c r="I3213">
        <v>20238.28</v>
      </c>
      <c r="K3213" s="8"/>
    </row>
    <row r="3214" spans="1:11">
      <c r="A3214">
        <v>100003213</v>
      </c>
      <c r="B3214" t="s">
        <v>228</v>
      </c>
      <c r="C3214" t="s">
        <v>61</v>
      </c>
      <c r="D3214" t="s">
        <v>11</v>
      </c>
      <c r="E3214" s="9">
        <v>45</v>
      </c>
      <c r="F3214" t="s">
        <v>12</v>
      </c>
      <c r="G3214" t="s">
        <v>13</v>
      </c>
      <c r="H3214" s="7">
        <v>42324</v>
      </c>
      <c r="I3214">
        <v>2479.52</v>
      </c>
      <c r="K3214" s="7"/>
    </row>
    <row r="3215" spans="1:11">
      <c r="A3215">
        <v>200003214</v>
      </c>
      <c r="B3215" t="s">
        <v>90</v>
      </c>
      <c r="C3215" t="s">
        <v>274</v>
      </c>
      <c r="D3215" t="s">
        <v>11</v>
      </c>
      <c r="E3215" s="9">
        <v>58</v>
      </c>
      <c r="F3215" t="s">
        <v>32</v>
      </c>
      <c r="G3215" t="s">
        <v>18</v>
      </c>
      <c r="H3215" s="8">
        <v>42324</v>
      </c>
      <c r="I3215">
        <v>79655.37</v>
      </c>
      <c r="K3215" s="8"/>
    </row>
    <row r="3216" spans="1:11">
      <c r="A3216">
        <v>200003215</v>
      </c>
      <c r="B3216" t="s">
        <v>309</v>
      </c>
      <c r="C3216" t="s">
        <v>272</v>
      </c>
      <c r="D3216" t="s">
        <v>16</v>
      </c>
      <c r="E3216" s="9">
        <v>59</v>
      </c>
      <c r="F3216" t="s">
        <v>32</v>
      </c>
      <c r="G3216" t="s">
        <v>33</v>
      </c>
      <c r="H3216" s="7">
        <v>42324</v>
      </c>
      <c r="I3216">
        <v>14644.76</v>
      </c>
      <c r="K3216" s="7"/>
    </row>
    <row r="3217" spans="1:11">
      <c r="A3217">
        <v>100003216</v>
      </c>
      <c r="B3217" t="s">
        <v>166</v>
      </c>
      <c r="C3217" t="s">
        <v>233</v>
      </c>
      <c r="D3217" t="s">
        <v>16</v>
      </c>
      <c r="E3217" s="9">
        <v>32</v>
      </c>
      <c r="F3217" t="s">
        <v>12</v>
      </c>
      <c r="G3217" t="s">
        <v>13</v>
      </c>
      <c r="H3217" s="8">
        <v>42325</v>
      </c>
      <c r="I3217">
        <v>33535.24</v>
      </c>
      <c r="K3217" s="8"/>
    </row>
    <row r="3218" spans="1:11">
      <c r="A3218">
        <v>100003217</v>
      </c>
      <c r="B3218" t="s">
        <v>280</v>
      </c>
      <c r="C3218" t="s">
        <v>305</v>
      </c>
      <c r="D3218" t="s">
        <v>11</v>
      </c>
      <c r="E3218" s="9">
        <v>36</v>
      </c>
      <c r="F3218" t="s">
        <v>12</v>
      </c>
      <c r="G3218" t="s">
        <v>13</v>
      </c>
      <c r="H3218" s="7">
        <v>42325</v>
      </c>
      <c r="I3218">
        <v>5275.67</v>
      </c>
      <c r="K3218" s="7"/>
    </row>
    <row r="3219" spans="1:11">
      <c r="A3219">
        <v>100003218</v>
      </c>
      <c r="B3219" t="s">
        <v>228</v>
      </c>
      <c r="C3219" t="s">
        <v>212</v>
      </c>
      <c r="D3219" t="s">
        <v>11</v>
      </c>
      <c r="E3219" s="9">
        <v>24</v>
      </c>
      <c r="F3219" t="s">
        <v>12</v>
      </c>
      <c r="G3219" t="s">
        <v>13</v>
      </c>
      <c r="H3219" s="8">
        <v>42325</v>
      </c>
      <c r="I3219">
        <v>16721.96</v>
      </c>
      <c r="K3219" s="8"/>
    </row>
    <row r="3220" spans="1:11">
      <c r="A3220">
        <v>100003219</v>
      </c>
      <c r="B3220" t="s">
        <v>213</v>
      </c>
      <c r="C3220" t="s">
        <v>103</v>
      </c>
      <c r="D3220" t="s">
        <v>11</v>
      </c>
      <c r="E3220" s="9">
        <v>31</v>
      </c>
      <c r="F3220" t="s">
        <v>12</v>
      </c>
      <c r="G3220" t="s">
        <v>18</v>
      </c>
      <c r="H3220" s="7">
        <v>42325</v>
      </c>
      <c r="I3220">
        <v>51141.07</v>
      </c>
      <c r="K3220" s="7"/>
    </row>
    <row r="3221" spans="1:11">
      <c r="A3221">
        <v>100003220</v>
      </c>
      <c r="B3221" t="s">
        <v>231</v>
      </c>
      <c r="C3221" t="s">
        <v>134</v>
      </c>
      <c r="D3221" t="s">
        <v>11</v>
      </c>
      <c r="E3221" s="9">
        <v>30</v>
      </c>
      <c r="F3221" t="s">
        <v>12</v>
      </c>
      <c r="G3221" t="s">
        <v>13</v>
      </c>
      <c r="H3221" s="8">
        <v>42325</v>
      </c>
      <c r="I3221">
        <v>29283.75</v>
      </c>
      <c r="K3221" s="8"/>
    </row>
    <row r="3222" spans="1:11">
      <c r="A3222">
        <v>100003221</v>
      </c>
      <c r="B3222" t="s">
        <v>303</v>
      </c>
      <c r="C3222" t="s">
        <v>242</v>
      </c>
      <c r="D3222" t="s">
        <v>11</v>
      </c>
      <c r="E3222" s="9">
        <v>37</v>
      </c>
      <c r="F3222" t="s">
        <v>12</v>
      </c>
      <c r="G3222" t="s">
        <v>13</v>
      </c>
      <c r="H3222" s="7">
        <v>42325</v>
      </c>
      <c r="I3222">
        <v>37670.589999999997</v>
      </c>
      <c r="K3222" s="7"/>
    </row>
    <row r="3223" spans="1:11">
      <c r="A3223">
        <v>100003222</v>
      </c>
      <c r="B3223" t="s">
        <v>64</v>
      </c>
      <c r="C3223" t="s">
        <v>266</v>
      </c>
      <c r="D3223" t="s">
        <v>11</v>
      </c>
      <c r="E3223" s="9">
        <v>41</v>
      </c>
      <c r="F3223" t="s">
        <v>12</v>
      </c>
      <c r="G3223" t="s">
        <v>18</v>
      </c>
      <c r="H3223" s="8">
        <v>42325</v>
      </c>
      <c r="I3223">
        <v>5040.5</v>
      </c>
      <c r="K3223" s="8"/>
    </row>
    <row r="3224" spans="1:11">
      <c r="A3224">
        <v>100003223</v>
      </c>
      <c r="B3224" t="s">
        <v>193</v>
      </c>
      <c r="C3224" t="s">
        <v>163</v>
      </c>
      <c r="D3224" t="s">
        <v>11</v>
      </c>
      <c r="E3224" s="9">
        <v>45</v>
      </c>
      <c r="F3224" t="s">
        <v>12</v>
      </c>
      <c r="G3224" t="s">
        <v>13</v>
      </c>
      <c r="H3224" s="7">
        <v>42325</v>
      </c>
      <c r="I3224">
        <v>38098.76</v>
      </c>
      <c r="K3224" s="7"/>
    </row>
    <row r="3225" spans="1:11">
      <c r="A3225">
        <v>100003224</v>
      </c>
      <c r="B3225" t="s">
        <v>66</v>
      </c>
      <c r="C3225" t="s">
        <v>258</v>
      </c>
      <c r="D3225" t="s">
        <v>16</v>
      </c>
      <c r="E3225" s="9">
        <v>35</v>
      </c>
      <c r="F3225" t="s">
        <v>12</v>
      </c>
      <c r="G3225" t="s">
        <v>33</v>
      </c>
      <c r="H3225" s="8">
        <v>42325</v>
      </c>
      <c r="I3225">
        <v>82688.19</v>
      </c>
      <c r="K3225" s="8"/>
    </row>
    <row r="3226" spans="1:11">
      <c r="A3226">
        <v>100003225</v>
      </c>
      <c r="B3226" t="s">
        <v>311</v>
      </c>
      <c r="C3226" t="s">
        <v>56</v>
      </c>
      <c r="D3226" t="s">
        <v>11</v>
      </c>
      <c r="E3226" s="9">
        <v>31</v>
      </c>
      <c r="F3226" t="s">
        <v>12</v>
      </c>
      <c r="G3226" t="s">
        <v>13</v>
      </c>
      <c r="H3226" s="7">
        <v>42325</v>
      </c>
      <c r="I3226">
        <v>9814.58</v>
      </c>
      <c r="K3226" s="7"/>
    </row>
    <row r="3227" spans="1:11">
      <c r="A3227">
        <v>100003226</v>
      </c>
      <c r="B3227" t="s">
        <v>145</v>
      </c>
      <c r="C3227" t="s">
        <v>222</v>
      </c>
      <c r="D3227" t="s">
        <v>11</v>
      </c>
      <c r="E3227" s="9">
        <v>39</v>
      </c>
      <c r="F3227" t="s">
        <v>12</v>
      </c>
      <c r="G3227" t="s">
        <v>13</v>
      </c>
      <c r="H3227" s="8">
        <v>42325</v>
      </c>
      <c r="I3227">
        <v>139434.09</v>
      </c>
      <c r="K3227" s="8"/>
    </row>
    <row r="3228" spans="1:11">
      <c r="A3228">
        <v>100003227</v>
      </c>
      <c r="B3228" t="s">
        <v>229</v>
      </c>
      <c r="C3228" t="s">
        <v>297</v>
      </c>
      <c r="D3228" t="s">
        <v>16</v>
      </c>
      <c r="E3228" s="9">
        <v>43</v>
      </c>
      <c r="F3228" t="s">
        <v>12</v>
      </c>
      <c r="G3228" t="s">
        <v>13</v>
      </c>
      <c r="H3228" s="7">
        <v>42325</v>
      </c>
      <c r="I3228">
        <v>27287.49</v>
      </c>
      <c r="K3228" s="7"/>
    </row>
    <row r="3229" spans="1:11">
      <c r="A3229">
        <v>100003228</v>
      </c>
      <c r="B3229" t="s">
        <v>164</v>
      </c>
      <c r="C3229" t="s">
        <v>281</v>
      </c>
      <c r="D3229" t="s">
        <v>11</v>
      </c>
      <c r="E3229" s="9">
        <v>27</v>
      </c>
      <c r="F3229" t="s">
        <v>12</v>
      </c>
      <c r="G3229" t="s">
        <v>13</v>
      </c>
      <c r="H3229" s="8">
        <v>42325</v>
      </c>
      <c r="I3229">
        <v>41775.199999999997</v>
      </c>
      <c r="K3229" s="8"/>
    </row>
    <row r="3230" spans="1:11">
      <c r="A3230">
        <v>100003229</v>
      </c>
      <c r="B3230" t="s">
        <v>223</v>
      </c>
      <c r="C3230" t="s">
        <v>318</v>
      </c>
      <c r="D3230" t="s">
        <v>16</v>
      </c>
      <c r="E3230" s="9">
        <v>37</v>
      </c>
      <c r="F3230" t="s">
        <v>12</v>
      </c>
      <c r="G3230" t="s">
        <v>13</v>
      </c>
      <c r="H3230" s="7">
        <v>42325</v>
      </c>
      <c r="I3230">
        <v>44335.18</v>
      </c>
      <c r="K3230" s="7"/>
    </row>
    <row r="3231" spans="1:11">
      <c r="A3231">
        <v>100003230</v>
      </c>
      <c r="B3231" t="s">
        <v>117</v>
      </c>
      <c r="C3231" t="s">
        <v>59</v>
      </c>
      <c r="D3231" t="s">
        <v>16</v>
      </c>
      <c r="E3231" s="9">
        <v>39</v>
      </c>
      <c r="F3231" t="s">
        <v>12</v>
      </c>
      <c r="G3231" t="s">
        <v>18</v>
      </c>
      <c r="H3231" s="8">
        <v>42325</v>
      </c>
      <c r="I3231">
        <v>33581.760000000002</v>
      </c>
      <c r="K3231" s="8"/>
    </row>
    <row r="3232" spans="1:11">
      <c r="A3232">
        <v>100003231</v>
      </c>
      <c r="B3232" t="s">
        <v>72</v>
      </c>
      <c r="C3232" t="s">
        <v>121</v>
      </c>
      <c r="D3232" t="s">
        <v>11</v>
      </c>
      <c r="E3232" s="9">
        <v>42</v>
      </c>
      <c r="F3232" t="s">
        <v>12</v>
      </c>
      <c r="G3232" t="s">
        <v>13</v>
      </c>
      <c r="H3232" s="7">
        <v>42325</v>
      </c>
      <c r="I3232">
        <v>30797.77</v>
      </c>
      <c r="K3232" s="7"/>
    </row>
    <row r="3233" spans="1:11">
      <c r="A3233">
        <v>100003232</v>
      </c>
      <c r="B3233" t="s">
        <v>319</v>
      </c>
      <c r="C3233" t="s">
        <v>22</v>
      </c>
      <c r="D3233" t="s">
        <v>16</v>
      </c>
      <c r="E3233" s="9">
        <v>29</v>
      </c>
      <c r="F3233" t="s">
        <v>12</v>
      </c>
      <c r="G3233" t="s">
        <v>13</v>
      </c>
      <c r="H3233" s="8">
        <v>42325</v>
      </c>
      <c r="I3233">
        <v>71423.009999999995</v>
      </c>
      <c r="K3233" s="8"/>
    </row>
    <row r="3234" spans="1:11">
      <c r="A3234">
        <v>100003233</v>
      </c>
      <c r="B3234" t="s">
        <v>86</v>
      </c>
      <c r="C3234" t="s">
        <v>71</v>
      </c>
      <c r="D3234" t="s">
        <v>11</v>
      </c>
      <c r="E3234" s="9">
        <v>39</v>
      </c>
      <c r="F3234" t="s">
        <v>12</v>
      </c>
      <c r="G3234" t="s">
        <v>13</v>
      </c>
      <c r="H3234" s="7">
        <v>42325</v>
      </c>
      <c r="I3234">
        <v>52566.58</v>
      </c>
      <c r="K3234" s="7"/>
    </row>
    <row r="3235" spans="1:11">
      <c r="A3235">
        <v>100003234</v>
      </c>
      <c r="B3235" t="s">
        <v>66</v>
      </c>
      <c r="C3235" t="s">
        <v>52</v>
      </c>
      <c r="D3235" t="s">
        <v>16</v>
      </c>
      <c r="E3235" s="9">
        <v>43</v>
      </c>
      <c r="F3235" t="s">
        <v>12</v>
      </c>
      <c r="G3235" t="s">
        <v>18</v>
      </c>
      <c r="H3235" s="8">
        <v>42325</v>
      </c>
      <c r="I3235">
        <v>23540.79</v>
      </c>
      <c r="K3235" s="8"/>
    </row>
    <row r="3236" spans="1:11">
      <c r="A3236">
        <v>100003235</v>
      </c>
      <c r="B3236" t="s">
        <v>152</v>
      </c>
      <c r="C3236" t="s">
        <v>130</v>
      </c>
      <c r="D3236" t="s">
        <v>11</v>
      </c>
      <c r="E3236" s="9">
        <v>26</v>
      </c>
      <c r="F3236" t="s">
        <v>12</v>
      </c>
      <c r="G3236" t="s">
        <v>13</v>
      </c>
      <c r="H3236" s="7">
        <v>42325</v>
      </c>
      <c r="I3236">
        <v>104366.63</v>
      </c>
      <c r="K3236" s="7"/>
    </row>
    <row r="3237" spans="1:11">
      <c r="A3237">
        <v>100003236</v>
      </c>
      <c r="B3237" t="s">
        <v>268</v>
      </c>
      <c r="C3237" t="s">
        <v>39</v>
      </c>
      <c r="D3237" t="s">
        <v>16</v>
      </c>
      <c r="E3237" s="9">
        <v>37</v>
      </c>
      <c r="F3237" t="s">
        <v>12</v>
      </c>
      <c r="G3237" t="s">
        <v>33</v>
      </c>
      <c r="H3237" s="8">
        <v>42325</v>
      </c>
      <c r="I3237">
        <v>339.23</v>
      </c>
      <c r="K3237" s="8"/>
    </row>
    <row r="3238" spans="1:11">
      <c r="A3238">
        <v>100003237</v>
      </c>
      <c r="B3238" t="s">
        <v>264</v>
      </c>
      <c r="C3238" t="s">
        <v>167</v>
      </c>
      <c r="D3238" t="s">
        <v>11</v>
      </c>
      <c r="E3238" s="9">
        <v>26</v>
      </c>
      <c r="F3238" t="s">
        <v>12</v>
      </c>
      <c r="G3238" t="s">
        <v>13</v>
      </c>
      <c r="H3238" s="7">
        <v>42325</v>
      </c>
      <c r="I3238">
        <v>65283.32</v>
      </c>
      <c r="K3238" s="7"/>
    </row>
    <row r="3239" spans="1:11">
      <c r="A3239">
        <v>200003238</v>
      </c>
      <c r="B3239" t="s">
        <v>44</v>
      </c>
      <c r="C3239" t="s">
        <v>103</v>
      </c>
      <c r="D3239" t="s">
        <v>16</v>
      </c>
      <c r="E3239" s="9">
        <v>43</v>
      </c>
      <c r="F3239" t="s">
        <v>32</v>
      </c>
      <c r="G3239" t="s">
        <v>33</v>
      </c>
      <c r="H3239" s="8">
        <v>42325</v>
      </c>
      <c r="I3239">
        <v>38012.269999999997</v>
      </c>
      <c r="K3239" s="8"/>
    </row>
    <row r="3240" spans="1:11">
      <c r="A3240">
        <v>200003239</v>
      </c>
      <c r="B3240" t="s">
        <v>287</v>
      </c>
      <c r="C3240" t="s">
        <v>205</v>
      </c>
      <c r="D3240" t="s">
        <v>16</v>
      </c>
      <c r="E3240" s="9">
        <v>56</v>
      </c>
      <c r="F3240" t="s">
        <v>32</v>
      </c>
      <c r="G3240" t="s">
        <v>13</v>
      </c>
      <c r="H3240" s="7">
        <v>42325</v>
      </c>
      <c r="I3240">
        <v>33748.33</v>
      </c>
      <c r="K3240" s="7"/>
    </row>
    <row r="3241" spans="1:11">
      <c r="A3241">
        <v>200003240</v>
      </c>
      <c r="B3241" t="s">
        <v>90</v>
      </c>
      <c r="C3241" t="s">
        <v>129</v>
      </c>
      <c r="D3241" t="s">
        <v>11</v>
      </c>
      <c r="E3241" s="9">
        <v>57</v>
      </c>
      <c r="F3241" t="s">
        <v>32</v>
      </c>
      <c r="G3241" t="s">
        <v>18</v>
      </c>
      <c r="H3241" s="8">
        <v>42325</v>
      </c>
      <c r="I3241">
        <v>18910.03</v>
      </c>
      <c r="K3241" s="8"/>
    </row>
    <row r="3242" spans="1:11">
      <c r="A3242">
        <v>200003241</v>
      </c>
      <c r="B3242" t="s">
        <v>36</v>
      </c>
      <c r="C3242" t="s">
        <v>88</v>
      </c>
      <c r="D3242" t="s">
        <v>11</v>
      </c>
      <c r="E3242" s="9">
        <v>37</v>
      </c>
      <c r="F3242" t="s">
        <v>32</v>
      </c>
      <c r="G3242" t="s">
        <v>18</v>
      </c>
      <c r="H3242" s="7">
        <v>42325</v>
      </c>
      <c r="I3242">
        <v>45686.41</v>
      </c>
      <c r="K3242" s="7"/>
    </row>
    <row r="3243" spans="1:11">
      <c r="A3243">
        <v>200003242</v>
      </c>
      <c r="B3243" t="s">
        <v>50</v>
      </c>
      <c r="C3243" t="s">
        <v>219</v>
      </c>
      <c r="D3243" t="s">
        <v>16</v>
      </c>
      <c r="E3243" s="9">
        <v>39</v>
      </c>
      <c r="F3243" t="s">
        <v>32</v>
      </c>
      <c r="G3243" t="s">
        <v>33</v>
      </c>
      <c r="H3243" s="8">
        <v>42325</v>
      </c>
      <c r="I3243">
        <v>13061.49</v>
      </c>
      <c r="K3243" s="8"/>
    </row>
    <row r="3244" spans="1:11">
      <c r="A3244">
        <v>200003243</v>
      </c>
      <c r="B3244" t="s">
        <v>66</v>
      </c>
      <c r="C3244" t="s">
        <v>93</v>
      </c>
      <c r="D3244" t="s">
        <v>16</v>
      </c>
      <c r="E3244" s="9">
        <v>46</v>
      </c>
      <c r="F3244" t="s">
        <v>32</v>
      </c>
      <c r="G3244" t="s">
        <v>18</v>
      </c>
      <c r="H3244" s="7">
        <v>42325</v>
      </c>
      <c r="I3244">
        <v>68527.61</v>
      </c>
      <c r="K3244" s="7"/>
    </row>
    <row r="3245" spans="1:11">
      <c r="A3245">
        <v>200003244</v>
      </c>
      <c r="B3245" t="s">
        <v>254</v>
      </c>
      <c r="C3245" t="s">
        <v>114</v>
      </c>
      <c r="D3245" t="s">
        <v>11</v>
      </c>
      <c r="E3245" s="9">
        <v>56</v>
      </c>
      <c r="F3245" t="s">
        <v>32</v>
      </c>
      <c r="G3245" t="s">
        <v>33</v>
      </c>
      <c r="H3245" s="8">
        <v>42325</v>
      </c>
      <c r="I3245">
        <v>29861.37</v>
      </c>
      <c r="K3245" s="8"/>
    </row>
    <row r="3246" spans="1:11">
      <c r="A3246">
        <v>200003245</v>
      </c>
      <c r="B3246" t="s">
        <v>89</v>
      </c>
      <c r="C3246" t="s">
        <v>106</v>
      </c>
      <c r="D3246" t="s">
        <v>11</v>
      </c>
      <c r="E3246" s="9">
        <v>44</v>
      </c>
      <c r="F3246" t="s">
        <v>32</v>
      </c>
      <c r="G3246" t="s">
        <v>33</v>
      </c>
      <c r="H3246" s="7">
        <v>42325</v>
      </c>
      <c r="I3246">
        <v>63735.05</v>
      </c>
      <c r="K3246" s="7"/>
    </row>
    <row r="3247" spans="1:11">
      <c r="A3247">
        <v>300003246</v>
      </c>
      <c r="B3247" t="s">
        <v>120</v>
      </c>
      <c r="C3247" t="s">
        <v>246</v>
      </c>
      <c r="D3247" t="s">
        <v>16</v>
      </c>
      <c r="E3247" s="9">
        <v>45</v>
      </c>
      <c r="F3247" t="s">
        <v>23</v>
      </c>
      <c r="G3247" t="s">
        <v>13</v>
      </c>
      <c r="H3247" s="8">
        <v>42325</v>
      </c>
      <c r="I3247">
        <v>20349.68</v>
      </c>
      <c r="K3247" s="8"/>
    </row>
    <row r="3248" spans="1:11">
      <c r="A3248">
        <v>300003247</v>
      </c>
      <c r="B3248" t="s">
        <v>319</v>
      </c>
      <c r="C3248" t="s">
        <v>290</v>
      </c>
      <c r="D3248" t="s">
        <v>16</v>
      </c>
      <c r="E3248" s="9">
        <v>28</v>
      </c>
      <c r="F3248" t="s">
        <v>23</v>
      </c>
      <c r="G3248" t="s">
        <v>13</v>
      </c>
      <c r="H3248" s="7">
        <v>42325</v>
      </c>
      <c r="I3248">
        <v>48124.639999999999</v>
      </c>
      <c r="K3248" s="7"/>
    </row>
    <row r="3249" spans="1:11">
      <c r="A3249">
        <v>300003248</v>
      </c>
      <c r="B3249" t="s">
        <v>280</v>
      </c>
      <c r="C3249" t="s">
        <v>47</v>
      </c>
      <c r="D3249" t="s">
        <v>11</v>
      </c>
      <c r="E3249" s="9">
        <v>30</v>
      </c>
      <c r="F3249" t="s">
        <v>23</v>
      </c>
      <c r="G3249" t="s">
        <v>18</v>
      </c>
      <c r="H3249" s="8">
        <v>42325</v>
      </c>
      <c r="I3249">
        <v>38093.360000000001</v>
      </c>
      <c r="K3249" s="8"/>
    </row>
    <row r="3250" spans="1:11">
      <c r="A3250">
        <v>100003249</v>
      </c>
      <c r="B3250" t="s">
        <v>207</v>
      </c>
      <c r="C3250" t="s">
        <v>195</v>
      </c>
      <c r="D3250" t="s">
        <v>11</v>
      </c>
      <c r="E3250" s="9">
        <v>43</v>
      </c>
      <c r="F3250" t="s">
        <v>12</v>
      </c>
      <c r="G3250" t="s">
        <v>13</v>
      </c>
      <c r="H3250" s="7">
        <v>42326</v>
      </c>
      <c r="I3250">
        <v>12324.12</v>
      </c>
      <c r="K3250" s="7"/>
    </row>
    <row r="3251" spans="1:11">
      <c r="A3251">
        <v>100003250</v>
      </c>
      <c r="B3251" t="s">
        <v>293</v>
      </c>
      <c r="C3251" t="s">
        <v>59</v>
      </c>
      <c r="D3251" t="s">
        <v>11</v>
      </c>
      <c r="E3251" s="9">
        <v>34</v>
      </c>
      <c r="F3251" t="s">
        <v>12</v>
      </c>
      <c r="G3251" t="s">
        <v>18</v>
      </c>
      <c r="H3251" s="8">
        <v>42326</v>
      </c>
      <c r="I3251">
        <v>18412.38</v>
      </c>
      <c r="K3251" s="8"/>
    </row>
    <row r="3252" spans="1:11">
      <c r="A3252">
        <v>100003251</v>
      </c>
      <c r="B3252" t="s">
        <v>312</v>
      </c>
      <c r="C3252" t="s">
        <v>219</v>
      </c>
      <c r="D3252" t="s">
        <v>11</v>
      </c>
      <c r="E3252" s="9">
        <v>34</v>
      </c>
      <c r="F3252" t="s">
        <v>12</v>
      </c>
      <c r="G3252" t="s">
        <v>13</v>
      </c>
      <c r="H3252" s="7">
        <v>42326</v>
      </c>
      <c r="I3252">
        <v>12238.08</v>
      </c>
      <c r="K3252" s="7"/>
    </row>
    <row r="3253" spans="1:11">
      <c r="A3253">
        <v>100003252</v>
      </c>
      <c r="B3253" t="s">
        <v>181</v>
      </c>
      <c r="C3253" t="s">
        <v>247</v>
      </c>
      <c r="D3253" t="s">
        <v>11</v>
      </c>
      <c r="E3253" s="9">
        <v>41</v>
      </c>
      <c r="F3253" t="s">
        <v>12</v>
      </c>
      <c r="G3253" t="s">
        <v>13</v>
      </c>
      <c r="H3253" s="8">
        <v>42326</v>
      </c>
      <c r="I3253">
        <v>55038.36</v>
      </c>
      <c r="K3253" s="8"/>
    </row>
    <row r="3254" spans="1:11">
      <c r="A3254">
        <v>100003253</v>
      </c>
      <c r="B3254" t="s">
        <v>40</v>
      </c>
      <c r="C3254" t="s">
        <v>279</v>
      </c>
      <c r="D3254" t="s">
        <v>11</v>
      </c>
      <c r="E3254" s="9">
        <v>32</v>
      </c>
      <c r="F3254" t="s">
        <v>12</v>
      </c>
      <c r="G3254" t="s">
        <v>13</v>
      </c>
      <c r="H3254" s="7">
        <v>42326</v>
      </c>
      <c r="I3254">
        <v>30865.97</v>
      </c>
      <c r="K3254" s="7"/>
    </row>
    <row r="3255" spans="1:11">
      <c r="A3255">
        <v>100003254</v>
      </c>
      <c r="B3255" t="s">
        <v>137</v>
      </c>
      <c r="C3255" t="s">
        <v>310</v>
      </c>
      <c r="D3255" t="s">
        <v>11</v>
      </c>
      <c r="E3255" s="9">
        <v>38</v>
      </c>
      <c r="F3255" t="s">
        <v>12</v>
      </c>
      <c r="G3255" t="s">
        <v>13</v>
      </c>
      <c r="H3255" s="8">
        <v>42326</v>
      </c>
      <c r="I3255">
        <v>2638.71</v>
      </c>
      <c r="K3255" s="8"/>
    </row>
    <row r="3256" spans="1:11">
      <c r="A3256">
        <v>300003255</v>
      </c>
      <c r="B3256" t="s">
        <v>139</v>
      </c>
      <c r="C3256" t="s">
        <v>210</v>
      </c>
      <c r="D3256" t="s">
        <v>16</v>
      </c>
      <c r="E3256" s="9">
        <v>34</v>
      </c>
      <c r="F3256" t="s">
        <v>23</v>
      </c>
      <c r="G3256" t="s">
        <v>33</v>
      </c>
      <c r="H3256" s="7">
        <v>42326</v>
      </c>
      <c r="I3256">
        <v>19249.759999999998</v>
      </c>
      <c r="K3256" s="7"/>
    </row>
    <row r="3257" spans="1:11">
      <c r="A3257">
        <v>300003256</v>
      </c>
      <c r="B3257" t="s">
        <v>161</v>
      </c>
      <c r="C3257" t="s">
        <v>85</v>
      </c>
      <c r="D3257" t="s">
        <v>16</v>
      </c>
      <c r="E3257" s="9">
        <v>40</v>
      </c>
      <c r="F3257" t="s">
        <v>23</v>
      </c>
      <c r="G3257" t="s">
        <v>13</v>
      </c>
      <c r="H3257" s="8">
        <v>42326</v>
      </c>
      <c r="I3257">
        <v>53697.1</v>
      </c>
      <c r="K3257" s="8"/>
    </row>
    <row r="3258" spans="1:11">
      <c r="A3258">
        <v>100003257</v>
      </c>
      <c r="B3258" t="s">
        <v>190</v>
      </c>
      <c r="C3258" t="s">
        <v>151</v>
      </c>
      <c r="D3258" t="s">
        <v>11</v>
      </c>
      <c r="E3258" s="9">
        <v>27</v>
      </c>
      <c r="F3258" t="s">
        <v>12</v>
      </c>
      <c r="G3258" t="s">
        <v>18</v>
      </c>
      <c r="H3258" s="7">
        <v>42327</v>
      </c>
      <c r="I3258">
        <v>9866.0400000000009</v>
      </c>
      <c r="K3258" s="7"/>
    </row>
    <row r="3259" spans="1:11">
      <c r="A3259">
        <v>100003258</v>
      </c>
      <c r="B3259" t="s">
        <v>62</v>
      </c>
      <c r="C3259" t="s">
        <v>260</v>
      </c>
      <c r="D3259" t="s">
        <v>16</v>
      </c>
      <c r="E3259" s="9">
        <v>42</v>
      </c>
      <c r="F3259" t="s">
        <v>12</v>
      </c>
      <c r="G3259" t="s">
        <v>13</v>
      </c>
      <c r="H3259" s="8">
        <v>42327</v>
      </c>
      <c r="I3259">
        <v>25158.080000000002</v>
      </c>
      <c r="K3259" s="8"/>
    </row>
    <row r="3260" spans="1:11">
      <c r="A3260">
        <v>100003259</v>
      </c>
      <c r="B3260" t="s">
        <v>320</v>
      </c>
      <c r="C3260" t="s">
        <v>151</v>
      </c>
      <c r="D3260" t="s">
        <v>16</v>
      </c>
      <c r="E3260" s="9">
        <v>37</v>
      </c>
      <c r="F3260" t="s">
        <v>12</v>
      </c>
      <c r="G3260" t="s">
        <v>13</v>
      </c>
      <c r="H3260" s="7">
        <v>42327</v>
      </c>
      <c r="I3260">
        <v>26052.240000000002</v>
      </c>
      <c r="K3260" s="7"/>
    </row>
    <row r="3261" spans="1:11">
      <c r="A3261">
        <v>200003260</v>
      </c>
      <c r="B3261" t="s">
        <v>261</v>
      </c>
      <c r="C3261" t="s">
        <v>91</v>
      </c>
      <c r="D3261" t="s">
        <v>11</v>
      </c>
      <c r="E3261" s="9">
        <v>51</v>
      </c>
      <c r="F3261" t="s">
        <v>32</v>
      </c>
      <c r="G3261" t="s">
        <v>18</v>
      </c>
      <c r="H3261" s="8">
        <v>42327</v>
      </c>
      <c r="I3261">
        <v>12765.42</v>
      </c>
      <c r="K3261" s="8"/>
    </row>
    <row r="3262" spans="1:11">
      <c r="A3262">
        <v>200003261</v>
      </c>
      <c r="B3262" t="s">
        <v>223</v>
      </c>
      <c r="C3262" t="s">
        <v>196</v>
      </c>
      <c r="D3262" t="s">
        <v>16</v>
      </c>
      <c r="E3262" s="9">
        <v>43</v>
      </c>
      <c r="F3262" t="s">
        <v>32</v>
      </c>
      <c r="G3262" t="s">
        <v>33</v>
      </c>
      <c r="H3262" s="7">
        <v>42327</v>
      </c>
      <c r="I3262">
        <v>8837.34</v>
      </c>
      <c r="K3262" s="7"/>
    </row>
    <row r="3263" spans="1:11">
      <c r="A3263">
        <v>300003262</v>
      </c>
      <c r="B3263" t="s">
        <v>236</v>
      </c>
      <c r="C3263" t="s">
        <v>183</v>
      </c>
      <c r="D3263" t="s">
        <v>16</v>
      </c>
      <c r="E3263" s="9">
        <v>28</v>
      </c>
      <c r="F3263" t="s">
        <v>23</v>
      </c>
      <c r="G3263" t="s">
        <v>13</v>
      </c>
      <c r="H3263" s="8">
        <v>42327</v>
      </c>
      <c r="I3263">
        <v>68809.02</v>
      </c>
      <c r="K3263" s="8"/>
    </row>
    <row r="3264" spans="1:11">
      <c r="A3264">
        <v>300003263</v>
      </c>
      <c r="B3264" t="s">
        <v>182</v>
      </c>
      <c r="C3264" t="s">
        <v>277</v>
      </c>
      <c r="D3264" t="s">
        <v>16</v>
      </c>
      <c r="E3264" s="9">
        <v>30</v>
      </c>
      <c r="F3264" t="s">
        <v>23</v>
      </c>
      <c r="G3264" t="s">
        <v>13</v>
      </c>
      <c r="H3264" s="7">
        <v>42327</v>
      </c>
      <c r="I3264">
        <v>13139.08</v>
      </c>
      <c r="K3264" s="7"/>
    </row>
    <row r="3265" spans="1:11">
      <c r="A3265">
        <v>300003264</v>
      </c>
      <c r="B3265" t="s">
        <v>14</v>
      </c>
      <c r="C3265" t="s">
        <v>170</v>
      </c>
      <c r="D3265" t="s">
        <v>16</v>
      </c>
      <c r="E3265" s="9">
        <v>39</v>
      </c>
      <c r="F3265" t="s">
        <v>23</v>
      </c>
      <c r="G3265" t="s">
        <v>33</v>
      </c>
      <c r="H3265" s="8">
        <v>42327</v>
      </c>
      <c r="I3265">
        <v>68659.240000000005</v>
      </c>
      <c r="K3265" s="8"/>
    </row>
    <row r="3266" spans="1:11">
      <c r="A3266">
        <v>300003265</v>
      </c>
      <c r="B3266" t="s">
        <v>159</v>
      </c>
      <c r="C3266" t="s">
        <v>277</v>
      </c>
      <c r="D3266" t="s">
        <v>11</v>
      </c>
      <c r="E3266" s="9">
        <v>29</v>
      </c>
      <c r="F3266" t="s">
        <v>23</v>
      </c>
      <c r="G3266" t="s">
        <v>13</v>
      </c>
      <c r="H3266" s="7">
        <v>42327</v>
      </c>
      <c r="I3266">
        <v>94523.22</v>
      </c>
      <c r="K3266" s="7"/>
    </row>
    <row r="3267" spans="1:11">
      <c r="A3267">
        <v>100003266</v>
      </c>
      <c r="B3267" t="s">
        <v>90</v>
      </c>
      <c r="C3267" t="s">
        <v>152</v>
      </c>
      <c r="D3267" t="s">
        <v>11</v>
      </c>
      <c r="E3267" s="9">
        <v>34</v>
      </c>
      <c r="F3267" t="s">
        <v>12</v>
      </c>
      <c r="G3267" t="s">
        <v>33</v>
      </c>
      <c r="H3267" s="8">
        <v>42328</v>
      </c>
      <c r="I3267">
        <v>67894.27</v>
      </c>
      <c r="K3267" s="8"/>
    </row>
    <row r="3268" spans="1:11">
      <c r="A3268">
        <v>100003267</v>
      </c>
      <c r="B3268" t="s">
        <v>19</v>
      </c>
      <c r="C3268" t="s">
        <v>121</v>
      </c>
      <c r="D3268" t="s">
        <v>11</v>
      </c>
      <c r="E3268" s="9">
        <v>36</v>
      </c>
      <c r="F3268" t="s">
        <v>12</v>
      </c>
      <c r="G3268" t="s">
        <v>13</v>
      </c>
      <c r="H3268" s="7">
        <v>42328</v>
      </c>
      <c r="I3268">
        <v>63323.61</v>
      </c>
      <c r="K3268" s="7"/>
    </row>
    <row r="3269" spans="1:11">
      <c r="A3269">
        <v>100003268</v>
      </c>
      <c r="B3269" t="s">
        <v>97</v>
      </c>
      <c r="C3269" t="s">
        <v>279</v>
      </c>
      <c r="D3269" t="s">
        <v>16</v>
      </c>
      <c r="E3269" s="9">
        <v>36</v>
      </c>
      <c r="F3269" t="s">
        <v>12</v>
      </c>
      <c r="G3269" t="s">
        <v>13</v>
      </c>
      <c r="H3269" s="8">
        <v>42328</v>
      </c>
      <c r="I3269">
        <v>84693.18</v>
      </c>
      <c r="K3269" s="8"/>
    </row>
    <row r="3270" spans="1:11">
      <c r="A3270">
        <v>100003269</v>
      </c>
      <c r="B3270" t="s">
        <v>9</v>
      </c>
      <c r="C3270" t="s">
        <v>151</v>
      </c>
      <c r="D3270" t="s">
        <v>11</v>
      </c>
      <c r="E3270" s="9">
        <v>32</v>
      </c>
      <c r="F3270" t="s">
        <v>12</v>
      </c>
      <c r="G3270" t="s">
        <v>13</v>
      </c>
      <c r="H3270" s="7">
        <v>42328</v>
      </c>
      <c r="I3270">
        <v>9068.75</v>
      </c>
      <c r="K3270" s="7"/>
    </row>
    <row r="3271" spans="1:11">
      <c r="A3271">
        <v>100003270</v>
      </c>
      <c r="B3271" t="s">
        <v>265</v>
      </c>
      <c r="C3271" t="s">
        <v>274</v>
      </c>
      <c r="D3271" t="s">
        <v>16</v>
      </c>
      <c r="E3271" s="9">
        <v>37</v>
      </c>
      <c r="F3271" t="s">
        <v>12</v>
      </c>
      <c r="G3271" t="s">
        <v>18</v>
      </c>
      <c r="H3271" s="8">
        <v>42328</v>
      </c>
      <c r="I3271">
        <v>11073.76</v>
      </c>
      <c r="K3271" s="8"/>
    </row>
    <row r="3272" spans="1:11">
      <c r="A3272">
        <v>100003271</v>
      </c>
      <c r="B3272" t="s">
        <v>199</v>
      </c>
      <c r="C3272" t="s">
        <v>325</v>
      </c>
      <c r="D3272" t="s">
        <v>11</v>
      </c>
      <c r="E3272" s="9">
        <v>32</v>
      </c>
      <c r="F3272" t="s">
        <v>12</v>
      </c>
      <c r="G3272" t="s">
        <v>18</v>
      </c>
      <c r="H3272" s="7">
        <v>42328</v>
      </c>
      <c r="I3272">
        <v>76492.800000000003</v>
      </c>
      <c r="K3272" s="7"/>
    </row>
    <row r="3273" spans="1:11">
      <c r="A3273">
        <v>100003272</v>
      </c>
      <c r="B3273" t="s">
        <v>135</v>
      </c>
      <c r="C3273" t="s">
        <v>201</v>
      </c>
      <c r="D3273" t="s">
        <v>11</v>
      </c>
      <c r="E3273" s="9">
        <v>41</v>
      </c>
      <c r="F3273" t="s">
        <v>12</v>
      </c>
      <c r="G3273" t="s">
        <v>33</v>
      </c>
      <c r="H3273" s="8">
        <v>42328</v>
      </c>
      <c r="I3273">
        <v>32715.84</v>
      </c>
      <c r="K3273" s="8"/>
    </row>
    <row r="3274" spans="1:11">
      <c r="A3274">
        <v>100003273</v>
      </c>
      <c r="B3274" t="s">
        <v>126</v>
      </c>
      <c r="C3274" t="s">
        <v>96</v>
      </c>
      <c r="D3274" t="s">
        <v>16</v>
      </c>
      <c r="E3274" s="9">
        <v>39</v>
      </c>
      <c r="F3274" t="s">
        <v>12</v>
      </c>
      <c r="G3274" t="s">
        <v>18</v>
      </c>
      <c r="H3274" s="7">
        <v>42328</v>
      </c>
      <c r="I3274">
        <v>10685.07</v>
      </c>
      <c r="K3274" s="7"/>
    </row>
    <row r="3275" spans="1:11">
      <c r="A3275">
        <v>100003274</v>
      </c>
      <c r="B3275" t="s">
        <v>311</v>
      </c>
      <c r="C3275" t="s">
        <v>156</v>
      </c>
      <c r="D3275" t="s">
        <v>11</v>
      </c>
      <c r="E3275" s="9">
        <v>27</v>
      </c>
      <c r="F3275" t="s">
        <v>12</v>
      </c>
      <c r="G3275" t="s">
        <v>13</v>
      </c>
      <c r="H3275" s="8">
        <v>42328</v>
      </c>
      <c r="I3275">
        <v>30268.33</v>
      </c>
      <c r="K3275" s="8"/>
    </row>
    <row r="3276" spans="1:11">
      <c r="A3276">
        <v>200003275</v>
      </c>
      <c r="B3276" t="s">
        <v>204</v>
      </c>
      <c r="C3276" t="s">
        <v>291</v>
      </c>
      <c r="D3276" t="s">
        <v>11</v>
      </c>
      <c r="E3276" s="9">
        <v>47</v>
      </c>
      <c r="F3276" t="s">
        <v>32</v>
      </c>
      <c r="G3276" t="s">
        <v>33</v>
      </c>
      <c r="H3276" s="7">
        <v>42328</v>
      </c>
      <c r="I3276">
        <v>7286.16</v>
      </c>
      <c r="K3276" s="7"/>
    </row>
    <row r="3277" spans="1:11">
      <c r="A3277">
        <v>100003276</v>
      </c>
      <c r="B3277" t="s">
        <v>267</v>
      </c>
      <c r="C3277" t="s">
        <v>54</v>
      </c>
      <c r="D3277" t="s">
        <v>16</v>
      </c>
      <c r="E3277" s="9">
        <v>39</v>
      </c>
      <c r="F3277" t="s">
        <v>12</v>
      </c>
      <c r="G3277" t="s">
        <v>13</v>
      </c>
      <c r="H3277" s="8">
        <v>42329</v>
      </c>
      <c r="I3277">
        <v>105339.9</v>
      </c>
      <c r="K3277" s="8"/>
    </row>
    <row r="3278" spans="1:11">
      <c r="A3278">
        <v>100003277</v>
      </c>
      <c r="B3278" t="s">
        <v>51</v>
      </c>
      <c r="C3278" t="s">
        <v>227</v>
      </c>
      <c r="D3278" t="s">
        <v>11</v>
      </c>
      <c r="E3278" s="9">
        <v>42</v>
      </c>
      <c r="F3278" t="s">
        <v>12</v>
      </c>
      <c r="G3278" t="s">
        <v>13</v>
      </c>
      <c r="H3278" s="7">
        <v>42329</v>
      </c>
      <c r="I3278">
        <v>11632.9</v>
      </c>
      <c r="K3278" s="7"/>
    </row>
    <row r="3279" spans="1:11">
      <c r="A3279">
        <v>100003278</v>
      </c>
      <c r="B3279" t="s">
        <v>66</v>
      </c>
      <c r="C3279" t="s">
        <v>279</v>
      </c>
      <c r="D3279" t="s">
        <v>16</v>
      </c>
      <c r="E3279" s="9">
        <v>21</v>
      </c>
      <c r="F3279" t="s">
        <v>12</v>
      </c>
      <c r="G3279" t="s">
        <v>13</v>
      </c>
      <c r="H3279" s="8">
        <v>42329</v>
      </c>
      <c r="I3279">
        <v>3038.3</v>
      </c>
      <c r="K3279" s="8"/>
    </row>
    <row r="3280" spans="1:11">
      <c r="A3280">
        <v>100003279</v>
      </c>
      <c r="B3280" t="s">
        <v>207</v>
      </c>
      <c r="C3280" t="s">
        <v>239</v>
      </c>
      <c r="D3280" t="s">
        <v>11</v>
      </c>
      <c r="E3280" s="9">
        <v>36</v>
      </c>
      <c r="F3280" t="s">
        <v>12</v>
      </c>
      <c r="G3280" t="s">
        <v>33</v>
      </c>
      <c r="H3280" s="7">
        <v>42329</v>
      </c>
      <c r="I3280">
        <v>94494.62</v>
      </c>
      <c r="K3280" s="7"/>
    </row>
    <row r="3281" spans="1:11">
      <c r="A3281">
        <v>100003280</v>
      </c>
      <c r="B3281" t="s">
        <v>74</v>
      </c>
      <c r="C3281" t="s">
        <v>170</v>
      </c>
      <c r="D3281" t="s">
        <v>16</v>
      </c>
      <c r="E3281" s="9">
        <v>35</v>
      </c>
      <c r="F3281" t="s">
        <v>12</v>
      </c>
      <c r="G3281" t="s">
        <v>13</v>
      </c>
      <c r="H3281" s="8">
        <v>42329</v>
      </c>
      <c r="I3281">
        <v>20637.25</v>
      </c>
      <c r="K3281" s="8"/>
    </row>
    <row r="3282" spans="1:11">
      <c r="A3282">
        <v>100003281</v>
      </c>
      <c r="B3282" t="s">
        <v>177</v>
      </c>
      <c r="C3282" t="s">
        <v>185</v>
      </c>
      <c r="D3282" t="s">
        <v>11</v>
      </c>
      <c r="E3282" s="9">
        <v>27</v>
      </c>
      <c r="F3282" t="s">
        <v>12</v>
      </c>
      <c r="G3282" t="s">
        <v>13</v>
      </c>
      <c r="H3282" s="7">
        <v>42329</v>
      </c>
      <c r="I3282">
        <v>53494.5</v>
      </c>
      <c r="K3282" s="7"/>
    </row>
    <row r="3283" spans="1:11">
      <c r="A3283">
        <v>100003282</v>
      </c>
      <c r="B3283" t="s">
        <v>90</v>
      </c>
      <c r="C3283" t="s">
        <v>52</v>
      </c>
      <c r="D3283" t="s">
        <v>11</v>
      </c>
      <c r="E3283" s="9">
        <v>43</v>
      </c>
      <c r="F3283" t="s">
        <v>12</v>
      </c>
      <c r="G3283" t="s">
        <v>13</v>
      </c>
      <c r="H3283" s="8">
        <v>42329</v>
      </c>
      <c r="I3283">
        <v>2619.84</v>
      </c>
      <c r="K3283" s="8"/>
    </row>
    <row r="3284" spans="1:11">
      <c r="A3284">
        <v>100003283</v>
      </c>
      <c r="B3284" t="s">
        <v>119</v>
      </c>
      <c r="C3284" t="s">
        <v>54</v>
      </c>
      <c r="D3284" t="s">
        <v>16</v>
      </c>
      <c r="E3284" s="9">
        <v>38</v>
      </c>
      <c r="F3284" t="s">
        <v>12</v>
      </c>
      <c r="G3284" t="s">
        <v>13</v>
      </c>
      <c r="H3284" s="7">
        <v>42329</v>
      </c>
      <c r="I3284">
        <v>89126.12</v>
      </c>
      <c r="K3284" s="7"/>
    </row>
    <row r="3285" spans="1:11">
      <c r="A3285">
        <v>100003284</v>
      </c>
      <c r="B3285" t="s">
        <v>317</v>
      </c>
      <c r="C3285" t="s">
        <v>225</v>
      </c>
      <c r="D3285" t="s">
        <v>16</v>
      </c>
      <c r="E3285" s="9">
        <v>35</v>
      </c>
      <c r="F3285" t="s">
        <v>12</v>
      </c>
      <c r="G3285" t="s">
        <v>13</v>
      </c>
      <c r="H3285" s="8">
        <v>42329</v>
      </c>
      <c r="I3285">
        <v>29531.43</v>
      </c>
      <c r="K3285" s="8"/>
    </row>
    <row r="3286" spans="1:11">
      <c r="A3286">
        <v>100003285</v>
      </c>
      <c r="B3286" t="s">
        <v>262</v>
      </c>
      <c r="C3286" t="s">
        <v>178</v>
      </c>
      <c r="D3286" t="s">
        <v>16</v>
      </c>
      <c r="E3286" s="9">
        <v>49</v>
      </c>
      <c r="F3286" t="s">
        <v>12</v>
      </c>
      <c r="G3286" t="s">
        <v>33</v>
      </c>
      <c r="H3286" s="7">
        <v>42329</v>
      </c>
      <c r="I3286">
        <v>90049.91</v>
      </c>
      <c r="K3286" s="7"/>
    </row>
    <row r="3287" spans="1:11">
      <c r="A3287">
        <v>100003286</v>
      </c>
      <c r="B3287" t="s">
        <v>147</v>
      </c>
      <c r="C3287" t="s">
        <v>189</v>
      </c>
      <c r="D3287" t="s">
        <v>11</v>
      </c>
      <c r="E3287" s="9">
        <v>38</v>
      </c>
      <c r="F3287" t="s">
        <v>12</v>
      </c>
      <c r="G3287" t="s">
        <v>13</v>
      </c>
      <c r="H3287" s="8">
        <v>42329</v>
      </c>
      <c r="I3287">
        <v>21417.1</v>
      </c>
      <c r="K3287" s="8"/>
    </row>
    <row r="3288" spans="1:11">
      <c r="A3288">
        <v>100003287</v>
      </c>
      <c r="B3288" t="s">
        <v>161</v>
      </c>
      <c r="C3288" t="s">
        <v>121</v>
      </c>
      <c r="D3288" t="s">
        <v>16</v>
      </c>
      <c r="E3288" s="9">
        <v>32</v>
      </c>
      <c r="F3288" t="s">
        <v>12</v>
      </c>
      <c r="G3288" t="s">
        <v>13</v>
      </c>
      <c r="H3288" s="7">
        <v>42329</v>
      </c>
      <c r="I3288">
        <v>74633.22</v>
      </c>
      <c r="K3288" s="7"/>
    </row>
    <row r="3289" spans="1:11">
      <c r="A3289">
        <v>100003288</v>
      </c>
      <c r="B3289" t="s">
        <v>303</v>
      </c>
      <c r="C3289" t="s">
        <v>127</v>
      </c>
      <c r="D3289" t="s">
        <v>11</v>
      </c>
      <c r="E3289" s="9">
        <v>37</v>
      </c>
      <c r="F3289" t="s">
        <v>12</v>
      </c>
      <c r="G3289" t="s">
        <v>13</v>
      </c>
      <c r="H3289" s="8">
        <v>42329</v>
      </c>
      <c r="I3289">
        <v>77155.23</v>
      </c>
      <c r="K3289" s="8"/>
    </row>
    <row r="3290" spans="1:11">
      <c r="A3290">
        <v>200003289</v>
      </c>
      <c r="B3290" t="s">
        <v>40</v>
      </c>
      <c r="C3290" t="s">
        <v>240</v>
      </c>
      <c r="D3290" t="s">
        <v>11</v>
      </c>
      <c r="E3290" s="9">
        <v>50</v>
      </c>
      <c r="F3290" t="s">
        <v>32</v>
      </c>
      <c r="G3290" t="s">
        <v>33</v>
      </c>
      <c r="H3290" s="7">
        <v>42329</v>
      </c>
      <c r="I3290">
        <v>99255.19</v>
      </c>
      <c r="K3290" s="7"/>
    </row>
    <row r="3291" spans="1:11">
      <c r="A3291">
        <v>200003290</v>
      </c>
      <c r="B3291" t="s">
        <v>262</v>
      </c>
      <c r="C3291" t="s">
        <v>266</v>
      </c>
      <c r="D3291" t="s">
        <v>16</v>
      </c>
      <c r="E3291" s="9">
        <v>43</v>
      </c>
      <c r="F3291" t="s">
        <v>32</v>
      </c>
      <c r="G3291" t="s">
        <v>33</v>
      </c>
      <c r="H3291" s="8">
        <v>42329</v>
      </c>
      <c r="I3291">
        <v>41538.28</v>
      </c>
      <c r="K3291" s="8"/>
    </row>
    <row r="3292" spans="1:11">
      <c r="A3292">
        <v>200003291</v>
      </c>
      <c r="B3292" t="s">
        <v>66</v>
      </c>
      <c r="C3292" t="s">
        <v>39</v>
      </c>
      <c r="D3292" t="s">
        <v>16</v>
      </c>
      <c r="E3292" s="9">
        <v>42</v>
      </c>
      <c r="F3292" t="s">
        <v>32</v>
      </c>
      <c r="G3292" t="s">
        <v>33</v>
      </c>
      <c r="H3292" s="7">
        <v>42329</v>
      </c>
      <c r="I3292">
        <v>6916.13</v>
      </c>
      <c r="K3292" s="7"/>
    </row>
    <row r="3293" spans="1:11">
      <c r="A3293">
        <v>200003292</v>
      </c>
      <c r="B3293" t="s">
        <v>193</v>
      </c>
      <c r="C3293" t="s">
        <v>269</v>
      </c>
      <c r="D3293" t="s">
        <v>11</v>
      </c>
      <c r="E3293" s="9">
        <v>51</v>
      </c>
      <c r="F3293" t="s">
        <v>32</v>
      </c>
      <c r="G3293" t="s">
        <v>18</v>
      </c>
      <c r="H3293" s="8">
        <v>42329</v>
      </c>
      <c r="I3293">
        <v>14724.29</v>
      </c>
      <c r="K3293" s="8"/>
    </row>
    <row r="3294" spans="1:11">
      <c r="A3294">
        <v>200003293</v>
      </c>
      <c r="B3294" t="s">
        <v>217</v>
      </c>
      <c r="C3294" t="s">
        <v>224</v>
      </c>
      <c r="D3294" t="s">
        <v>11</v>
      </c>
      <c r="E3294" s="9">
        <v>47</v>
      </c>
      <c r="F3294" t="s">
        <v>32</v>
      </c>
      <c r="G3294" t="s">
        <v>18</v>
      </c>
      <c r="H3294" s="7">
        <v>42329</v>
      </c>
      <c r="I3294">
        <v>5875.97</v>
      </c>
      <c r="K3294" s="7"/>
    </row>
    <row r="3295" spans="1:11">
      <c r="A3295">
        <v>200003294</v>
      </c>
      <c r="B3295" t="s">
        <v>261</v>
      </c>
      <c r="C3295" t="s">
        <v>212</v>
      </c>
      <c r="D3295" t="s">
        <v>11</v>
      </c>
      <c r="E3295" s="9">
        <v>55</v>
      </c>
      <c r="F3295" t="s">
        <v>32</v>
      </c>
      <c r="G3295" t="s">
        <v>18</v>
      </c>
      <c r="H3295" s="8">
        <v>42329</v>
      </c>
      <c r="I3295">
        <v>71276.7</v>
      </c>
      <c r="K3295" s="8"/>
    </row>
    <row r="3296" spans="1:11">
      <c r="A3296">
        <v>200003295</v>
      </c>
      <c r="B3296" t="s">
        <v>79</v>
      </c>
      <c r="C3296" t="s">
        <v>100</v>
      </c>
      <c r="D3296" t="s">
        <v>11</v>
      </c>
      <c r="E3296" s="9">
        <v>51</v>
      </c>
      <c r="F3296" t="s">
        <v>32</v>
      </c>
      <c r="G3296" t="s">
        <v>33</v>
      </c>
      <c r="H3296" s="7">
        <v>42329</v>
      </c>
      <c r="I3296">
        <v>37322.47</v>
      </c>
      <c r="K3296" s="7"/>
    </row>
    <row r="3297" spans="1:11">
      <c r="A3297">
        <v>200003296</v>
      </c>
      <c r="B3297" t="s">
        <v>40</v>
      </c>
      <c r="C3297" t="s">
        <v>52</v>
      </c>
      <c r="D3297" t="s">
        <v>11</v>
      </c>
      <c r="E3297" s="9">
        <v>26</v>
      </c>
      <c r="F3297" t="s">
        <v>32</v>
      </c>
      <c r="G3297" t="s">
        <v>18</v>
      </c>
      <c r="H3297" s="8">
        <v>42329</v>
      </c>
      <c r="I3297">
        <v>39625.370000000003</v>
      </c>
      <c r="K3297" s="8"/>
    </row>
    <row r="3298" spans="1:11">
      <c r="A3298">
        <v>200003297</v>
      </c>
      <c r="B3298" t="s">
        <v>79</v>
      </c>
      <c r="C3298" t="s">
        <v>113</v>
      </c>
      <c r="D3298" t="s">
        <v>11</v>
      </c>
      <c r="E3298" s="9">
        <v>54</v>
      </c>
      <c r="F3298" t="s">
        <v>32</v>
      </c>
      <c r="G3298" t="s">
        <v>18</v>
      </c>
      <c r="H3298" s="7">
        <v>42329</v>
      </c>
      <c r="I3298">
        <v>7410.73</v>
      </c>
      <c r="K3298" s="7"/>
    </row>
    <row r="3299" spans="1:11">
      <c r="A3299">
        <v>200003298</v>
      </c>
      <c r="B3299" t="s">
        <v>176</v>
      </c>
      <c r="C3299" t="s">
        <v>107</v>
      </c>
      <c r="D3299" t="s">
        <v>16</v>
      </c>
      <c r="E3299" s="9">
        <v>53</v>
      </c>
      <c r="F3299" t="s">
        <v>32</v>
      </c>
      <c r="G3299" t="s">
        <v>33</v>
      </c>
      <c r="H3299" s="8">
        <v>42329</v>
      </c>
      <c r="I3299">
        <v>466.01</v>
      </c>
      <c r="K3299" s="8"/>
    </row>
    <row r="3300" spans="1:11">
      <c r="A3300">
        <v>300003299</v>
      </c>
      <c r="B3300" t="s">
        <v>19</v>
      </c>
      <c r="C3300" t="s">
        <v>130</v>
      </c>
      <c r="D3300" t="s">
        <v>11</v>
      </c>
      <c r="E3300" s="9">
        <v>34</v>
      </c>
      <c r="F3300" t="s">
        <v>23</v>
      </c>
      <c r="G3300" t="s">
        <v>13</v>
      </c>
      <c r="H3300" s="7">
        <v>42329</v>
      </c>
      <c r="I3300">
        <v>32851.32</v>
      </c>
      <c r="K3300" s="7"/>
    </row>
    <row r="3301" spans="1:11">
      <c r="A3301">
        <v>100003300</v>
      </c>
      <c r="B3301" t="s">
        <v>135</v>
      </c>
      <c r="C3301" t="s">
        <v>248</v>
      </c>
      <c r="D3301" t="s">
        <v>11</v>
      </c>
      <c r="E3301" s="9">
        <v>38</v>
      </c>
      <c r="F3301" t="s">
        <v>12</v>
      </c>
      <c r="G3301" t="s">
        <v>33</v>
      </c>
      <c r="H3301" s="8">
        <v>42330</v>
      </c>
      <c r="I3301">
        <v>64508.93</v>
      </c>
      <c r="K3301" s="8"/>
    </row>
    <row r="3302" spans="1:11">
      <c r="A3302">
        <v>100003301</v>
      </c>
      <c r="B3302" t="s">
        <v>217</v>
      </c>
      <c r="C3302" t="s">
        <v>63</v>
      </c>
      <c r="D3302" t="s">
        <v>11</v>
      </c>
      <c r="E3302" s="9">
        <v>46</v>
      </c>
      <c r="F3302" t="s">
        <v>12</v>
      </c>
      <c r="G3302" t="s">
        <v>13</v>
      </c>
      <c r="H3302" s="7">
        <v>42330</v>
      </c>
      <c r="I3302">
        <v>47908.76</v>
      </c>
      <c r="K3302" s="7"/>
    </row>
    <row r="3303" spans="1:11">
      <c r="A3303">
        <v>100003302</v>
      </c>
      <c r="B3303" t="s">
        <v>251</v>
      </c>
      <c r="C3303" t="s">
        <v>61</v>
      </c>
      <c r="D3303" t="s">
        <v>16</v>
      </c>
      <c r="E3303" s="9">
        <v>36</v>
      </c>
      <c r="F3303" t="s">
        <v>12</v>
      </c>
      <c r="G3303" t="s">
        <v>13</v>
      </c>
      <c r="H3303" s="8">
        <v>42330</v>
      </c>
      <c r="I3303">
        <v>77553.789999999994</v>
      </c>
      <c r="K3303" s="8"/>
    </row>
    <row r="3304" spans="1:11">
      <c r="A3304">
        <v>100003303</v>
      </c>
      <c r="B3304" t="s">
        <v>117</v>
      </c>
      <c r="C3304" t="s">
        <v>95</v>
      </c>
      <c r="D3304" t="s">
        <v>16</v>
      </c>
      <c r="E3304" s="9">
        <v>47</v>
      </c>
      <c r="F3304" t="s">
        <v>12</v>
      </c>
      <c r="G3304" t="s">
        <v>18</v>
      </c>
      <c r="H3304" s="7">
        <v>42330</v>
      </c>
      <c r="I3304">
        <v>15690.97</v>
      </c>
      <c r="K3304" s="7"/>
    </row>
    <row r="3305" spans="1:11">
      <c r="A3305">
        <v>100003304</v>
      </c>
      <c r="B3305" t="s">
        <v>188</v>
      </c>
      <c r="C3305" t="s">
        <v>233</v>
      </c>
      <c r="D3305" t="s">
        <v>11</v>
      </c>
      <c r="E3305" s="9">
        <v>28</v>
      </c>
      <c r="F3305" t="s">
        <v>12</v>
      </c>
      <c r="G3305" t="s">
        <v>33</v>
      </c>
      <c r="H3305" s="8">
        <v>42330</v>
      </c>
      <c r="I3305">
        <v>82847.05</v>
      </c>
      <c r="K3305" s="8"/>
    </row>
    <row r="3306" spans="1:11">
      <c r="A3306">
        <v>200003305</v>
      </c>
      <c r="B3306" t="s">
        <v>301</v>
      </c>
      <c r="C3306" t="s">
        <v>253</v>
      </c>
      <c r="D3306" t="s">
        <v>16</v>
      </c>
      <c r="E3306" s="9">
        <v>45</v>
      </c>
      <c r="F3306" t="s">
        <v>32</v>
      </c>
      <c r="G3306" t="s">
        <v>33</v>
      </c>
      <c r="H3306" s="7">
        <v>42330</v>
      </c>
      <c r="I3306">
        <v>6176.99</v>
      </c>
      <c r="K3306" s="7"/>
    </row>
    <row r="3307" spans="1:11">
      <c r="A3307">
        <v>200003306</v>
      </c>
      <c r="B3307" t="s">
        <v>204</v>
      </c>
      <c r="C3307" t="s">
        <v>127</v>
      </c>
      <c r="D3307" t="s">
        <v>11</v>
      </c>
      <c r="E3307" s="9">
        <v>35</v>
      </c>
      <c r="F3307" t="s">
        <v>32</v>
      </c>
      <c r="G3307" t="s">
        <v>33</v>
      </c>
      <c r="H3307" s="8">
        <v>42330</v>
      </c>
      <c r="I3307">
        <v>33575.800000000003</v>
      </c>
      <c r="K3307" s="8"/>
    </row>
    <row r="3308" spans="1:11">
      <c r="A3308">
        <v>100003307</v>
      </c>
      <c r="B3308" t="s">
        <v>14</v>
      </c>
      <c r="C3308" t="s">
        <v>116</v>
      </c>
      <c r="D3308" t="s">
        <v>16</v>
      </c>
      <c r="E3308" s="9">
        <v>53</v>
      </c>
      <c r="F3308" t="s">
        <v>12</v>
      </c>
      <c r="G3308" t="s">
        <v>33</v>
      </c>
      <c r="H3308" s="7">
        <v>42331</v>
      </c>
      <c r="I3308">
        <v>36319.75</v>
      </c>
      <c r="K3308" s="7"/>
    </row>
    <row r="3309" spans="1:11">
      <c r="A3309">
        <v>100003308</v>
      </c>
      <c r="B3309" t="s">
        <v>255</v>
      </c>
      <c r="C3309" t="s">
        <v>252</v>
      </c>
      <c r="D3309" t="s">
        <v>11</v>
      </c>
      <c r="E3309" s="9">
        <v>31</v>
      </c>
      <c r="F3309" t="s">
        <v>12</v>
      </c>
      <c r="G3309" t="s">
        <v>13</v>
      </c>
      <c r="H3309" s="8">
        <v>42331</v>
      </c>
      <c r="I3309">
        <v>20544.55</v>
      </c>
      <c r="K3309" s="8"/>
    </row>
    <row r="3310" spans="1:11">
      <c r="A3310">
        <v>100003309</v>
      </c>
      <c r="B3310" t="s">
        <v>284</v>
      </c>
      <c r="C3310" t="s">
        <v>100</v>
      </c>
      <c r="D3310" t="s">
        <v>16</v>
      </c>
      <c r="E3310" s="9">
        <v>43</v>
      </c>
      <c r="F3310" t="s">
        <v>12</v>
      </c>
      <c r="G3310" t="s">
        <v>13</v>
      </c>
      <c r="H3310" s="7">
        <v>42331</v>
      </c>
      <c r="I3310">
        <v>16111.39</v>
      </c>
      <c r="K3310" s="7"/>
    </row>
    <row r="3311" spans="1:11">
      <c r="A3311">
        <v>100003310</v>
      </c>
      <c r="B3311" t="s">
        <v>34</v>
      </c>
      <c r="C3311" t="s">
        <v>253</v>
      </c>
      <c r="D3311" t="s">
        <v>16</v>
      </c>
      <c r="E3311" s="9">
        <v>28</v>
      </c>
      <c r="F3311" t="s">
        <v>12</v>
      </c>
      <c r="G3311" t="s">
        <v>13</v>
      </c>
      <c r="H3311" s="8">
        <v>42331</v>
      </c>
      <c r="I3311">
        <v>59252.91</v>
      </c>
      <c r="K3311" s="8"/>
    </row>
    <row r="3312" spans="1:11">
      <c r="A3312">
        <v>100003311</v>
      </c>
      <c r="B3312" t="s">
        <v>86</v>
      </c>
      <c r="C3312" t="s">
        <v>291</v>
      </c>
      <c r="D3312" t="s">
        <v>11</v>
      </c>
      <c r="E3312" s="9">
        <v>43</v>
      </c>
      <c r="F3312" t="s">
        <v>12</v>
      </c>
      <c r="G3312" t="s">
        <v>13</v>
      </c>
      <c r="H3312" s="7">
        <v>42331</v>
      </c>
      <c r="I3312">
        <v>45425.57</v>
      </c>
      <c r="K3312" s="7"/>
    </row>
    <row r="3313" spans="1:11">
      <c r="A3313">
        <v>100003312</v>
      </c>
      <c r="B3313" t="s">
        <v>44</v>
      </c>
      <c r="C3313" t="s">
        <v>266</v>
      </c>
      <c r="D3313" t="s">
        <v>16</v>
      </c>
      <c r="E3313" s="9">
        <v>32</v>
      </c>
      <c r="F3313" t="s">
        <v>12</v>
      </c>
      <c r="G3313" t="s">
        <v>13</v>
      </c>
      <c r="H3313" s="8">
        <v>42331</v>
      </c>
      <c r="I3313">
        <v>47291.75</v>
      </c>
      <c r="K3313" s="8"/>
    </row>
    <row r="3314" spans="1:11">
      <c r="A3314">
        <v>100003313</v>
      </c>
      <c r="B3314" t="s">
        <v>300</v>
      </c>
      <c r="C3314" t="s">
        <v>252</v>
      </c>
      <c r="D3314" t="s">
        <v>16</v>
      </c>
      <c r="E3314" s="9">
        <v>30</v>
      </c>
      <c r="F3314" t="s">
        <v>12</v>
      </c>
      <c r="G3314" t="s">
        <v>13</v>
      </c>
      <c r="H3314" s="7">
        <v>42331</v>
      </c>
      <c r="I3314">
        <v>27937.26</v>
      </c>
      <c r="K3314" s="7"/>
    </row>
    <row r="3315" spans="1:11">
      <c r="A3315">
        <v>100003314</v>
      </c>
      <c r="B3315" t="s">
        <v>218</v>
      </c>
      <c r="C3315" t="s">
        <v>47</v>
      </c>
      <c r="D3315" t="s">
        <v>11</v>
      </c>
      <c r="E3315" s="9">
        <v>32</v>
      </c>
      <c r="F3315" t="s">
        <v>12</v>
      </c>
      <c r="G3315" t="s">
        <v>33</v>
      </c>
      <c r="H3315" s="8">
        <v>42331</v>
      </c>
      <c r="I3315">
        <v>677.88</v>
      </c>
      <c r="K3315" s="8"/>
    </row>
    <row r="3316" spans="1:11">
      <c r="A3316">
        <v>100003315</v>
      </c>
      <c r="B3316" t="s">
        <v>220</v>
      </c>
      <c r="C3316" t="s">
        <v>310</v>
      </c>
      <c r="D3316" t="s">
        <v>16</v>
      </c>
      <c r="E3316" s="9">
        <v>29</v>
      </c>
      <c r="F3316" t="s">
        <v>12</v>
      </c>
      <c r="G3316" t="s">
        <v>13</v>
      </c>
      <c r="H3316" s="7">
        <v>42331</v>
      </c>
      <c r="I3316">
        <v>39324.22</v>
      </c>
      <c r="K3316" s="7"/>
    </row>
    <row r="3317" spans="1:11">
      <c r="A3317">
        <v>100003316</v>
      </c>
      <c r="B3317" t="s">
        <v>298</v>
      </c>
      <c r="C3317" t="s">
        <v>322</v>
      </c>
      <c r="D3317" t="s">
        <v>16</v>
      </c>
      <c r="E3317" s="9">
        <v>30</v>
      </c>
      <c r="F3317" t="s">
        <v>12</v>
      </c>
      <c r="G3317" t="s">
        <v>33</v>
      </c>
      <c r="H3317" s="8">
        <v>42331</v>
      </c>
      <c r="I3317">
        <v>52474.35</v>
      </c>
      <c r="K3317" s="8"/>
    </row>
    <row r="3318" spans="1:11">
      <c r="A3318">
        <v>100003317</v>
      </c>
      <c r="B3318" t="s">
        <v>235</v>
      </c>
      <c r="C3318" t="s">
        <v>230</v>
      </c>
      <c r="D3318" t="s">
        <v>11</v>
      </c>
      <c r="E3318" s="9">
        <v>41</v>
      </c>
      <c r="F3318" t="s">
        <v>12</v>
      </c>
      <c r="G3318" t="s">
        <v>13</v>
      </c>
      <c r="H3318" s="7">
        <v>42331</v>
      </c>
      <c r="I3318">
        <v>64153.64</v>
      </c>
      <c r="K3318" s="7"/>
    </row>
    <row r="3319" spans="1:11">
      <c r="A3319">
        <v>200003318</v>
      </c>
      <c r="B3319" t="s">
        <v>137</v>
      </c>
      <c r="C3319" t="s">
        <v>71</v>
      </c>
      <c r="D3319" t="s">
        <v>11</v>
      </c>
      <c r="E3319" s="9">
        <v>50</v>
      </c>
      <c r="F3319" t="s">
        <v>32</v>
      </c>
      <c r="G3319" t="s">
        <v>33</v>
      </c>
      <c r="H3319" s="8">
        <v>42331</v>
      </c>
      <c r="I3319">
        <v>57632.39</v>
      </c>
      <c r="K3319" s="8"/>
    </row>
    <row r="3320" spans="1:11">
      <c r="A3320">
        <v>300003319</v>
      </c>
      <c r="B3320" t="s">
        <v>254</v>
      </c>
      <c r="C3320" t="s">
        <v>160</v>
      </c>
      <c r="D3320" t="s">
        <v>11</v>
      </c>
      <c r="E3320" s="9">
        <v>22</v>
      </c>
      <c r="F3320" t="s">
        <v>23</v>
      </c>
      <c r="G3320" t="s">
        <v>13</v>
      </c>
      <c r="H3320" s="7">
        <v>42331</v>
      </c>
      <c r="I3320">
        <v>25219.7</v>
      </c>
      <c r="K3320" s="7"/>
    </row>
    <row r="3321" spans="1:11">
      <c r="A3321">
        <v>300003320</v>
      </c>
      <c r="B3321" t="s">
        <v>202</v>
      </c>
      <c r="C3321" t="s">
        <v>54</v>
      </c>
      <c r="D3321" t="s">
        <v>11</v>
      </c>
      <c r="E3321" s="9">
        <v>27</v>
      </c>
      <c r="F3321" t="s">
        <v>23</v>
      </c>
      <c r="G3321" t="s">
        <v>13</v>
      </c>
      <c r="H3321" s="8">
        <v>42331</v>
      </c>
      <c r="I3321">
        <v>7897.23</v>
      </c>
      <c r="K3321" s="8"/>
    </row>
    <row r="3322" spans="1:11">
      <c r="A3322">
        <v>400003321</v>
      </c>
      <c r="B3322" t="s">
        <v>300</v>
      </c>
      <c r="C3322" t="s">
        <v>155</v>
      </c>
      <c r="D3322" t="s">
        <v>16</v>
      </c>
      <c r="E3322" s="9">
        <v>27</v>
      </c>
      <c r="F3322" t="s">
        <v>17</v>
      </c>
      <c r="G3322" t="s">
        <v>13</v>
      </c>
      <c r="H3322" s="7">
        <v>42331</v>
      </c>
      <c r="I3322">
        <v>31618.560000000001</v>
      </c>
      <c r="K3322" s="7"/>
    </row>
    <row r="3323" spans="1:11">
      <c r="A3323">
        <v>100003322</v>
      </c>
      <c r="B3323" t="s">
        <v>36</v>
      </c>
      <c r="C3323" t="s">
        <v>87</v>
      </c>
      <c r="D3323" t="s">
        <v>11</v>
      </c>
      <c r="E3323" s="9">
        <v>47</v>
      </c>
      <c r="F3323" t="s">
        <v>12</v>
      </c>
      <c r="G3323" t="s">
        <v>13</v>
      </c>
      <c r="H3323" s="8">
        <v>42332</v>
      </c>
      <c r="I3323">
        <v>12302.28</v>
      </c>
      <c r="K3323" s="8"/>
    </row>
    <row r="3324" spans="1:11">
      <c r="A3324">
        <v>100003323</v>
      </c>
      <c r="B3324" t="s">
        <v>168</v>
      </c>
      <c r="C3324" t="s">
        <v>144</v>
      </c>
      <c r="D3324" t="s">
        <v>16</v>
      </c>
      <c r="E3324" s="9">
        <v>32</v>
      </c>
      <c r="F3324" t="s">
        <v>12</v>
      </c>
      <c r="G3324" t="s">
        <v>33</v>
      </c>
      <c r="H3324" s="7">
        <v>42332</v>
      </c>
      <c r="I3324">
        <v>62279.58</v>
      </c>
      <c r="K3324" s="7"/>
    </row>
    <row r="3325" spans="1:11">
      <c r="A3325">
        <v>100003324</v>
      </c>
      <c r="B3325" t="s">
        <v>221</v>
      </c>
      <c r="C3325" t="s">
        <v>140</v>
      </c>
      <c r="D3325" t="s">
        <v>16</v>
      </c>
      <c r="E3325" s="9">
        <v>35</v>
      </c>
      <c r="F3325" t="s">
        <v>12</v>
      </c>
      <c r="G3325" t="s">
        <v>33</v>
      </c>
      <c r="H3325" s="8">
        <v>42332</v>
      </c>
      <c r="I3325">
        <v>28586.34</v>
      </c>
      <c r="K3325" s="8"/>
    </row>
    <row r="3326" spans="1:11">
      <c r="A3326">
        <v>100003325</v>
      </c>
      <c r="B3326" t="s">
        <v>287</v>
      </c>
      <c r="C3326" t="s">
        <v>160</v>
      </c>
      <c r="D3326" t="s">
        <v>16</v>
      </c>
      <c r="E3326" s="9">
        <v>35</v>
      </c>
      <c r="F3326" t="s">
        <v>12</v>
      </c>
      <c r="G3326" t="s">
        <v>18</v>
      </c>
      <c r="H3326" s="7">
        <v>42332</v>
      </c>
      <c r="I3326">
        <v>43833.84</v>
      </c>
      <c r="K3326" s="7"/>
    </row>
    <row r="3327" spans="1:11">
      <c r="A3327">
        <v>100003326</v>
      </c>
      <c r="B3327" t="s">
        <v>74</v>
      </c>
      <c r="C3327" t="s">
        <v>272</v>
      </c>
      <c r="D3327" t="s">
        <v>16</v>
      </c>
      <c r="E3327" s="9">
        <v>35</v>
      </c>
      <c r="F3327" t="s">
        <v>12</v>
      </c>
      <c r="G3327" t="s">
        <v>33</v>
      </c>
      <c r="H3327" s="8">
        <v>42332</v>
      </c>
      <c r="I3327">
        <v>30158.68</v>
      </c>
      <c r="K3327" s="8"/>
    </row>
    <row r="3328" spans="1:11">
      <c r="A3328">
        <v>100003327</v>
      </c>
      <c r="B3328" t="s">
        <v>44</v>
      </c>
      <c r="C3328" t="s">
        <v>65</v>
      </c>
      <c r="D3328" t="s">
        <v>16</v>
      </c>
      <c r="E3328" s="9">
        <v>36</v>
      </c>
      <c r="F3328" t="s">
        <v>12</v>
      </c>
      <c r="G3328" t="s">
        <v>13</v>
      </c>
      <c r="H3328" s="7">
        <v>42332</v>
      </c>
      <c r="I3328">
        <v>28128.35</v>
      </c>
      <c r="K3328" s="7"/>
    </row>
    <row r="3329" spans="1:11">
      <c r="A3329">
        <v>100003328</v>
      </c>
      <c r="B3329" t="s">
        <v>190</v>
      </c>
      <c r="C3329" t="s">
        <v>310</v>
      </c>
      <c r="D3329" t="s">
        <v>11</v>
      </c>
      <c r="E3329" s="9">
        <v>50</v>
      </c>
      <c r="F3329" t="s">
        <v>12</v>
      </c>
      <c r="G3329" t="s">
        <v>13</v>
      </c>
      <c r="H3329" s="8">
        <v>42332</v>
      </c>
      <c r="I3329">
        <v>17454.849999999999</v>
      </c>
      <c r="K3329" s="8"/>
    </row>
    <row r="3330" spans="1:11">
      <c r="A3330">
        <v>100003329</v>
      </c>
      <c r="B3330" t="s">
        <v>308</v>
      </c>
      <c r="C3330" t="s">
        <v>275</v>
      </c>
      <c r="D3330" t="s">
        <v>16</v>
      </c>
      <c r="E3330" s="9">
        <v>32</v>
      </c>
      <c r="F3330" t="s">
        <v>12</v>
      </c>
      <c r="G3330" t="s">
        <v>13</v>
      </c>
      <c r="H3330" s="7">
        <v>42332</v>
      </c>
      <c r="I3330">
        <v>68573.19</v>
      </c>
      <c r="K3330" s="7"/>
    </row>
    <row r="3331" spans="1:11">
      <c r="A3331">
        <v>100003330</v>
      </c>
      <c r="B3331" t="s">
        <v>267</v>
      </c>
      <c r="C3331" t="s">
        <v>96</v>
      </c>
      <c r="D3331" t="s">
        <v>16</v>
      </c>
      <c r="E3331" s="9">
        <v>40</v>
      </c>
      <c r="F3331" t="s">
        <v>12</v>
      </c>
      <c r="G3331" t="s">
        <v>33</v>
      </c>
      <c r="H3331" s="8">
        <v>42332</v>
      </c>
      <c r="I3331">
        <v>52970.78</v>
      </c>
      <c r="K3331" s="8"/>
    </row>
    <row r="3332" spans="1:11">
      <c r="A3332">
        <v>100003331</v>
      </c>
      <c r="B3332" t="s">
        <v>303</v>
      </c>
      <c r="C3332" t="s">
        <v>163</v>
      </c>
      <c r="D3332" t="s">
        <v>11</v>
      </c>
      <c r="E3332" s="9">
        <v>44</v>
      </c>
      <c r="F3332" t="s">
        <v>12</v>
      </c>
      <c r="G3332" t="s">
        <v>33</v>
      </c>
      <c r="H3332" s="7">
        <v>42332</v>
      </c>
      <c r="I3332">
        <v>25768.74</v>
      </c>
      <c r="K3332" s="7"/>
    </row>
    <row r="3333" spans="1:11">
      <c r="A3333">
        <v>100003332</v>
      </c>
      <c r="B3333" t="s">
        <v>197</v>
      </c>
      <c r="C3333" t="s">
        <v>313</v>
      </c>
      <c r="D3333" t="s">
        <v>11</v>
      </c>
      <c r="E3333" s="9">
        <v>21</v>
      </c>
      <c r="F3333" t="s">
        <v>12</v>
      </c>
      <c r="G3333" t="s">
        <v>13</v>
      </c>
      <c r="H3333" s="8">
        <v>42332</v>
      </c>
      <c r="I3333">
        <v>88147.69</v>
      </c>
      <c r="K3333" s="8"/>
    </row>
    <row r="3334" spans="1:11">
      <c r="A3334">
        <v>100003333</v>
      </c>
      <c r="B3334" t="s">
        <v>57</v>
      </c>
      <c r="C3334" t="s">
        <v>295</v>
      </c>
      <c r="D3334" t="s">
        <v>11</v>
      </c>
      <c r="E3334" s="9">
        <v>37</v>
      </c>
      <c r="F3334" t="s">
        <v>12</v>
      </c>
      <c r="G3334" t="s">
        <v>18</v>
      </c>
      <c r="H3334" s="7">
        <v>42332</v>
      </c>
      <c r="I3334">
        <v>125213.72</v>
      </c>
      <c r="K3334" s="7"/>
    </row>
    <row r="3335" spans="1:11">
      <c r="A3335">
        <v>100003334</v>
      </c>
      <c r="B3335" t="s">
        <v>42</v>
      </c>
      <c r="C3335" t="s">
        <v>295</v>
      </c>
      <c r="D3335" t="s">
        <v>11</v>
      </c>
      <c r="E3335" s="9">
        <v>39</v>
      </c>
      <c r="F3335" t="s">
        <v>12</v>
      </c>
      <c r="G3335" t="s">
        <v>13</v>
      </c>
      <c r="H3335" s="8">
        <v>42332</v>
      </c>
      <c r="I3335">
        <v>55146.36</v>
      </c>
      <c r="K3335" s="8"/>
    </row>
    <row r="3336" spans="1:11">
      <c r="A3336">
        <v>100003335</v>
      </c>
      <c r="B3336" t="s">
        <v>319</v>
      </c>
      <c r="C3336" t="s">
        <v>73</v>
      </c>
      <c r="D3336" t="s">
        <v>16</v>
      </c>
      <c r="E3336" s="9">
        <v>30</v>
      </c>
      <c r="F3336" t="s">
        <v>12</v>
      </c>
      <c r="G3336" t="s">
        <v>13</v>
      </c>
      <c r="H3336" s="7">
        <v>42332</v>
      </c>
      <c r="I3336">
        <v>43545.03</v>
      </c>
      <c r="K3336" s="7"/>
    </row>
    <row r="3337" spans="1:11">
      <c r="A3337">
        <v>200003336</v>
      </c>
      <c r="B3337" t="s">
        <v>118</v>
      </c>
      <c r="C3337" t="s">
        <v>164</v>
      </c>
      <c r="D3337" t="s">
        <v>11</v>
      </c>
      <c r="E3337" s="9">
        <v>53</v>
      </c>
      <c r="F3337" t="s">
        <v>32</v>
      </c>
      <c r="G3337" t="s">
        <v>33</v>
      </c>
      <c r="H3337" s="8">
        <v>42332</v>
      </c>
      <c r="I3337">
        <v>37425.230000000003</v>
      </c>
      <c r="K3337" s="8"/>
    </row>
    <row r="3338" spans="1:11">
      <c r="A3338">
        <v>200003337</v>
      </c>
      <c r="B3338" t="s">
        <v>287</v>
      </c>
      <c r="C3338" t="s">
        <v>95</v>
      </c>
      <c r="D3338" t="s">
        <v>16</v>
      </c>
      <c r="E3338" s="9">
        <v>48</v>
      </c>
      <c r="F3338" t="s">
        <v>32</v>
      </c>
      <c r="G3338" t="s">
        <v>33</v>
      </c>
      <c r="H3338" s="7">
        <v>42332</v>
      </c>
      <c r="I3338">
        <v>35190.959999999999</v>
      </c>
      <c r="K3338" s="7"/>
    </row>
    <row r="3339" spans="1:11">
      <c r="A3339">
        <v>200003338</v>
      </c>
      <c r="B3339" t="s">
        <v>311</v>
      </c>
      <c r="C3339" t="s">
        <v>98</v>
      </c>
      <c r="D3339" t="s">
        <v>11</v>
      </c>
      <c r="E3339" s="9">
        <v>60</v>
      </c>
      <c r="F3339" t="s">
        <v>32</v>
      </c>
      <c r="G3339" t="s">
        <v>18</v>
      </c>
      <c r="H3339" s="8">
        <v>42332</v>
      </c>
      <c r="I3339">
        <v>52742.54</v>
      </c>
      <c r="K3339" s="8"/>
    </row>
    <row r="3340" spans="1:11">
      <c r="A3340">
        <v>200003339</v>
      </c>
      <c r="B3340" t="s">
        <v>311</v>
      </c>
      <c r="C3340" t="s">
        <v>69</v>
      </c>
      <c r="D3340" t="s">
        <v>11</v>
      </c>
      <c r="E3340" s="9">
        <v>55</v>
      </c>
      <c r="F3340" t="s">
        <v>32</v>
      </c>
      <c r="G3340" t="s">
        <v>33</v>
      </c>
      <c r="H3340" s="7">
        <v>42332</v>
      </c>
      <c r="I3340">
        <v>24030.97</v>
      </c>
      <c r="K3340" s="7"/>
    </row>
    <row r="3341" spans="1:11">
      <c r="A3341">
        <v>200003340</v>
      </c>
      <c r="B3341" t="s">
        <v>111</v>
      </c>
      <c r="C3341" t="s">
        <v>291</v>
      </c>
      <c r="D3341" t="s">
        <v>11</v>
      </c>
      <c r="E3341" s="9">
        <v>59</v>
      </c>
      <c r="F3341" t="s">
        <v>32</v>
      </c>
      <c r="G3341" t="s">
        <v>18</v>
      </c>
      <c r="H3341" s="8">
        <v>42332</v>
      </c>
      <c r="I3341">
        <v>64210.63</v>
      </c>
      <c r="K3341" s="8"/>
    </row>
    <row r="3342" spans="1:11">
      <c r="A3342">
        <v>200003341</v>
      </c>
      <c r="B3342" t="s">
        <v>152</v>
      </c>
      <c r="C3342" t="s">
        <v>224</v>
      </c>
      <c r="D3342" t="s">
        <v>11</v>
      </c>
      <c r="E3342" s="9">
        <v>46</v>
      </c>
      <c r="F3342" t="s">
        <v>32</v>
      </c>
      <c r="G3342" t="s">
        <v>18</v>
      </c>
      <c r="H3342" s="7">
        <v>42332</v>
      </c>
      <c r="I3342">
        <v>99396.23</v>
      </c>
      <c r="K3342" s="7"/>
    </row>
    <row r="3343" spans="1:11">
      <c r="A3343">
        <v>300003342</v>
      </c>
      <c r="B3343" t="s">
        <v>316</v>
      </c>
      <c r="C3343" t="s">
        <v>153</v>
      </c>
      <c r="D3343" t="s">
        <v>16</v>
      </c>
      <c r="E3343" s="9">
        <v>28</v>
      </c>
      <c r="F3343" t="s">
        <v>23</v>
      </c>
      <c r="G3343" t="s">
        <v>13</v>
      </c>
      <c r="H3343" s="8">
        <v>42332</v>
      </c>
      <c r="I3343">
        <v>30366.240000000002</v>
      </c>
      <c r="K3343" s="8"/>
    </row>
    <row r="3344" spans="1:11">
      <c r="A3344">
        <v>300003343</v>
      </c>
      <c r="B3344" t="s">
        <v>284</v>
      </c>
      <c r="C3344" t="s">
        <v>247</v>
      </c>
      <c r="D3344" t="s">
        <v>16</v>
      </c>
      <c r="E3344" s="9">
        <v>35</v>
      </c>
      <c r="F3344" t="s">
        <v>23</v>
      </c>
      <c r="G3344" t="s">
        <v>13</v>
      </c>
      <c r="H3344" s="7">
        <v>42332</v>
      </c>
      <c r="I3344">
        <v>4012.37</v>
      </c>
      <c r="K3344" s="7"/>
    </row>
    <row r="3345" spans="1:11">
      <c r="A3345">
        <v>300003344</v>
      </c>
      <c r="B3345" t="s">
        <v>300</v>
      </c>
      <c r="C3345" t="s">
        <v>130</v>
      </c>
      <c r="D3345" t="s">
        <v>16</v>
      </c>
      <c r="E3345" s="9">
        <v>35</v>
      </c>
      <c r="F3345" t="s">
        <v>23</v>
      </c>
      <c r="G3345" t="s">
        <v>13</v>
      </c>
      <c r="H3345" s="8">
        <v>42332</v>
      </c>
      <c r="I3345">
        <v>39380.29</v>
      </c>
      <c r="K3345" s="8"/>
    </row>
    <row r="3346" spans="1:11">
      <c r="A3346">
        <v>100003345</v>
      </c>
      <c r="B3346" t="s">
        <v>311</v>
      </c>
      <c r="C3346" t="s">
        <v>82</v>
      </c>
      <c r="D3346" t="s">
        <v>11</v>
      </c>
      <c r="E3346" s="9">
        <v>38</v>
      </c>
      <c r="F3346" t="s">
        <v>12</v>
      </c>
      <c r="G3346" t="s">
        <v>13</v>
      </c>
      <c r="H3346" s="7">
        <v>42333</v>
      </c>
      <c r="I3346">
        <v>30231.47</v>
      </c>
      <c r="K3346" s="7"/>
    </row>
    <row r="3347" spans="1:11">
      <c r="A3347">
        <v>100003346</v>
      </c>
      <c r="B3347" t="s">
        <v>298</v>
      </c>
      <c r="C3347" t="s">
        <v>59</v>
      </c>
      <c r="D3347" t="s">
        <v>16</v>
      </c>
      <c r="E3347" s="9">
        <v>37</v>
      </c>
      <c r="F3347" t="s">
        <v>12</v>
      </c>
      <c r="G3347" t="s">
        <v>13</v>
      </c>
      <c r="H3347" s="8">
        <v>42333</v>
      </c>
      <c r="I3347">
        <v>51295.71</v>
      </c>
      <c r="K3347" s="8"/>
    </row>
    <row r="3348" spans="1:11">
      <c r="A3348">
        <v>100003347</v>
      </c>
      <c r="B3348" t="s">
        <v>79</v>
      </c>
      <c r="C3348" t="s">
        <v>109</v>
      </c>
      <c r="D3348" t="s">
        <v>11</v>
      </c>
      <c r="E3348" s="9">
        <v>24</v>
      </c>
      <c r="F3348" t="s">
        <v>12</v>
      </c>
      <c r="G3348" t="s">
        <v>13</v>
      </c>
      <c r="H3348" s="7">
        <v>42333</v>
      </c>
      <c r="I3348">
        <v>2111.5100000000002</v>
      </c>
      <c r="K3348" s="7"/>
    </row>
    <row r="3349" spans="1:11">
      <c r="A3349">
        <v>100003348</v>
      </c>
      <c r="B3349" t="s">
        <v>177</v>
      </c>
      <c r="C3349" t="s">
        <v>127</v>
      </c>
      <c r="D3349" t="s">
        <v>11</v>
      </c>
      <c r="E3349" s="9">
        <v>40</v>
      </c>
      <c r="F3349" t="s">
        <v>12</v>
      </c>
      <c r="G3349" t="s">
        <v>13</v>
      </c>
      <c r="H3349" s="8">
        <v>42333</v>
      </c>
      <c r="I3349">
        <v>66914.25</v>
      </c>
      <c r="K3349" s="8"/>
    </row>
    <row r="3350" spans="1:11">
      <c r="A3350">
        <v>100003349</v>
      </c>
      <c r="B3350" t="s">
        <v>131</v>
      </c>
      <c r="C3350" t="s">
        <v>27</v>
      </c>
      <c r="D3350" t="s">
        <v>16</v>
      </c>
      <c r="E3350" s="9">
        <v>41</v>
      </c>
      <c r="F3350" t="s">
        <v>12</v>
      </c>
      <c r="G3350" t="s">
        <v>18</v>
      </c>
      <c r="H3350" s="7">
        <v>42333</v>
      </c>
      <c r="I3350">
        <v>52991.99</v>
      </c>
      <c r="K3350" s="7"/>
    </row>
    <row r="3351" spans="1:11">
      <c r="A3351">
        <v>100003350</v>
      </c>
      <c r="B3351" t="s">
        <v>147</v>
      </c>
      <c r="C3351" t="s">
        <v>155</v>
      </c>
      <c r="D3351" t="s">
        <v>11</v>
      </c>
      <c r="E3351" s="9">
        <v>34</v>
      </c>
      <c r="F3351" t="s">
        <v>12</v>
      </c>
      <c r="G3351" t="s">
        <v>18</v>
      </c>
      <c r="H3351" s="8">
        <v>42333</v>
      </c>
      <c r="I3351">
        <v>47988.11</v>
      </c>
      <c r="K3351" s="8"/>
    </row>
    <row r="3352" spans="1:11">
      <c r="A3352">
        <v>200003351</v>
      </c>
      <c r="B3352" t="s">
        <v>99</v>
      </c>
      <c r="C3352" t="s">
        <v>289</v>
      </c>
      <c r="D3352" t="s">
        <v>16</v>
      </c>
      <c r="E3352" s="9">
        <v>54</v>
      </c>
      <c r="F3352" t="s">
        <v>32</v>
      </c>
      <c r="G3352" t="s">
        <v>13</v>
      </c>
      <c r="H3352" s="7">
        <v>42333</v>
      </c>
      <c r="I3352">
        <v>21953.02</v>
      </c>
      <c r="K3352" s="7"/>
    </row>
    <row r="3353" spans="1:11">
      <c r="A3353">
        <v>200003352</v>
      </c>
      <c r="B3353" t="s">
        <v>148</v>
      </c>
      <c r="C3353" t="s">
        <v>305</v>
      </c>
      <c r="D3353" t="s">
        <v>11</v>
      </c>
      <c r="E3353" s="9">
        <v>43</v>
      </c>
      <c r="F3353" t="s">
        <v>32</v>
      </c>
      <c r="G3353" t="s">
        <v>18</v>
      </c>
      <c r="H3353" s="8">
        <v>42333</v>
      </c>
      <c r="I3353">
        <v>33234.660000000003</v>
      </c>
      <c r="K3353" s="8"/>
    </row>
    <row r="3354" spans="1:11">
      <c r="A3354">
        <v>200003353</v>
      </c>
      <c r="B3354" t="s">
        <v>118</v>
      </c>
      <c r="C3354" t="s">
        <v>61</v>
      </c>
      <c r="D3354" t="s">
        <v>11</v>
      </c>
      <c r="E3354" s="9">
        <v>55</v>
      </c>
      <c r="F3354" t="s">
        <v>32</v>
      </c>
      <c r="G3354" t="s">
        <v>18</v>
      </c>
      <c r="H3354" s="7">
        <v>42333</v>
      </c>
      <c r="I3354">
        <v>59957.08</v>
      </c>
      <c r="K3354" s="7"/>
    </row>
    <row r="3355" spans="1:11">
      <c r="A3355">
        <v>200003354</v>
      </c>
      <c r="B3355" t="s">
        <v>42</v>
      </c>
      <c r="C3355" t="s">
        <v>252</v>
      </c>
      <c r="D3355" t="s">
        <v>11</v>
      </c>
      <c r="E3355" s="9">
        <v>48</v>
      </c>
      <c r="F3355" t="s">
        <v>32</v>
      </c>
      <c r="G3355" t="s">
        <v>18</v>
      </c>
      <c r="H3355" s="8">
        <v>42333</v>
      </c>
      <c r="I3355">
        <v>28118.54</v>
      </c>
      <c r="K3355" s="8"/>
    </row>
    <row r="3356" spans="1:11">
      <c r="A3356">
        <v>300003355</v>
      </c>
      <c r="B3356" t="s">
        <v>301</v>
      </c>
      <c r="C3356" t="s">
        <v>210</v>
      </c>
      <c r="D3356" t="s">
        <v>16</v>
      </c>
      <c r="E3356" s="9">
        <v>47</v>
      </c>
      <c r="F3356" t="s">
        <v>23</v>
      </c>
      <c r="G3356" t="s">
        <v>13</v>
      </c>
      <c r="H3356" s="7">
        <v>42333</v>
      </c>
      <c r="I3356">
        <v>3985.97</v>
      </c>
      <c r="K3356" s="7"/>
    </row>
    <row r="3357" spans="1:11">
      <c r="A3357">
        <v>300003356</v>
      </c>
      <c r="B3357" t="s">
        <v>191</v>
      </c>
      <c r="C3357" t="s">
        <v>22</v>
      </c>
      <c r="D3357" t="s">
        <v>11</v>
      </c>
      <c r="E3357" s="9">
        <v>42</v>
      </c>
      <c r="F3357" t="s">
        <v>23</v>
      </c>
      <c r="G3357" t="s">
        <v>13</v>
      </c>
      <c r="H3357" s="8">
        <v>42333</v>
      </c>
      <c r="I3357">
        <v>44017.46</v>
      </c>
      <c r="K3357" s="8"/>
    </row>
    <row r="3358" spans="1:11">
      <c r="A3358">
        <v>300003357</v>
      </c>
      <c r="B3358" t="s">
        <v>191</v>
      </c>
      <c r="C3358" t="s">
        <v>187</v>
      </c>
      <c r="D3358" t="s">
        <v>11</v>
      </c>
      <c r="E3358" s="9">
        <v>36</v>
      </c>
      <c r="F3358" t="s">
        <v>23</v>
      </c>
      <c r="G3358" t="s">
        <v>18</v>
      </c>
      <c r="H3358" s="7">
        <v>42333</v>
      </c>
      <c r="I3358">
        <v>89727.27</v>
      </c>
      <c r="K3358" s="7"/>
    </row>
    <row r="3359" spans="1:11">
      <c r="A3359">
        <v>100003358</v>
      </c>
      <c r="B3359" t="s">
        <v>301</v>
      </c>
      <c r="C3359" t="s">
        <v>259</v>
      </c>
      <c r="D3359" t="s">
        <v>16</v>
      </c>
      <c r="E3359" s="9">
        <v>36</v>
      </c>
      <c r="F3359" t="s">
        <v>12</v>
      </c>
      <c r="G3359" t="s">
        <v>13</v>
      </c>
      <c r="H3359" s="8">
        <v>42334</v>
      </c>
      <c r="I3359">
        <v>9356.5</v>
      </c>
      <c r="K3359" s="8"/>
    </row>
    <row r="3360" spans="1:11">
      <c r="A3360">
        <v>100003359</v>
      </c>
      <c r="B3360" t="s">
        <v>220</v>
      </c>
      <c r="C3360" t="s">
        <v>106</v>
      </c>
      <c r="D3360" t="s">
        <v>16</v>
      </c>
      <c r="E3360" s="9">
        <v>22</v>
      </c>
      <c r="F3360" t="s">
        <v>12</v>
      </c>
      <c r="G3360" t="s">
        <v>18</v>
      </c>
      <c r="H3360" s="7">
        <v>42334</v>
      </c>
      <c r="I3360">
        <v>87500.9</v>
      </c>
      <c r="K3360" s="7"/>
    </row>
    <row r="3361" spans="1:11">
      <c r="A3361">
        <v>100003360</v>
      </c>
      <c r="B3361" t="s">
        <v>55</v>
      </c>
      <c r="C3361" t="s">
        <v>107</v>
      </c>
      <c r="D3361" t="s">
        <v>11</v>
      </c>
      <c r="E3361" s="9">
        <v>32</v>
      </c>
      <c r="F3361" t="s">
        <v>12</v>
      </c>
      <c r="G3361" t="s">
        <v>13</v>
      </c>
      <c r="H3361" s="8">
        <v>42334</v>
      </c>
      <c r="I3361">
        <v>19806.11</v>
      </c>
      <c r="K3361" s="8"/>
    </row>
    <row r="3362" spans="1:11">
      <c r="A3362">
        <v>100003361</v>
      </c>
      <c r="B3362" t="s">
        <v>55</v>
      </c>
      <c r="C3362" t="s">
        <v>163</v>
      </c>
      <c r="D3362" t="s">
        <v>11</v>
      </c>
      <c r="E3362" s="9">
        <v>34</v>
      </c>
      <c r="F3362" t="s">
        <v>12</v>
      </c>
      <c r="G3362" t="s">
        <v>13</v>
      </c>
      <c r="H3362" s="7">
        <v>42334</v>
      </c>
      <c r="I3362">
        <v>3716.8</v>
      </c>
      <c r="K3362" s="7"/>
    </row>
    <row r="3363" spans="1:11">
      <c r="A3363">
        <v>100003362</v>
      </c>
      <c r="B3363" t="s">
        <v>150</v>
      </c>
      <c r="C3363" t="s">
        <v>125</v>
      </c>
      <c r="D3363" t="s">
        <v>16</v>
      </c>
      <c r="E3363" s="9">
        <v>45</v>
      </c>
      <c r="F3363" t="s">
        <v>12</v>
      </c>
      <c r="G3363" t="s">
        <v>33</v>
      </c>
      <c r="H3363" s="8">
        <v>42334</v>
      </c>
      <c r="I3363">
        <v>36293</v>
      </c>
      <c r="K3363" s="8"/>
    </row>
    <row r="3364" spans="1:11">
      <c r="A3364">
        <v>100003363</v>
      </c>
      <c r="B3364" t="s">
        <v>226</v>
      </c>
      <c r="C3364" t="s">
        <v>151</v>
      </c>
      <c r="D3364" t="s">
        <v>16</v>
      </c>
      <c r="E3364" s="9">
        <v>42</v>
      </c>
      <c r="F3364" t="s">
        <v>12</v>
      </c>
      <c r="G3364" t="s">
        <v>13</v>
      </c>
      <c r="H3364" s="7">
        <v>42334</v>
      </c>
      <c r="I3364">
        <v>29129.11</v>
      </c>
      <c r="K3364" s="7"/>
    </row>
    <row r="3365" spans="1:11">
      <c r="A3365">
        <v>100003364</v>
      </c>
      <c r="B3365" t="s">
        <v>312</v>
      </c>
      <c r="C3365" t="s">
        <v>61</v>
      </c>
      <c r="D3365" t="s">
        <v>11</v>
      </c>
      <c r="E3365" s="9">
        <v>35</v>
      </c>
      <c r="F3365" t="s">
        <v>12</v>
      </c>
      <c r="G3365" t="s">
        <v>18</v>
      </c>
      <c r="H3365" s="8">
        <v>42334</v>
      </c>
      <c r="I3365">
        <v>37326.33</v>
      </c>
      <c r="K3365" s="8"/>
    </row>
    <row r="3366" spans="1:11">
      <c r="A3366">
        <v>100003365</v>
      </c>
      <c r="B3366" t="s">
        <v>66</v>
      </c>
      <c r="C3366" t="s">
        <v>230</v>
      </c>
      <c r="D3366" t="s">
        <v>16</v>
      </c>
      <c r="E3366" s="9">
        <v>29</v>
      </c>
      <c r="F3366" t="s">
        <v>12</v>
      </c>
      <c r="G3366" t="s">
        <v>33</v>
      </c>
      <c r="H3366" s="7">
        <v>42334</v>
      </c>
      <c r="I3366">
        <v>29654.53</v>
      </c>
      <c r="K3366" s="7"/>
    </row>
    <row r="3367" spans="1:11">
      <c r="A3367">
        <v>200003366</v>
      </c>
      <c r="B3367" t="s">
        <v>177</v>
      </c>
      <c r="C3367" t="s">
        <v>25</v>
      </c>
      <c r="D3367" t="s">
        <v>11</v>
      </c>
      <c r="E3367" s="9">
        <v>44</v>
      </c>
      <c r="F3367" t="s">
        <v>32</v>
      </c>
      <c r="G3367" t="s">
        <v>33</v>
      </c>
      <c r="H3367" s="8">
        <v>42334</v>
      </c>
      <c r="I3367">
        <v>28479.919999999998</v>
      </c>
      <c r="K3367" s="8"/>
    </row>
    <row r="3368" spans="1:11">
      <c r="A3368">
        <v>200003367</v>
      </c>
      <c r="B3368" t="s">
        <v>231</v>
      </c>
      <c r="C3368" t="s">
        <v>258</v>
      </c>
      <c r="D3368" t="s">
        <v>11</v>
      </c>
      <c r="E3368" s="9">
        <v>47</v>
      </c>
      <c r="F3368" t="s">
        <v>32</v>
      </c>
      <c r="G3368" t="s">
        <v>18</v>
      </c>
      <c r="H3368" s="7">
        <v>42334</v>
      </c>
      <c r="I3368">
        <v>21736.04</v>
      </c>
      <c r="K3368" s="7"/>
    </row>
    <row r="3369" spans="1:11">
      <c r="A3369">
        <v>300003368</v>
      </c>
      <c r="B3369" t="s">
        <v>197</v>
      </c>
      <c r="C3369" t="s">
        <v>306</v>
      </c>
      <c r="D3369" t="s">
        <v>11</v>
      </c>
      <c r="E3369" s="9">
        <v>28</v>
      </c>
      <c r="F3369" t="s">
        <v>23</v>
      </c>
      <c r="G3369" t="s">
        <v>18</v>
      </c>
      <c r="H3369" s="8">
        <v>42334</v>
      </c>
      <c r="I3369">
        <v>4820.9799999999996</v>
      </c>
      <c r="K3369" s="8"/>
    </row>
    <row r="3370" spans="1:11">
      <c r="A3370">
        <v>300003369</v>
      </c>
      <c r="B3370" t="s">
        <v>300</v>
      </c>
      <c r="C3370" t="s">
        <v>124</v>
      </c>
      <c r="D3370" t="s">
        <v>16</v>
      </c>
      <c r="E3370" s="9">
        <v>41</v>
      </c>
      <c r="F3370" t="s">
        <v>23</v>
      </c>
      <c r="G3370" t="s">
        <v>13</v>
      </c>
      <c r="H3370" s="7">
        <v>42334</v>
      </c>
      <c r="I3370">
        <v>54697.16</v>
      </c>
      <c r="K3370" s="7"/>
    </row>
    <row r="3371" spans="1:11">
      <c r="A3371">
        <v>400003370</v>
      </c>
      <c r="B3371" t="s">
        <v>251</v>
      </c>
      <c r="C3371" t="s">
        <v>183</v>
      </c>
      <c r="D3371" t="s">
        <v>16</v>
      </c>
      <c r="E3371" s="9">
        <v>20</v>
      </c>
      <c r="F3371" t="s">
        <v>17</v>
      </c>
      <c r="G3371" t="s">
        <v>33</v>
      </c>
      <c r="H3371" s="8">
        <v>42334</v>
      </c>
      <c r="I3371">
        <v>82598.94</v>
      </c>
      <c r="K3371" s="8"/>
    </row>
    <row r="3372" spans="1:11">
      <c r="A3372">
        <v>100003371</v>
      </c>
      <c r="B3372" t="s">
        <v>267</v>
      </c>
      <c r="C3372" t="s">
        <v>73</v>
      </c>
      <c r="D3372" t="s">
        <v>16</v>
      </c>
      <c r="E3372" s="9">
        <v>39</v>
      </c>
      <c r="F3372" t="s">
        <v>12</v>
      </c>
      <c r="G3372" t="s">
        <v>13</v>
      </c>
      <c r="H3372" s="7">
        <v>42335</v>
      </c>
      <c r="I3372">
        <v>44607.05</v>
      </c>
      <c r="K3372" s="7"/>
    </row>
    <row r="3373" spans="1:11">
      <c r="A3373">
        <v>100003372</v>
      </c>
      <c r="B3373" t="s">
        <v>308</v>
      </c>
      <c r="C3373" t="s">
        <v>41</v>
      </c>
      <c r="D3373" t="s">
        <v>16</v>
      </c>
      <c r="E3373" s="9">
        <v>42</v>
      </c>
      <c r="F3373" t="s">
        <v>12</v>
      </c>
      <c r="G3373" t="s">
        <v>13</v>
      </c>
      <c r="H3373" s="8">
        <v>42335</v>
      </c>
      <c r="I3373">
        <v>85695.41</v>
      </c>
      <c r="K3373" s="8"/>
    </row>
    <row r="3374" spans="1:11">
      <c r="A3374">
        <v>100003373</v>
      </c>
      <c r="B3374" t="s">
        <v>34</v>
      </c>
      <c r="C3374" t="s">
        <v>114</v>
      </c>
      <c r="D3374" t="s">
        <v>16</v>
      </c>
      <c r="E3374" s="9">
        <v>41</v>
      </c>
      <c r="F3374" t="s">
        <v>12</v>
      </c>
      <c r="G3374" t="s">
        <v>13</v>
      </c>
      <c r="H3374" s="7">
        <v>42335</v>
      </c>
      <c r="I3374">
        <v>4477.3599999999997</v>
      </c>
      <c r="K3374" s="7"/>
    </row>
    <row r="3375" spans="1:11">
      <c r="A3375">
        <v>100003374</v>
      </c>
      <c r="B3375" t="s">
        <v>148</v>
      </c>
      <c r="C3375" t="s">
        <v>275</v>
      </c>
      <c r="D3375" t="s">
        <v>11</v>
      </c>
      <c r="E3375" s="9">
        <v>42</v>
      </c>
      <c r="F3375" t="s">
        <v>12</v>
      </c>
      <c r="G3375" t="s">
        <v>18</v>
      </c>
      <c r="H3375" s="8">
        <v>42335</v>
      </c>
      <c r="I3375">
        <v>59160.59</v>
      </c>
      <c r="K3375" s="8"/>
    </row>
    <row r="3376" spans="1:11">
      <c r="A3376">
        <v>100003375</v>
      </c>
      <c r="B3376" t="s">
        <v>149</v>
      </c>
      <c r="C3376" t="s">
        <v>100</v>
      </c>
      <c r="D3376" t="s">
        <v>16</v>
      </c>
      <c r="E3376" s="9">
        <v>28</v>
      </c>
      <c r="F3376" t="s">
        <v>12</v>
      </c>
      <c r="G3376" t="s">
        <v>13</v>
      </c>
      <c r="H3376" s="7">
        <v>42335</v>
      </c>
      <c r="I3376">
        <v>28802.1</v>
      </c>
      <c r="K3376" s="7"/>
    </row>
    <row r="3377" spans="1:11">
      <c r="A3377">
        <v>100003376</v>
      </c>
      <c r="B3377" t="s">
        <v>9</v>
      </c>
      <c r="C3377" t="s">
        <v>247</v>
      </c>
      <c r="D3377" t="s">
        <v>11</v>
      </c>
      <c r="E3377" s="9">
        <v>25</v>
      </c>
      <c r="F3377" t="s">
        <v>12</v>
      </c>
      <c r="G3377" t="s">
        <v>33</v>
      </c>
      <c r="H3377" s="8">
        <v>42335</v>
      </c>
      <c r="I3377">
        <v>75357.919999999998</v>
      </c>
      <c r="K3377" s="8"/>
    </row>
    <row r="3378" spans="1:11">
      <c r="A3378">
        <v>100003377</v>
      </c>
      <c r="B3378" t="s">
        <v>251</v>
      </c>
      <c r="C3378" t="s">
        <v>156</v>
      </c>
      <c r="D3378" t="s">
        <v>16</v>
      </c>
      <c r="E3378" s="9">
        <v>29</v>
      </c>
      <c r="F3378" t="s">
        <v>12</v>
      </c>
      <c r="G3378" t="s">
        <v>33</v>
      </c>
      <c r="H3378" s="7">
        <v>42335</v>
      </c>
      <c r="I3378">
        <v>11738.7</v>
      </c>
      <c r="K3378" s="7"/>
    </row>
    <row r="3379" spans="1:11">
      <c r="A3379">
        <v>100003378</v>
      </c>
      <c r="B3379" t="s">
        <v>107</v>
      </c>
      <c r="C3379" t="s">
        <v>142</v>
      </c>
      <c r="D3379" t="s">
        <v>11</v>
      </c>
      <c r="E3379" s="9">
        <v>31</v>
      </c>
      <c r="F3379" t="s">
        <v>12</v>
      </c>
      <c r="G3379" t="s">
        <v>18</v>
      </c>
      <c r="H3379" s="8">
        <v>42335</v>
      </c>
      <c r="I3379">
        <v>16251.57</v>
      </c>
      <c r="K3379" s="8"/>
    </row>
    <row r="3380" spans="1:11">
      <c r="A3380">
        <v>100003379</v>
      </c>
      <c r="B3380" t="s">
        <v>265</v>
      </c>
      <c r="C3380" t="s">
        <v>195</v>
      </c>
      <c r="D3380" t="s">
        <v>16</v>
      </c>
      <c r="E3380" s="9">
        <v>34</v>
      </c>
      <c r="F3380" t="s">
        <v>12</v>
      </c>
      <c r="G3380" t="s">
        <v>13</v>
      </c>
      <c r="H3380" s="7">
        <v>42335</v>
      </c>
      <c r="I3380">
        <v>61576</v>
      </c>
      <c r="K3380" s="7"/>
    </row>
    <row r="3381" spans="1:11">
      <c r="A3381">
        <v>100003380</v>
      </c>
      <c r="B3381" t="s">
        <v>273</v>
      </c>
      <c r="C3381" t="s">
        <v>107</v>
      </c>
      <c r="D3381" t="s">
        <v>11</v>
      </c>
      <c r="E3381" s="9">
        <v>20</v>
      </c>
      <c r="F3381" t="s">
        <v>12</v>
      </c>
      <c r="G3381" t="s">
        <v>13</v>
      </c>
      <c r="H3381" s="8">
        <v>42335</v>
      </c>
      <c r="I3381">
        <v>11434.59</v>
      </c>
      <c r="K3381" s="8"/>
    </row>
    <row r="3382" spans="1:11">
      <c r="A3382">
        <v>100003381</v>
      </c>
      <c r="B3382" t="s">
        <v>304</v>
      </c>
      <c r="C3382" t="s">
        <v>95</v>
      </c>
      <c r="D3382" t="s">
        <v>16</v>
      </c>
      <c r="E3382" s="9">
        <v>23</v>
      </c>
      <c r="F3382" t="s">
        <v>12</v>
      </c>
      <c r="G3382" t="s">
        <v>33</v>
      </c>
      <c r="H3382" s="7">
        <v>42335</v>
      </c>
      <c r="I3382">
        <v>5434.22</v>
      </c>
      <c r="K3382" s="7"/>
    </row>
    <row r="3383" spans="1:11">
      <c r="A3383">
        <v>100003382</v>
      </c>
      <c r="B3383" t="s">
        <v>263</v>
      </c>
      <c r="C3383" t="s">
        <v>238</v>
      </c>
      <c r="D3383" t="s">
        <v>16</v>
      </c>
      <c r="E3383" s="9">
        <v>41</v>
      </c>
      <c r="F3383" t="s">
        <v>12</v>
      </c>
      <c r="G3383" t="s">
        <v>13</v>
      </c>
      <c r="H3383" s="8">
        <v>42335</v>
      </c>
      <c r="I3383">
        <v>42914.080000000002</v>
      </c>
      <c r="K3383" s="8"/>
    </row>
    <row r="3384" spans="1:11">
      <c r="A3384">
        <v>100003383</v>
      </c>
      <c r="B3384" t="s">
        <v>103</v>
      </c>
      <c r="C3384" t="s">
        <v>313</v>
      </c>
      <c r="D3384" t="s">
        <v>11</v>
      </c>
      <c r="E3384" s="9">
        <v>47</v>
      </c>
      <c r="F3384" t="s">
        <v>12</v>
      </c>
      <c r="G3384" t="s">
        <v>13</v>
      </c>
      <c r="H3384" s="7">
        <v>42335</v>
      </c>
      <c r="I3384">
        <v>6631.7</v>
      </c>
      <c r="K3384" s="7"/>
    </row>
    <row r="3385" spans="1:11">
      <c r="A3385">
        <v>100003384</v>
      </c>
      <c r="B3385" t="s">
        <v>9</v>
      </c>
      <c r="C3385" t="s">
        <v>93</v>
      </c>
      <c r="D3385" t="s">
        <v>11</v>
      </c>
      <c r="E3385" s="9">
        <v>47</v>
      </c>
      <c r="F3385" t="s">
        <v>12</v>
      </c>
      <c r="G3385" t="s">
        <v>33</v>
      </c>
      <c r="H3385" s="8">
        <v>42335</v>
      </c>
      <c r="I3385">
        <v>23372.89</v>
      </c>
      <c r="K3385" s="8"/>
    </row>
    <row r="3386" spans="1:11">
      <c r="A3386">
        <v>100003385</v>
      </c>
      <c r="B3386" t="s">
        <v>36</v>
      </c>
      <c r="C3386" t="s">
        <v>129</v>
      </c>
      <c r="D3386" t="s">
        <v>11</v>
      </c>
      <c r="E3386" s="9">
        <v>32</v>
      </c>
      <c r="F3386" t="s">
        <v>12</v>
      </c>
      <c r="G3386" t="s">
        <v>13</v>
      </c>
      <c r="H3386" s="7">
        <v>42335</v>
      </c>
      <c r="I3386">
        <v>25583.200000000001</v>
      </c>
      <c r="K3386" s="7"/>
    </row>
    <row r="3387" spans="1:11">
      <c r="A3387">
        <v>100003386</v>
      </c>
      <c r="B3387" t="s">
        <v>200</v>
      </c>
      <c r="C3387" t="s">
        <v>45</v>
      </c>
      <c r="D3387" t="s">
        <v>16</v>
      </c>
      <c r="E3387" s="9">
        <v>54</v>
      </c>
      <c r="F3387" t="s">
        <v>12</v>
      </c>
      <c r="G3387" t="s">
        <v>13</v>
      </c>
      <c r="H3387" s="8">
        <v>42335</v>
      </c>
      <c r="I3387">
        <v>21593.57</v>
      </c>
      <c r="K3387" s="8"/>
    </row>
    <row r="3388" spans="1:11">
      <c r="A3388">
        <v>100003387</v>
      </c>
      <c r="B3388" t="s">
        <v>199</v>
      </c>
      <c r="C3388" t="s">
        <v>113</v>
      </c>
      <c r="D3388" t="s">
        <v>11</v>
      </c>
      <c r="E3388" s="9">
        <v>29</v>
      </c>
      <c r="F3388" t="s">
        <v>12</v>
      </c>
      <c r="G3388" t="s">
        <v>13</v>
      </c>
      <c r="H3388" s="7">
        <v>42335</v>
      </c>
      <c r="I3388">
        <v>14187.24</v>
      </c>
      <c r="K3388" s="7"/>
    </row>
    <row r="3389" spans="1:11">
      <c r="A3389">
        <v>100003388</v>
      </c>
      <c r="B3389" t="s">
        <v>268</v>
      </c>
      <c r="C3389" t="s">
        <v>58</v>
      </c>
      <c r="D3389" t="s">
        <v>16</v>
      </c>
      <c r="E3389" s="9">
        <v>35</v>
      </c>
      <c r="F3389" t="s">
        <v>12</v>
      </c>
      <c r="G3389" t="s">
        <v>13</v>
      </c>
      <c r="H3389" s="8">
        <v>42335</v>
      </c>
      <c r="I3389">
        <v>5603.29</v>
      </c>
      <c r="K3389" s="8"/>
    </row>
    <row r="3390" spans="1:11">
      <c r="A3390">
        <v>100003389</v>
      </c>
      <c r="B3390" t="s">
        <v>176</v>
      </c>
      <c r="C3390" t="s">
        <v>325</v>
      </c>
      <c r="D3390" t="s">
        <v>16</v>
      </c>
      <c r="E3390" s="9">
        <v>33</v>
      </c>
      <c r="F3390" t="s">
        <v>12</v>
      </c>
      <c r="G3390" t="s">
        <v>18</v>
      </c>
      <c r="H3390" s="7">
        <v>42335</v>
      </c>
      <c r="I3390">
        <v>40186.04</v>
      </c>
      <c r="K3390" s="7"/>
    </row>
    <row r="3391" spans="1:11">
      <c r="A3391">
        <v>100003390</v>
      </c>
      <c r="B3391" t="s">
        <v>229</v>
      </c>
      <c r="C3391" t="s">
        <v>125</v>
      </c>
      <c r="D3391" t="s">
        <v>16</v>
      </c>
      <c r="E3391" s="9">
        <v>35</v>
      </c>
      <c r="F3391" t="s">
        <v>12</v>
      </c>
      <c r="G3391" t="s">
        <v>33</v>
      </c>
      <c r="H3391" s="8">
        <v>42335</v>
      </c>
      <c r="I3391">
        <v>54691.63</v>
      </c>
      <c r="K3391" s="8"/>
    </row>
    <row r="3392" spans="1:11">
      <c r="A3392">
        <v>100003391</v>
      </c>
      <c r="B3392" t="s">
        <v>197</v>
      </c>
      <c r="C3392" t="s">
        <v>87</v>
      </c>
      <c r="D3392" t="s">
        <v>11</v>
      </c>
      <c r="E3392" s="9">
        <v>42</v>
      </c>
      <c r="F3392" t="s">
        <v>12</v>
      </c>
      <c r="G3392" t="s">
        <v>18</v>
      </c>
      <c r="H3392" s="7">
        <v>42335</v>
      </c>
      <c r="I3392">
        <v>71409.740000000005</v>
      </c>
      <c r="K3392" s="7"/>
    </row>
    <row r="3393" spans="1:11">
      <c r="A3393">
        <v>100003392</v>
      </c>
      <c r="B3393" t="s">
        <v>207</v>
      </c>
      <c r="C3393" t="s">
        <v>108</v>
      </c>
      <c r="D3393" t="s">
        <v>11</v>
      </c>
      <c r="E3393" s="9">
        <v>33</v>
      </c>
      <c r="F3393" t="s">
        <v>12</v>
      </c>
      <c r="G3393" t="s">
        <v>13</v>
      </c>
      <c r="H3393" s="8">
        <v>42335</v>
      </c>
      <c r="I3393">
        <v>21424.46</v>
      </c>
      <c r="K3393" s="8"/>
    </row>
    <row r="3394" spans="1:11">
      <c r="A3394">
        <v>100003393</v>
      </c>
      <c r="B3394" t="s">
        <v>145</v>
      </c>
      <c r="C3394" t="s">
        <v>22</v>
      </c>
      <c r="D3394" t="s">
        <v>11</v>
      </c>
      <c r="E3394" s="9">
        <v>38</v>
      </c>
      <c r="F3394" t="s">
        <v>12</v>
      </c>
      <c r="G3394" t="s">
        <v>13</v>
      </c>
      <c r="H3394" s="7">
        <v>42335</v>
      </c>
      <c r="I3394">
        <v>13849.75</v>
      </c>
      <c r="K3394" s="7"/>
    </row>
    <row r="3395" spans="1:11">
      <c r="A3395">
        <v>100003394</v>
      </c>
      <c r="B3395" t="s">
        <v>145</v>
      </c>
      <c r="C3395" t="s">
        <v>96</v>
      </c>
      <c r="D3395" t="s">
        <v>11</v>
      </c>
      <c r="E3395" s="9">
        <v>25</v>
      </c>
      <c r="F3395" t="s">
        <v>12</v>
      </c>
      <c r="G3395" t="s">
        <v>18</v>
      </c>
      <c r="H3395" s="8">
        <v>42335</v>
      </c>
      <c r="I3395">
        <v>24366.36</v>
      </c>
      <c r="K3395" s="8"/>
    </row>
    <row r="3396" spans="1:11">
      <c r="A3396">
        <v>100003395</v>
      </c>
      <c r="B3396" t="s">
        <v>234</v>
      </c>
      <c r="C3396" t="s">
        <v>183</v>
      </c>
      <c r="D3396" t="s">
        <v>11</v>
      </c>
      <c r="E3396" s="9">
        <v>33</v>
      </c>
      <c r="F3396" t="s">
        <v>12</v>
      </c>
      <c r="G3396" t="s">
        <v>33</v>
      </c>
      <c r="H3396" s="7">
        <v>42335</v>
      </c>
      <c r="I3396">
        <v>7716.87</v>
      </c>
      <c r="K3396" s="7"/>
    </row>
    <row r="3397" spans="1:11">
      <c r="A3397">
        <v>100003396</v>
      </c>
      <c r="B3397" t="s">
        <v>186</v>
      </c>
      <c r="C3397" t="s">
        <v>185</v>
      </c>
      <c r="D3397" t="s">
        <v>11</v>
      </c>
      <c r="E3397" s="9">
        <v>44</v>
      </c>
      <c r="F3397" t="s">
        <v>12</v>
      </c>
      <c r="G3397" t="s">
        <v>13</v>
      </c>
      <c r="H3397" s="8">
        <v>42335</v>
      </c>
      <c r="I3397">
        <v>31063.54</v>
      </c>
      <c r="K3397" s="8"/>
    </row>
    <row r="3398" spans="1:11">
      <c r="A3398">
        <v>100003397</v>
      </c>
      <c r="B3398" t="s">
        <v>302</v>
      </c>
      <c r="C3398" t="s">
        <v>104</v>
      </c>
      <c r="D3398" t="s">
        <v>16</v>
      </c>
      <c r="E3398" s="9">
        <v>30</v>
      </c>
      <c r="F3398" t="s">
        <v>12</v>
      </c>
      <c r="G3398" t="s">
        <v>13</v>
      </c>
      <c r="H3398" s="7">
        <v>42335</v>
      </c>
      <c r="I3398">
        <v>279.01</v>
      </c>
      <c r="K3398" s="7"/>
    </row>
    <row r="3399" spans="1:11">
      <c r="A3399">
        <v>100003398</v>
      </c>
      <c r="B3399" t="s">
        <v>60</v>
      </c>
      <c r="C3399" t="s">
        <v>125</v>
      </c>
      <c r="D3399" t="s">
        <v>11</v>
      </c>
      <c r="E3399" s="9">
        <v>41</v>
      </c>
      <c r="F3399" t="s">
        <v>12</v>
      </c>
      <c r="G3399" t="s">
        <v>13</v>
      </c>
      <c r="H3399" s="8">
        <v>42335</v>
      </c>
      <c r="I3399">
        <v>11104.86</v>
      </c>
      <c r="K3399" s="8"/>
    </row>
    <row r="3400" spans="1:11">
      <c r="A3400">
        <v>200003399</v>
      </c>
      <c r="B3400" t="s">
        <v>68</v>
      </c>
      <c r="C3400" t="s">
        <v>164</v>
      </c>
      <c r="D3400" t="s">
        <v>16</v>
      </c>
      <c r="E3400" s="9">
        <v>44</v>
      </c>
      <c r="F3400" t="s">
        <v>32</v>
      </c>
      <c r="G3400" t="s">
        <v>33</v>
      </c>
      <c r="H3400" s="7">
        <v>42335</v>
      </c>
      <c r="I3400">
        <v>59401.58</v>
      </c>
      <c r="K3400" s="7"/>
    </row>
    <row r="3401" spans="1:11">
      <c r="A3401">
        <v>200003400</v>
      </c>
      <c r="B3401" t="s">
        <v>111</v>
      </c>
      <c r="C3401" t="s">
        <v>189</v>
      </c>
      <c r="D3401" t="s">
        <v>11</v>
      </c>
      <c r="E3401" s="9">
        <v>52</v>
      </c>
      <c r="F3401" t="s">
        <v>32</v>
      </c>
      <c r="G3401" t="s">
        <v>33</v>
      </c>
      <c r="H3401" s="8">
        <v>42335</v>
      </c>
      <c r="I3401">
        <v>48602.47</v>
      </c>
      <c r="K3401" s="8"/>
    </row>
    <row r="3402" spans="1:11">
      <c r="A3402">
        <v>200003401</v>
      </c>
      <c r="B3402" t="s">
        <v>126</v>
      </c>
      <c r="C3402" t="s">
        <v>58</v>
      </c>
      <c r="D3402" t="s">
        <v>16</v>
      </c>
      <c r="E3402" s="9">
        <v>47</v>
      </c>
      <c r="F3402" t="s">
        <v>32</v>
      </c>
      <c r="G3402" t="s">
        <v>33</v>
      </c>
      <c r="H3402" s="7">
        <v>42335</v>
      </c>
      <c r="I3402">
        <v>97165.43</v>
      </c>
      <c r="K3402" s="7"/>
    </row>
    <row r="3403" spans="1:11">
      <c r="A3403">
        <v>200003402</v>
      </c>
      <c r="B3403" t="s">
        <v>193</v>
      </c>
      <c r="C3403" t="s">
        <v>185</v>
      </c>
      <c r="D3403" t="s">
        <v>11</v>
      </c>
      <c r="E3403" s="9">
        <v>47</v>
      </c>
      <c r="F3403" t="s">
        <v>32</v>
      </c>
      <c r="G3403" t="s">
        <v>18</v>
      </c>
      <c r="H3403" s="8">
        <v>42335</v>
      </c>
      <c r="I3403">
        <v>22946.04</v>
      </c>
      <c r="K3403" s="8"/>
    </row>
    <row r="3404" spans="1:11">
      <c r="A3404">
        <v>200003403</v>
      </c>
      <c r="B3404" t="s">
        <v>105</v>
      </c>
      <c r="C3404" t="s">
        <v>80</v>
      </c>
      <c r="D3404" t="s">
        <v>16</v>
      </c>
      <c r="E3404" s="9">
        <v>61</v>
      </c>
      <c r="F3404" t="s">
        <v>32</v>
      </c>
      <c r="G3404" t="s">
        <v>18</v>
      </c>
      <c r="H3404" s="7">
        <v>42335</v>
      </c>
      <c r="I3404">
        <v>1409.52</v>
      </c>
      <c r="K3404" s="7"/>
    </row>
    <row r="3405" spans="1:11">
      <c r="A3405">
        <v>200003404</v>
      </c>
      <c r="B3405" t="s">
        <v>133</v>
      </c>
      <c r="C3405" t="s">
        <v>91</v>
      </c>
      <c r="D3405" t="s">
        <v>11</v>
      </c>
      <c r="E3405" s="9">
        <v>49</v>
      </c>
      <c r="F3405" t="s">
        <v>32</v>
      </c>
      <c r="G3405" t="s">
        <v>18</v>
      </c>
      <c r="H3405" s="8">
        <v>42335</v>
      </c>
      <c r="I3405">
        <v>10315.469999999999</v>
      </c>
      <c r="K3405" s="8"/>
    </row>
    <row r="3406" spans="1:11">
      <c r="A3406">
        <v>200003405</v>
      </c>
      <c r="B3406" t="s">
        <v>296</v>
      </c>
      <c r="C3406" t="s">
        <v>178</v>
      </c>
      <c r="D3406" t="s">
        <v>11</v>
      </c>
      <c r="E3406" s="9">
        <v>63</v>
      </c>
      <c r="F3406" t="s">
        <v>32</v>
      </c>
      <c r="G3406" t="s">
        <v>18</v>
      </c>
      <c r="H3406" s="7">
        <v>42335</v>
      </c>
      <c r="I3406">
        <v>36409.199999999997</v>
      </c>
      <c r="K3406" s="7"/>
    </row>
    <row r="3407" spans="1:11">
      <c r="A3407">
        <v>200003406</v>
      </c>
      <c r="B3407" t="s">
        <v>38</v>
      </c>
      <c r="C3407" t="s">
        <v>49</v>
      </c>
      <c r="D3407" t="s">
        <v>11</v>
      </c>
      <c r="E3407" s="9">
        <v>32</v>
      </c>
      <c r="F3407" t="s">
        <v>32</v>
      </c>
      <c r="G3407" t="s">
        <v>18</v>
      </c>
      <c r="H3407" s="8">
        <v>42335</v>
      </c>
      <c r="I3407">
        <v>21454.76</v>
      </c>
      <c r="K3407" s="8"/>
    </row>
    <row r="3408" spans="1:11">
      <c r="A3408">
        <v>200003407</v>
      </c>
      <c r="B3408" t="s">
        <v>204</v>
      </c>
      <c r="C3408" t="s">
        <v>80</v>
      </c>
      <c r="D3408" t="s">
        <v>11</v>
      </c>
      <c r="E3408" s="9">
        <v>61</v>
      </c>
      <c r="F3408" t="s">
        <v>32</v>
      </c>
      <c r="G3408" t="s">
        <v>18</v>
      </c>
      <c r="H3408" s="7">
        <v>42335</v>
      </c>
      <c r="I3408">
        <v>20606.21</v>
      </c>
      <c r="K3408" s="7"/>
    </row>
    <row r="3409" spans="1:11">
      <c r="A3409">
        <v>300003408</v>
      </c>
      <c r="B3409" t="s">
        <v>122</v>
      </c>
      <c r="C3409" t="s">
        <v>240</v>
      </c>
      <c r="D3409" t="s">
        <v>11</v>
      </c>
      <c r="E3409" s="9">
        <v>30</v>
      </c>
      <c r="F3409" t="s">
        <v>23</v>
      </c>
      <c r="G3409" t="s">
        <v>13</v>
      </c>
      <c r="H3409" s="8">
        <v>42335</v>
      </c>
      <c r="I3409">
        <v>7049.66</v>
      </c>
      <c r="K3409" s="8"/>
    </row>
    <row r="3410" spans="1:11">
      <c r="A3410">
        <v>300003409</v>
      </c>
      <c r="B3410" t="s">
        <v>122</v>
      </c>
      <c r="C3410" t="s">
        <v>274</v>
      </c>
      <c r="D3410" t="s">
        <v>11</v>
      </c>
      <c r="E3410" s="9">
        <v>18</v>
      </c>
      <c r="F3410" t="s">
        <v>23</v>
      </c>
      <c r="G3410" t="s">
        <v>18</v>
      </c>
      <c r="H3410" s="7">
        <v>42335</v>
      </c>
      <c r="I3410">
        <v>77682</v>
      </c>
      <c r="K3410" s="7"/>
    </row>
    <row r="3411" spans="1:11">
      <c r="A3411">
        <v>300003410</v>
      </c>
      <c r="B3411" t="s">
        <v>303</v>
      </c>
      <c r="C3411" t="s">
        <v>285</v>
      </c>
      <c r="D3411" t="s">
        <v>11</v>
      </c>
      <c r="E3411" s="9">
        <v>31</v>
      </c>
      <c r="F3411" t="s">
        <v>23</v>
      </c>
      <c r="G3411" t="s">
        <v>18</v>
      </c>
      <c r="H3411" s="8">
        <v>42335</v>
      </c>
      <c r="I3411">
        <v>14625.23</v>
      </c>
      <c r="K3411" s="8"/>
    </row>
    <row r="3412" spans="1:11">
      <c r="A3412">
        <v>300003411</v>
      </c>
      <c r="B3412" t="s">
        <v>137</v>
      </c>
      <c r="C3412" t="s">
        <v>91</v>
      </c>
      <c r="D3412" t="s">
        <v>11</v>
      </c>
      <c r="E3412" s="9">
        <v>46</v>
      </c>
      <c r="F3412" t="s">
        <v>23</v>
      </c>
      <c r="G3412" t="s">
        <v>33</v>
      </c>
      <c r="H3412" s="7">
        <v>42335</v>
      </c>
      <c r="I3412">
        <v>38460.800000000003</v>
      </c>
      <c r="K3412" s="7"/>
    </row>
    <row r="3413" spans="1:11">
      <c r="A3413">
        <v>300003412</v>
      </c>
      <c r="B3413" t="s">
        <v>81</v>
      </c>
      <c r="C3413" t="s">
        <v>45</v>
      </c>
      <c r="D3413" t="s">
        <v>16</v>
      </c>
      <c r="E3413" s="9">
        <v>39</v>
      </c>
      <c r="F3413" t="s">
        <v>23</v>
      </c>
      <c r="G3413" t="s">
        <v>13</v>
      </c>
      <c r="H3413" s="8">
        <v>42335</v>
      </c>
      <c r="I3413">
        <v>48514.21</v>
      </c>
      <c r="K3413" s="8"/>
    </row>
    <row r="3414" spans="1:11">
      <c r="A3414">
        <v>300003413</v>
      </c>
      <c r="B3414" t="s">
        <v>199</v>
      </c>
      <c r="C3414" t="s">
        <v>195</v>
      </c>
      <c r="D3414" t="s">
        <v>11</v>
      </c>
      <c r="E3414" s="9">
        <v>44</v>
      </c>
      <c r="F3414" t="s">
        <v>23</v>
      </c>
      <c r="G3414" t="s">
        <v>13</v>
      </c>
      <c r="H3414" s="7">
        <v>42335</v>
      </c>
      <c r="I3414">
        <v>26502.42</v>
      </c>
      <c r="K3414" s="7"/>
    </row>
    <row r="3415" spans="1:11">
      <c r="A3415">
        <v>300003414</v>
      </c>
      <c r="B3415" t="s">
        <v>236</v>
      </c>
      <c r="C3415" t="s">
        <v>162</v>
      </c>
      <c r="D3415" t="s">
        <v>16</v>
      </c>
      <c r="E3415" s="9">
        <v>33</v>
      </c>
      <c r="F3415" t="s">
        <v>23</v>
      </c>
      <c r="G3415" t="s">
        <v>13</v>
      </c>
      <c r="H3415" s="8">
        <v>42335</v>
      </c>
      <c r="I3415">
        <v>71331.75</v>
      </c>
      <c r="K3415" s="8"/>
    </row>
    <row r="3416" spans="1:11">
      <c r="A3416">
        <v>400003415</v>
      </c>
      <c r="B3416" t="s">
        <v>220</v>
      </c>
      <c r="C3416" t="s">
        <v>295</v>
      </c>
      <c r="D3416" t="s">
        <v>16</v>
      </c>
      <c r="E3416" s="9">
        <v>19</v>
      </c>
      <c r="F3416" t="s">
        <v>17</v>
      </c>
      <c r="G3416" t="s">
        <v>33</v>
      </c>
      <c r="H3416" s="7">
        <v>42335</v>
      </c>
      <c r="I3416">
        <v>2184.1799999999998</v>
      </c>
      <c r="K3416" s="7"/>
    </row>
    <row r="3417" spans="1:11">
      <c r="A3417">
        <v>100003416</v>
      </c>
      <c r="B3417" t="s">
        <v>161</v>
      </c>
      <c r="C3417" t="s">
        <v>61</v>
      </c>
      <c r="D3417" t="s">
        <v>16</v>
      </c>
      <c r="E3417" s="9">
        <v>35</v>
      </c>
      <c r="F3417" t="s">
        <v>12</v>
      </c>
      <c r="G3417" t="s">
        <v>13</v>
      </c>
      <c r="H3417" s="8">
        <v>42336</v>
      </c>
      <c r="I3417">
        <v>14505.16</v>
      </c>
      <c r="K3417" s="8"/>
    </row>
    <row r="3418" spans="1:11">
      <c r="A3418">
        <v>100003417</v>
      </c>
      <c r="B3418" t="s">
        <v>19</v>
      </c>
      <c r="C3418" t="s">
        <v>142</v>
      </c>
      <c r="D3418" t="s">
        <v>11</v>
      </c>
      <c r="E3418" s="9">
        <v>42</v>
      </c>
      <c r="F3418" t="s">
        <v>12</v>
      </c>
      <c r="G3418" t="s">
        <v>13</v>
      </c>
      <c r="H3418" s="7">
        <v>42336</v>
      </c>
      <c r="I3418">
        <v>43621.9</v>
      </c>
      <c r="K3418" s="7"/>
    </row>
    <row r="3419" spans="1:11">
      <c r="A3419">
        <v>100003418</v>
      </c>
      <c r="B3419" t="s">
        <v>83</v>
      </c>
      <c r="C3419" t="s">
        <v>77</v>
      </c>
      <c r="D3419" t="s">
        <v>16</v>
      </c>
      <c r="E3419" s="9">
        <v>37</v>
      </c>
      <c r="F3419" t="s">
        <v>12</v>
      </c>
      <c r="G3419" t="s">
        <v>33</v>
      </c>
      <c r="H3419" s="8">
        <v>42336</v>
      </c>
      <c r="I3419">
        <v>26478.35</v>
      </c>
      <c r="K3419" s="8"/>
    </row>
    <row r="3420" spans="1:11">
      <c r="A3420">
        <v>100003419</v>
      </c>
      <c r="B3420" t="s">
        <v>131</v>
      </c>
      <c r="C3420" t="s">
        <v>292</v>
      </c>
      <c r="D3420" t="s">
        <v>16</v>
      </c>
      <c r="E3420" s="9">
        <v>32</v>
      </c>
      <c r="F3420" t="s">
        <v>12</v>
      </c>
      <c r="G3420" t="s">
        <v>13</v>
      </c>
      <c r="H3420" s="7">
        <v>42336</v>
      </c>
      <c r="I3420">
        <v>26094.22</v>
      </c>
      <c r="K3420" s="7"/>
    </row>
    <row r="3421" spans="1:11">
      <c r="A3421">
        <v>100003420</v>
      </c>
      <c r="B3421" t="s">
        <v>250</v>
      </c>
      <c r="C3421" t="s">
        <v>87</v>
      </c>
      <c r="D3421" t="s">
        <v>16</v>
      </c>
      <c r="E3421" s="9">
        <v>50</v>
      </c>
      <c r="F3421" t="s">
        <v>12</v>
      </c>
      <c r="G3421" t="s">
        <v>13</v>
      </c>
      <c r="H3421" s="8">
        <v>42336</v>
      </c>
      <c r="I3421">
        <v>26280.36</v>
      </c>
      <c r="K3421" s="8"/>
    </row>
    <row r="3422" spans="1:11">
      <c r="A3422">
        <v>100003421</v>
      </c>
      <c r="B3422" t="s">
        <v>137</v>
      </c>
      <c r="C3422" t="s">
        <v>266</v>
      </c>
      <c r="D3422" t="s">
        <v>11</v>
      </c>
      <c r="E3422" s="9">
        <v>25</v>
      </c>
      <c r="F3422" t="s">
        <v>12</v>
      </c>
      <c r="G3422" t="s">
        <v>33</v>
      </c>
      <c r="H3422" s="7">
        <v>42336</v>
      </c>
      <c r="I3422">
        <v>81820.899999999994</v>
      </c>
      <c r="K3422" s="7"/>
    </row>
    <row r="3423" spans="1:11">
      <c r="A3423">
        <v>100003422</v>
      </c>
      <c r="B3423" t="s">
        <v>267</v>
      </c>
      <c r="C3423" t="s">
        <v>247</v>
      </c>
      <c r="D3423" t="s">
        <v>16</v>
      </c>
      <c r="E3423" s="9">
        <v>25</v>
      </c>
      <c r="F3423" t="s">
        <v>12</v>
      </c>
      <c r="G3423" t="s">
        <v>13</v>
      </c>
      <c r="H3423" s="8">
        <v>42336</v>
      </c>
      <c r="I3423">
        <v>44240.78</v>
      </c>
      <c r="K3423" s="8"/>
    </row>
    <row r="3424" spans="1:11">
      <c r="A3424">
        <v>100003423</v>
      </c>
      <c r="B3424" t="s">
        <v>303</v>
      </c>
      <c r="C3424" t="s">
        <v>315</v>
      </c>
      <c r="D3424" t="s">
        <v>11</v>
      </c>
      <c r="E3424" s="9">
        <v>32</v>
      </c>
      <c r="F3424" t="s">
        <v>12</v>
      </c>
      <c r="G3424" t="s">
        <v>13</v>
      </c>
      <c r="H3424" s="7">
        <v>42336</v>
      </c>
      <c r="I3424">
        <v>52696.94</v>
      </c>
      <c r="K3424" s="7"/>
    </row>
    <row r="3425" spans="1:11">
      <c r="A3425">
        <v>200003424</v>
      </c>
      <c r="B3425" t="s">
        <v>309</v>
      </c>
      <c r="C3425" t="s">
        <v>152</v>
      </c>
      <c r="D3425" t="s">
        <v>16</v>
      </c>
      <c r="E3425" s="9">
        <v>50</v>
      </c>
      <c r="F3425" t="s">
        <v>32</v>
      </c>
      <c r="G3425" t="s">
        <v>13</v>
      </c>
      <c r="H3425" s="8">
        <v>42336</v>
      </c>
      <c r="I3425">
        <v>39460.720000000001</v>
      </c>
      <c r="K3425" s="8"/>
    </row>
    <row r="3426" spans="1:11">
      <c r="A3426">
        <v>200003425</v>
      </c>
      <c r="B3426" t="s">
        <v>66</v>
      </c>
      <c r="C3426" t="s">
        <v>315</v>
      </c>
      <c r="D3426" t="s">
        <v>16</v>
      </c>
      <c r="E3426" s="9">
        <v>33</v>
      </c>
      <c r="F3426" t="s">
        <v>32</v>
      </c>
      <c r="G3426" t="s">
        <v>13</v>
      </c>
      <c r="H3426" s="7">
        <v>42336</v>
      </c>
      <c r="I3426">
        <v>422.94</v>
      </c>
      <c r="K3426" s="7"/>
    </row>
    <row r="3427" spans="1:11">
      <c r="A3427">
        <v>200003426</v>
      </c>
      <c r="B3427" t="s">
        <v>245</v>
      </c>
      <c r="C3427" t="s">
        <v>203</v>
      </c>
      <c r="D3427" t="s">
        <v>11</v>
      </c>
      <c r="E3427" s="9">
        <v>53</v>
      </c>
      <c r="F3427" t="s">
        <v>32</v>
      </c>
      <c r="G3427" t="s">
        <v>33</v>
      </c>
      <c r="H3427" s="8">
        <v>42336</v>
      </c>
      <c r="I3427">
        <v>53354.74</v>
      </c>
      <c r="K3427" s="8"/>
    </row>
    <row r="3428" spans="1:11">
      <c r="A3428">
        <v>200003427</v>
      </c>
      <c r="B3428" t="s">
        <v>217</v>
      </c>
      <c r="C3428" t="s">
        <v>125</v>
      </c>
      <c r="D3428" t="s">
        <v>11</v>
      </c>
      <c r="E3428" s="9">
        <v>51</v>
      </c>
      <c r="F3428" t="s">
        <v>32</v>
      </c>
      <c r="G3428" t="s">
        <v>33</v>
      </c>
      <c r="H3428" s="7">
        <v>42336</v>
      </c>
      <c r="I3428">
        <v>32712.76</v>
      </c>
      <c r="K3428" s="7"/>
    </row>
    <row r="3429" spans="1:11">
      <c r="A3429">
        <v>200003428</v>
      </c>
      <c r="B3429" t="s">
        <v>122</v>
      </c>
      <c r="C3429" t="s">
        <v>94</v>
      </c>
      <c r="D3429" t="s">
        <v>11</v>
      </c>
      <c r="E3429" s="9">
        <v>61</v>
      </c>
      <c r="F3429" t="s">
        <v>32</v>
      </c>
      <c r="G3429" t="s">
        <v>18</v>
      </c>
      <c r="H3429" s="8">
        <v>42336</v>
      </c>
      <c r="I3429">
        <v>42862.41</v>
      </c>
      <c r="K3429" s="8"/>
    </row>
    <row r="3430" spans="1:11">
      <c r="A3430">
        <v>300003429</v>
      </c>
      <c r="B3430" t="s">
        <v>68</v>
      </c>
      <c r="C3430" t="s">
        <v>238</v>
      </c>
      <c r="D3430" t="s">
        <v>16</v>
      </c>
      <c r="E3430" s="9">
        <v>28</v>
      </c>
      <c r="F3430" t="s">
        <v>23</v>
      </c>
      <c r="G3430" t="s">
        <v>13</v>
      </c>
      <c r="H3430" s="7">
        <v>42336</v>
      </c>
      <c r="I3430">
        <v>3856.26</v>
      </c>
      <c r="K3430" s="7"/>
    </row>
    <row r="3431" spans="1:11">
      <c r="A3431">
        <v>300003430</v>
      </c>
      <c r="B3431" t="s">
        <v>323</v>
      </c>
      <c r="C3431" t="s">
        <v>82</v>
      </c>
      <c r="D3431" t="s">
        <v>16</v>
      </c>
      <c r="E3431" s="9">
        <v>29</v>
      </c>
      <c r="F3431" t="s">
        <v>23</v>
      </c>
      <c r="G3431" t="s">
        <v>18</v>
      </c>
      <c r="H3431" s="8">
        <v>42336</v>
      </c>
      <c r="I3431">
        <v>23049.759999999998</v>
      </c>
      <c r="K3431" s="8"/>
    </row>
    <row r="3432" spans="1:11">
      <c r="A3432">
        <v>300003431</v>
      </c>
      <c r="B3432" t="s">
        <v>92</v>
      </c>
      <c r="C3432" t="s">
        <v>282</v>
      </c>
      <c r="D3432" t="s">
        <v>16</v>
      </c>
      <c r="E3432" s="9">
        <v>24</v>
      </c>
      <c r="F3432" t="s">
        <v>23</v>
      </c>
      <c r="G3432" t="s">
        <v>18</v>
      </c>
      <c r="H3432" s="7">
        <v>42336</v>
      </c>
      <c r="I3432">
        <v>18858.689999999999</v>
      </c>
      <c r="K3432" s="7"/>
    </row>
    <row r="3433" spans="1:11">
      <c r="A3433">
        <v>300003432</v>
      </c>
      <c r="B3433" t="s">
        <v>62</v>
      </c>
      <c r="C3433" t="s">
        <v>113</v>
      </c>
      <c r="D3433" t="s">
        <v>16</v>
      </c>
      <c r="E3433" s="9">
        <v>40</v>
      </c>
      <c r="F3433" t="s">
        <v>23</v>
      </c>
      <c r="G3433" t="s">
        <v>13</v>
      </c>
      <c r="H3433" s="8">
        <v>42336</v>
      </c>
      <c r="I3433">
        <v>42073.13</v>
      </c>
      <c r="K3433" s="8"/>
    </row>
    <row r="3434" spans="1:11">
      <c r="A3434">
        <v>300003433</v>
      </c>
      <c r="B3434" t="s">
        <v>236</v>
      </c>
      <c r="C3434" t="s">
        <v>113</v>
      </c>
      <c r="D3434" t="s">
        <v>16</v>
      </c>
      <c r="E3434" s="9">
        <v>35</v>
      </c>
      <c r="F3434" t="s">
        <v>23</v>
      </c>
      <c r="G3434" t="s">
        <v>13</v>
      </c>
      <c r="H3434" s="7">
        <v>42336</v>
      </c>
      <c r="I3434">
        <v>92788.65</v>
      </c>
      <c r="K3434" s="7"/>
    </row>
    <row r="3435" spans="1:11">
      <c r="A3435">
        <v>100003434</v>
      </c>
      <c r="B3435" t="s">
        <v>236</v>
      </c>
      <c r="C3435" t="s">
        <v>85</v>
      </c>
      <c r="D3435" t="s">
        <v>16</v>
      </c>
      <c r="E3435" s="9">
        <v>33</v>
      </c>
      <c r="F3435" t="s">
        <v>12</v>
      </c>
      <c r="G3435" t="s">
        <v>13</v>
      </c>
      <c r="H3435" s="8">
        <v>42337</v>
      </c>
      <c r="I3435">
        <v>12357.62</v>
      </c>
      <c r="K3435" s="8"/>
    </row>
    <row r="3436" spans="1:11">
      <c r="A3436">
        <v>100003435</v>
      </c>
      <c r="B3436" t="s">
        <v>112</v>
      </c>
      <c r="C3436" t="s">
        <v>96</v>
      </c>
      <c r="D3436" t="s">
        <v>11</v>
      </c>
      <c r="E3436" s="9">
        <v>31</v>
      </c>
      <c r="F3436" t="s">
        <v>12</v>
      </c>
      <c r="G3436" t="s">
        <v>13</v>
      </c>
      <c r="H3436" s="7">
        <v>42337</v>
      </c>
      <c r="I3436">
        <v>17452.2</v>
      </c>
      <c r="K3436" s="7"/>
    </row>
    <row r="3437" spans="1:11">
      <c r="A3437">
        <v>100003436</v>
      </c>
      <c r="B3437" t="s">
        <v>304</v>
      </c>
      <c r="C3437" t="s">
        <v>240</v>
      </c>
      <c r="D3437" t="s">
        <v>16</v>
      </c>
      <c r="E3437" s="9">
        <v>36</v>
      </c>
      <c r="F3437" t="s">
        <v>12</v>
      </c>
      <c r="G3437" t="s">
        <v>33</v>
      </c>
      <c r="H3437" s="8">
        <v>42337</v>
      </c>
      <c r="I3437">
        <v>31377.37</v>
      </c>
      <c r="K3437" s="8"/>
    </row>
    <row r="3438" spans="1:11">
      <c r="A3438">
        <v>100003437</v>
      </c>
      <c r="B3438" t="s">
        <v>314</v>
      </c>
      <c r="C3438" t="s">
        <v>211</v>
      </c>
      <c r="D3438" t="s">
        <v>16</v>
      </c>
      <c r="E3438" s="9">
        <v>24</v>
      </c>
      <c r="F3438" t="s">
        <v>12</v>
      </c>
      <c r="G3438" t="s">
        <v>33</v>
      </c>
      <c r="H3438" s="7">
        <v>42337</v>
      </c>
      <c r="I3438">
        <v>54218.79</v>
      </c>
      <c r="K3438" s="7"/>
    </row>
    <row r="3439" spans="1:11">
      <c r="A3439">
        <v>100003438</v>
      </c>
      <c r="B3439" t="s">
        <v>126</v>
      </c>
      <c r="C3439" t="s">
        <v>56</v>
      </c>
      <c r="D3439" t="s">
        <v>16</v>
      </c>
      <c r="E3439" s="9">
        <v>32</v>
      </c>
      <c r="F3439" t="s">
        <v>12</v>
      </c>
      <c r="G3439" t="s">
        <v>13</v>
      </c>
      <c r="H3439" s="8">
        <v>42337</v>
      </c>
      <c r="I3439">
        <v>72066.5</v>
      </c>
      <c r="K3439" s="8"/>
    </row>
    <row r="3440" spans="1:11">
      <c r="A3440">
        <v>200003439</v>
      </c>
      <c r="B3440" t="s">
        <v>112</v>
      </c>
      <c r="C3440" t="s">
        <v>136</v>
      </c>
      <c r="D3440" t="s">
        <v>11</v>
      </c>
      <c r="E3440" s="9">
        <v>54</v>
      </c>
      <c r="F3440" t="s">
        <v>32</v>
      </c>
      <c r="G3440" t="s">
        <v>33</v>
      </c>
      <c r="H3440" s="7">
        <v>42337</v>
      </c>
      <c r="I3440">
        <v>71935.8</v>
      </c>
      <c r="K3440" s="7"/>
    </row>
    <row r="3441" spans="1:11">
      <c r="A3441">
        <v>200003440</v>
      </c>
      <c r="B3441" t="s">
        <v>197</v>
      </c>
      <c r="C3441" t="s">
        <v>69</v>
      </c>
      <c r="D3441" t="s">
        <v>11</v>
      </c>
      <c r="E3441" s="9">
        <v>61</v>
      </c>
      <c r="F3441" t="s">
        <v>32</v>
      </c>
      <c r="G3441" t="s">
        <v>18</v>
      </c>
      <c r="H3441" s="8">
        <v>42337</v>
      </c>
      <c r="I3441">
        <v>23509.64</v>
      </c>
      <c r="K3441" s="8"/>
    </row>
    <row r="3442" spans="1:11">
      <c r="A3442">
        <v>200003441</v>
      </c>
      <c r="B3442" t="s">
        <v>51</v>
      </c>
      <c r="C3442" t="s">
        <v>203</v>
      </c>
      <c r="D3442" t="s">
        <v>11</v>
      </c>
      <c r="E3442" s="9">
        <v>42</v>
      </c>
      <c r="F3442" t="s">
        <v>32</v>
      </c>
      <c r="G3442" t="s">
        <v>18</v>
      </c>
      <c r="H3442" s="7">
        <v>42337</v>
      </c>
      <c r="I3442">
        <v>29640.92</v>
      </c>
      <c r="K3442" s="7"/>
    </row>
    <row r="3443" spans="1:11">
      <c r="A3443">
        <v>300003442</v>
      </c>
      <c r="B3443" t="s">
        <v>164</v>
      </c>
      <c r="C3443" t="s">
        <v>45</v>
      </c>
      <c r="D3443" t="s">
        <v>11</v>
      </c>
      <c r="E3443" s="9">
        <v>34</v>
      </c>
      <c r="F3443" t="s">
        <v>23</v>
      </c>
      <c r="G3443" t="s">
        <v>33</v>
      </c>
      <c r="H3443" s="8">
        <v>42337</v>
      </c>
      <c r="I3443">
        <v>43520.9</v>
      </c>
      <c r="K3443" s="8"/>
    </row>
    <row r="3444" spans="1:11">
      <c r="A3444">
        <v>400003443</v>
      </c>
      <c r="B3444" t="s">
        <v>309</v>
      </c>
      <c r="C3444" t="s">
        <v>106</v>
      </c>
      <c r="D3444" t="s">
        <v>16</v>
      </c>
      <c r="E3444" s="9">
        <v>21</v>
      </c>
      <c r="F3444" t="s">
        <v>17</v>
      </c>
      <c r="G3444" t="s">
        <v>18</v>
      </c>
      <c r="H3444" s="7">
        <v>42337</v>
      </c>
      <c r="I3444">
        <v>51615.61</v>
      </c>
      <c r="K3444" s="7"/>
    </row>
    <row r="3445" spans="1:11">
      <c r="A3445">
        <v>100003444</v>
      </c>
      <c r="B3445" t="s">
        <v>311</v>
      </c>
      <c r="C3445" t="s">
        <v>87</v>
      </c>
      <c r="D3445" t="s">
        <v>11</v>
      </c>
      <c r="E3445" s="9">
        <v>25</v>
      </c>
      <c r="F3445" t="s">
        <v>12</v>
      </c>
      <c r="G3445" t="s">
        <v>13</v>
      </c>
      <c r="H3445" s="8">
        <v>42338</v>
      </c>
      <c r="I3445">
        <v>77624.38</v>
      </c>
      <c r="K3445" s="8"/>
    </row>
    <row r="3446" spans="1:11">
      <c r="A3446">
        <v>100003445</v>
      </c>
      <c r="B3446" t="s">
        <v>102</v>
      </c>
      <c r="C3446" t="s">
        <v>185</v>
      </c>
      <c r="D3446" t="s">
        <v>16</v>
      </c>
      <c r="E3446" s="9">
        <v>36</v>
      </c>
      <c r="F3446" t="s">
        <v>12</v>
      </c>
      <c r="G3446" t="s">
        <v>13</v>
      </c>
      <c r="H3446" s="7">
        <v>42338</v>
      </c>
      <c r="I3446">
        <v>50507.35</v>
      </c>
      <c r="K3446" s="7"/>
    </row>
    <row r="3447" spans="1:11">
      <c r="A3447">
        <v>100003446</v>
      </c>
      <c r="B3447" t="s">
        <v>244</v>
      </c>
      <c r="C3447" t="s">
        <v>227</v>
      </c>
      <c r="D3447" t="s">
        <v>16</v>
      </c>
      <c r="E3447" s="9">
        <v>18</v>
      </c>
      <c r="F3447" t="s">
        <v>12</v>
      </c>
      <c r="G3447" t="s">
        <v>13</v>
      </c>
      <c r="H3447" s="8">
        <v>42338</v>
      </c>
      <c r="I3447">
        <v>93603.839999999997</v>
      </c>
      <c r="K3447" s="8"/>
    </row>
    <row r="3448" spans="1:11">
      <c r="A3448">
        <v>100003447</v>
      </c>
      <c r="B3448" t="s">
        <v>83</v>
      </c>
      <c r="C3448" t="s">
        <v>224</v>
      </c>
      <c r="D3448" t="s">
        <v>16</v>
      </c>
      <c r="E3448" s="9">
        <v>34</v>
      </c>
      <c r="F3448" t="s">
        <v>12</v>
      </c>
      <c r="G3448" t="s">
        <v>13</v>
      </c>
      <c r="H3448" s="7">
        <v>42338</v>
      </c>
      <c r="I3448">
        <v>5871.86</v>
      </c>
      <c r="K3448" s="7"/>
    </row>
    <row r="3449" spans="1:11">
      <c r="A3449">
        <v>100003448</v>
      </c>
      <c r="B3449" t="s">
        <v>70</v>
      </c>
      <c r="C3449" t="s">
        <v>270</v>
      </c>
      <c r="D3449" t="s">
        <v>11</v>
      </c>
      <c r="E3449" s="9">
        <v>31</v>
      </c>
      <c r="F3449" t="s">
        <v>12</v>
      </c>
      <c r="G3449" t="s">
        <v>13</v>
      </c>
      <c r="H3449" s="8">
        <v>42338</v>
      </c>
      <c r="I3449">
        <v>5178.59</v>
      </c>
      <c r="K3449" s="8"/>
    </row>
    <row r="3450" spans="1:11">
      <c r="A3450">
        <v>100003449</v>
      </c>
      <c r="B3450" t="s">
        <v>184</v>
      </c>
      <c r="C3450" t="s">
        <v>258</v>
      </c>
      <c r="D3450" t="s">
        <v>16</v>
      </c>
      <c r="E3450" s="9">
        <v>39</v>
      </c>
      <c r="F3450" t="s">
        <v>12</v>
      </c>
      <c r="G3450" t="s">
        <v>13</v>
      </c>
      <c r="H3450" s="7">
        <v>42338</v>
      </c>
      <c r="I3450">
        <v>40554.67</v>
      </c>
      <c r="K3450" s="7"/>
    </row>
    <row r="3451" spans="1:11">
      <c r="A3451">
        <v>100003450</v>
      </c>
      <c r="B3451" t="s">
        <v>60</v>
      </c>
      <c r="C3451" t="s">
        <v>65</v>
      </c>
      <c r="D3451" t="s">
        <v>11</v>
      </c>
      <c r="E3451" s="9">
        <v>35</v>
      </c>
      <c r="F3451" t="s">
        <v>12</v>
      </c>
      <c r="G3451" t="s">
        <v>13</v>
      </c>
      <c r="H3451" s="8">
        <v>42338</v>
      </c>
      <c r="I3451">
        <v>181680.99</v>
      </c>
      <c r="K3451" s="8"/>
    </row>
    <row r="3452" spans="1:11">
      <c r="A3452">
        <v>100003451</v>
      </c>
      <c r="B3452" t="s">
        <v>38</v>
      </c>
      <c r="C3452" t="s">
        <v>41</v>
      </c>
      <c r="D3452" t="s">
        <v>11</v>
      </c>
      <c r="E3452" s="9">
        <v>36</v>
      </c>
      <c r="F3452" t="s">
        <v>12</v>
      </c>
      <c r="G3452" t="s">
        <v>13</v>
      </c>
      <c r="H3452" s="7">
        <v>42338</v>
      </c>
      <c r="I3452">
        <v>30265.69</v>
      </c>
      <c r="K3452" s="7"/>
    </row>
    <row r="3453" spans="1:11">
      <c r="A3453">
        <v>100003452</v>
      </c>
      <c r="B3453" t="s">
        <v>90</v>
      </c>
      <c r="C3453" t="s">
        <v>315</v>
      </c>
      <c r="D3453" t="s">
        <v>11</v>
      </c>
      <c r="E3453" s="9">
        <v>40</v>
      </c>
      <c r="F3453" t="s">
        <v>12</v>
      </c>
      <c r="G3453" t="s">
        <v>18</v>
      </c>
      <c r="H3453" s="8">
        <v>42338</v>
      </c>
      <c r="I3453">
        <v>30954.9</v>
      </c>
      <c r="K3453" s="8"/>
    </row>
    <row r="3454" spans="1:11">
      <c r="A3454">
        <v>100003453</v>
      </c>
      <c r="B3454" t="s">
        <v>316</v>
      </c>
      <c r="C3454" t="s">
        <v>157</v>
      </c>
      <c r="D3454" t="s">
        <v>16</v>
      </c>
      <c r="E3454" s="9">
        <v>36</v>
      </c>
      <c r="F3454" t="s">
        <v>12</v>
      </c>
      <c r="G3454" t="s">
        <v>33</v>
      </c>
      <c r="H3454" s="7">
        <v>42338</v>
      </c>
      <c r="I3454">
        <v>70684.350000000006</v>
      </c>
      <c r="K3454" s="7"/>
    </row>
    <row r="3455" spans="1:11">
      <c r="A3455">
        <v>100003454</v>
      </c>
      <c r="B3455" t="s">
        <v>284</v>
      </c>
      <c r="C3455" t="s">
        <v>103</v>
      </c>
      <c r="D3455" t="s">
        <v>16</v>
      </c>
      <c r="E3455" s="9">
        <v>32</v>
      </c>
      <c r="F3455" t="s">
        <v>12</v>
      </c>
      <c r="G3455" t="s">
        <v>13</v>
      </c>
      <c r="H3455" s="8">
        <v>42338</v>
      </c>
      <c r="I3455">
        <v>98044.81</v>
      </c>
      <c r="K3455" s="8"/>
    </row>
    <row r="3456" spans="1:11">
      <c r="A3456">
        <v>100003455</v>
      </c>
      <c r="B3456" t="s">
        <v>304</v>
      </c>
      <c r="C3456" t="s">
        <v>125</v>
      </c>
      <c r="D3456" t="s">
        <v>16</v>
      </c>
      <c r="E3456" s="9">
        <v>39</v>
      </c>
      <c r="F3456" t="s">
        <v>12</v>
      </c>
      <c r="G3456" t="s">
        <v>13</v>
      </c>
      <c r="H3456" s="7">
        <v>42338</v>
      </c>
      <c r="I3456">
        <v>112000.36</v>
      </c>
      <c r="K3456" s="7"/>
    </row>
    <row r="3457" spans="1:11">
      <c r="A3457">
        <v>100003456</v>
      </c>
      <c r="B3457" t="s">
        <v>197</v>
      </c>
      <c r="C3457" t="s">
        <v>77</v>
      </c>
      <c r="D3457" t="s">
        <v>11</v>
      </c>
      <c r="E3457" s="9">
        <v>38</v>
      </c>
      <c r="F3457" t="s">
        <v>12</v>
      </c>
      <c r="G3457" t="s">
        <v>18</v>
      </c>
      <c r="H3457" s="8">
        <v>42338</v>
      </c>
      <c r="I3457">
        <v>20076.79</v>
      </c>
      <c r="K3457" s="8"/>
    </row>
    <row r="3458" spans="1:11">
      <c r="A3458">
        <v>100003457</v>
      </c>
      <c r="B3458" t="s">
        <v>194</v>
      </c>
      <c r="C3458" t="s">
        <v>136</v>
      </c>
      <c r="D3458" t="s">
        <v>16</v>
      </c>
      <c r="E3458" s="9">
        <v>24</v>
      </c>
      <c r="F3458" t="s">
        <v>12</v>
      </c>
      <c r="G3458" t="s">
        <v>13</v>
      </c>
      <c r="H3458" s="7">
        <v>42338</v>
      </c>
      <c r="I3458">
        <v>97846.35</v>
      </c>
      <c r="K3458" s="7"/>
    </row>
    <row r="3459" spans="1:11">
      <c r="A3459">
        <v>100003458</v>
      </c>
      <c r="B3459" t="s">
        <v>221</v>
      </c>
      <c r="C3459" t="s">
        <v>172</v>
      </c>
      <c r="D3459" t="s">
        <v>16</v>
      </c>
      <c r="E3459" s="9">
        <v>45</v>
      </c>
      <c r="F3459" t="s">
        <v>12</v>
      </c>
      <c r="G3459" t="s">
        <v>13</v>
      </c>
      <c r="H3459" s="8">
        <v>42338</v>
      </c>
      <c r="I3459">
        <v>41909.74</v>
      </c>
      <c r="K3459" s="8"/>
    </row>
    <row r="3460" spans="1:11">
      <c r="A3460">
        <v>200003459</v>
      </c>
      <c r="B3460" t="s">
        <v>168</v>
      </c>
      <c r="C3460" t="s">
        <v>290</v>
      </c>
      <c r="D3460" t="s">
        <v>16</v>
      </c>
      <c r="E3460" s="9">
        <v>55</v>
      </c>
      <c r="F3460" t="s">
        <v>32</v>
      </c>
      <c r="G3460" t="s">
        <v>13</v>
      </c>
      <c r="H3460" s="7">
        <v>42338</v>
      </c>
      <c r="I3460">
        <v>67876.94</v>
      </c>
      <c r="K3460" s="7"/>
    </row>
    <row r="3461" spans="1:11">
      <c r="A3461">
        <v>200003460</v>
      </c>
      <c r="B3461" t="s">
        <v>303</v>
      </c>
      <c r="C3461" t="s">
        <v>107</v>
      </c>
      <c r="D3461" t="s">
        <v>11</v>
      </c>
      <c r="E3461" s="9">
        <v>51</v>
      </c>
      <c r="F3461" t="s">
        <v>32</v>
      </c>
      <c r="G3461" t="s">
        <v>33</v>
      </c>
      <c r="H3461" s="8">
        <v>42338</v>
      </c>
      <c r="I3461">
        <v>4573.26</v>
      </c>
      <c r="K3461" s="8"/>
    </row>
    <row r="3462" spans="1:11">
      <c r="A3462">
        <v>200003461</v>
      </c>
      <c r="B3462" t="s">
        <v>221</v>
      </c>
      <c r="C3462" t="s">
        <v>77</v>
      </c>
      <c r="D3462" t="s">
        <v>16</v>
      </c>
      <c r="E3462" s="9">
        <v>56</v>
      </c>
      <c r="F3462" t="s">
        <v>32</v>
      </c>
      <c r="G3462" t="s">
        <v>33</v>
      </c>
      <c r="H3462" s="7">
        <v>42338</v>
      </c>
      <c r="I3462">
        <v>4111.03</v>
      </c>
      <c r="K3462" s="7"/>
    </row>
    <row r="3463" spans="1:11">
      <c r="A3463">
        <v>200003462</v>
      </c>
      <c r="B3463" t="s">
        <v>89</v>
      </c>
      <c r="C3463" t="s">
        <v>258</v>
      </c>
      <c r="D3463" t="s">
        <v>11</v>
      </c>
      <c r="E3463" s="9">
        <v>44</v>
      </c>
      <c r="F3463" t="s">
        <v>32</v>
      </c>
      <c r="G3463" t="s">
        <v>13</v>
      </c>
      <c r="H3463" s="8">
        <v>42338</v>
      </c>
      <c r="I3463">
        <v>38971.83</v>
      </c>
      <c r="K3463" s="8"/>
    </row>
    <row r="3464" spans="1:11">
      <c r="A3464">
        <v>200003463</v>
      </c>
      <c r="B3464" t="s">
        <v>72</v>
      </c>
      <c r="C3464" t="s">
        <v>93</v>
      </c>
      <c r="D3464" t="s">
        <v>11</v>
      </c>
      <c r="E3464" s="9">
        <v>49</v>
      </c>
      <c r="F3464" t="s">
        <v>32</v>
      </c>
      <c r="G3464" t="s">
        <v>33</v>
      </c>
      <c r="H3464" s="7">
        <v>42338</v>
      </c>
      <c r="I3464">
        <v>71307.31</v>
      </c>
      <c r="K3464" s="7"/>
    </row>
    <row r="3465" spans="1:11">
      <c r="A3465">
        <v>200003464</v>
      </c>
      <c r="B3465" t="s">
        <v>74</v>
      </c>
      <c r="C3465" t="s">
        <v>138</v>
      </c>
      <c r="D3465" t="s">
        <v>16</v>
      </c>
      <c r="E3465" s="9">
        <v>58</v>
      </c>
      <c r="F3465" t="s">
        <v>32</v>
      </c>
      <c r="G3465" t="s">
        <v>33</v>
      </c>
      <c r="H3465" s="8">
        <v>42338</v>
      </c>
      <c r="I3465">
        <v>77504.67</v>
      </c>
      <c r="K3465" s="8"/>
    </row>
    <row r="3466" spans="1:11">
      <c r="A3466">
        <v>300003465</v>
      </c>
      <c r="B3466" t="s">
        <v>150</v>
      </c>
      <c r="C3466" t="s">
        <v>288</v>
      </c>
      <c r="D3466" t="s">
        <v>16</v>
      </c>
      <c r="E3466" s="9">
        <v>42</v>
      </c>
      <c r="F3466" t="s">
        <v>23</v>
      </c>
      <c r="G3466" t="s">
        <v>13</v>
      </c>
      <c r="H3466" s="7">
        <v>42338</v>
      </c>
      <c r="I3466">
        <v>17189.689999999999</v>
      </c>
      <c r="K3466" s="7"/>
    </row>
    <row r="3467" spans="1:11">
      <c r="A3467">
        <v>300003466</v>
      </c>
      <c r="B3467" t="s">
        <v>265</v>
      </c>
      <c r="C3467" t="s">
        <v>113</v>
      </c>
      <c r="D3467" t="s">
        <v>16</v>
      </c>
      <c r="E3467" s="9">
        <v>44</v>
      </c>
      <c r="F3467" t="s">
        <v>23</v>
      </c>
      <c r="G3467" t="s">
        <v>33</v>
      </c>
      <c r="H3467" s="8">
        <v>42338</v>
      </c>
      <c r="I3467">
        <v>44752.01</v>
      </c>
      <c r="K3467" s="8"/>
    </row>
    <row r="3468" spans="1:11">
      <c r="A3468">
        <v>300003467</v>
      </c>
      <c r="B3468" t="s">
        <v>117</v>
      </c>
      <c r="C3468" t="s">
        <v>167</v>
      </c>
      <c r="D3468" t="s">
        <v>16</v>
      </c>
      <c r="E3468" s="9">
        <v>31</v>
      </c>
      <c r="F3468" t="s">
        <v>23</v>
      </c>
      <c r="G3468" t="s">
        <v>13</v>
      </c>
      <c r="H3468" s="7">
        <v>42338</v>
      </c>
      <c r="I3468">
        <v>6052.52</v>
      </c>
      <c r="K3468" s="7"/>
    </row>
    <row r="3469" spans="1:11">
      <c r="A3469">
        <v>300003468</v>
      </c>
      <c r="B3469" t="s">
        <v>164</v>
      </c>
      <c r="C3469" t="s">
        <v>56</v>
      </c>
      <c r="D3469" t="s">
        <v>11</v>
      </c>
      <c r="E3469" s="9">
        <v>41</v>
      </c>
      <c r="F3469" t="s">
        <v>23</v>
      </c>
      <c r="G3469" t="s">
        <v>18</v>
      </c>
      <c r="H3469" s="8">
        <v>42338</v>
      </c>
      <c r="I3469">
        <v>77.459999999999994</v>
      </c>
      <c r="K3469" s="8"/>
    </row>
    <row r="3470" spans="1:11">
      <c r="A3470">
        <v>300003469</v>
      </c>
      <c r="B3470" t="s">
        <v>158</v>
      </c>
      <c r="C3470" t="s">
        <v>274</v>
      </c>
      <c r="D3470" t="s">
        <v>16</v>
      </c>
      <c r="E3470" s="9">
        <v>37</v>
      </c>
      <c r="F3470" t="s">
        <v>23</v>
      </c>
      <c r="G3470" t="s">
        <v>13</v>
      </c>
      <c r="H3470" s="7">
        <v>42338</v>
      </c>
      <c r="I3470">
        <v>24898.45</v>
      </c>
      <c r="K3470" s="7"/>
    </row>
    <row r="3471" spans="1:11">
      <c r="A3471">
        <v>300003470</v>
      </c>
      <c r="B3471" t="s">
        <v>194</v>
      </c>
      <c r="C3471" t="s">
        <v>153</v>
      </c>
      <c r="D3471" t="s">
        <v>16</v>
      </c>
      <c r="E3471" s="9">
        <v>41</v>
      </c>
      <c r="F3471" t="s">
        <v>23</v>
      </c>
      <c r="G3471" t="s">
        <v>13</v>
      </c>
      <c r="H3471" s="8">
        <v>42338</v>
      </c>
      <c r="I3471">
        <v>11632.48</v>
      </c>
      <c r="K3471" s="8"/>
    </row>
    <row r="3472" spans="1:11">
      <c r="A3472">
        <v>300003471</v>
      </c>
      <c r="B3472" t="s">
        <v>229</v>
      </c>
      <c r="C3472" t="s">
        <v>88</v>
      </c>
      <c r="D3472" t="s">
        <v>16</v>
      </c>
      <c r="E3472" s="9">
        <v>20</v>
      </c>
      <c r="F3472" t="s">
        <v>23</v>
      </c>
      <c r="G3472" t="s">
        <v>13</v>
      </c>
      <c r="H3472" s="7">
        <v>42338</v>
      </c>
      <c r="I3472">
        <v>68569.210000000006</v>
      </c>
      <c r="K3472" s="7"/>
    </row>
    <row r="3473" spans="1:11">
      <c r="A3473">
        <v>400003472</v>
      </c>
      <c r="B3473" t="s">
        <v>28</v>
      </c>
      <c r="C3473" t="s">
        <v>75</v>
      </c>
      <c r="D3473" t="s">
        <v>16</v>
      </c>
      <c r="E3473" s="9">
        <v>34</v>
      </c>
      <c r="F3473" t="s">
        <v>17</v>
      </c>
      <c r="G3473" t="s">
        <v>18</v>
      </c>
      <c r="H3473" s="8">
        <v>42338</v>
      </c>
      <c r="I3473">
        <v>15263.47</v>
      </c>
      <c r="K3473" s="8"/>
    </row>
    <row r="3474" spans="1:11">
      <c r="A3474">
        <v>100003473</v>
      </c>
      <c r="B3474" t="s">
        <v>287</v>
      </c>
      <c r="C3474" t="s">
        <v>151</v>
      </c>
      <c r="D3474" t="s">
        <v>16</v>
      </c>
      <c r="E3474" s="9">
        <v>42</v>
      </c>
      <c r="F3474" t="s">
        <v>12</v>
      </c>
      <c r="G3474" t="s">
        <v>13</v>
      </c>
      <c r="H3474" s="7">
        <v>42339</v>
      </c>
      <c r="I3474">
        <v>45276.800000000003</v>
      </c>
      <c r="K3474" s="7"/>
    </row>
    <row r="3475" spans="1:11">
      <c r="A3475">
        <v>100003474</v>
      </c>
      <c r="B3475" t="s">
        <v>51</v>
      </c>
      <c r="C3475" t="s">
        <v>205</v>
      </c>
      <c r="D3475" t="s">
        <v>11</v>
      </c>
      <c r="E3475" s="9">
        <v>45</v>
      </c>
      <c r="F3475" t="s">
        <v>12</v>
      </c>
      <c r="G3475" t="s">
        <v>13</v>
      </c>
      <c r="H3475" s="8">
        <v>42339</v>
      </c>
      <c r="I3475">
        <v>40200.6</v>
      </c>
      <c r="K3475" s="8"/>
    </row>
    <row r="3476" spans="1:11">
      <c r="A3476">
        <v>100003475</v>
      </c>
      <c r="B3476" t="s">
        <v>117</v>
      </c>
      <c r="C3476" t="s">
        <v>306</v>
      </c>
      <c r="D3476" t="s">
        <v>16</v>
      </c>
      <c r="E3476" s="9">
        <v>33</v>
      </c>
      <c r="F3476" t="s">
        <v>12</v>
      </c>
      <c r="G3476" t="s">
        <v>13</v>
      </c>
      <c r="H3476" s="7">
        <v>42339</v>
      </c>
      <c r="I3476">
        <v>12547.19</v>
      </c>
      <c r="K3476" s="7"/>
    </row>
    <row r="3477" spans="1:11">
      <c r="A3477">
        <v>200003476</v>
      </c>
      <c r="B3477" t="s">
        <v>24</v>
      </c>
      <c r="C3477" t="s">
        <v>94</v>
      </c>
      <c r="D3477" t="s">
        <v>16</v>
      </c>
      <c r="E3477" s="9">
        <v>42</v>
      </c>
      <c r="F3477" t="s">
        <v>32</v>
      </c>
      <c r="G3477" t="s">
        <v>33</v>
      </c>
      <c r="H3477" s="8">
        <v>42339</v>
      </c>
      <c r="I3477">
        <v>9013.24</v>
      </c>
      <c r="K3477" s="8"/>
    </row>
    <row r="3478" spans="1:11">
      <c r="A3478">
        <v>200003477</v>
      </c>
      <c r="B3478" t="s">
        <v>304</v>
      </c>
      <c r="C3478" t="s">
        <v>127</v>
      </c>
      <c r="D3478" t="s">
        <v>16</v>
      </c>
      <c r="E3478" s="9">
        <v>46</v>
      </c>
      <c r="F3478" t="s">
        <v>32</v>
      </c>
      <c r="G3478" t="s">
        <v>33</v>
      </c>
      <c r="H3478" s="7">
        <v>42339</v>
      </c>
      <c r="I3478">
        <v>27886.21</v>
      </c>
      <c r="K3478" s="7"/>
    </row>
    <row r="3479" spans="1:11">
      <c r="A3479">
        <v>200003478</v>
      </c>
      <c r="B3479" t="s">
        <v>303</v>
      </c>
      <c r="C3479" t="s">
        <v>52</v>
      </c>
      <c r="D3479" t="s">
        <v>11</v>
      </c>
      <c r="E3479" s="9">
        <v>43</v>
      </c>
      <c r="F3479" t="s">
        <v>32</v>
      </c>
      <c r="G3479" t="s">
        <v>18</v>
      </c>
      <c r="H3479" s="8">
        <v>42339</v>
      </c>
      <c r="I3479">
        <v>53739.25</v>
      </c>
      <c r="K3479" s="8"/>
    </row>
    <row r="3480" spans="1:11">
      <c r="A3480">
        <v>300003479</v>
      </c>
      <c r="B3480" t="s">
        <v>171</v>
      </c>
      <c r="C3480" t="s">
        <v>151</v>
      </c>
      <c r="D3480" t="s">
        <v>16</v>
      </c>
      <c r="E3480" s="9">
        <v>24</v>
      </c>
      <c r="F3480" t="s">
        <v>23</v>
      </c>
      <c r="G3480" t="s">
        <v>13</v>
      </c>
      <c r="H3480" s="7">
        <v>42339</v>
      </c>
      <c r="I3480">
        <v>17649.52</v>
      </c>
      <c r="K3480" s="7"/>
    </row>
    <row r="3481" spans="1:11">
      <c r="A3481">
        <v>300003480</v>
      </c>
      <c r="B3481" t="s">
        <v>111</v>
      </c>
      <c r="C3481" t="s">
        <v>195</v>
      </c>
      <c r="D3481" t="s">
        <v>11</v>
      </c>
      <c r="E3481" s="9">
        <v>44</v>
      </c>
      <c r="F3481" t="s">
        <v>23</v>
      </c>
      <c r="G3481" t="s">
        <v>13</v>
      </c>
      <c r="H3481" s="8">
        <v>42339</v>
      </c>
      <c r="I3481">
        <v>103404.37</v>
      </c>
      <c r="K3481" s="8"/>
    </row>
    <row r="3482" spans="1:11">
      <c r="A3482">
        <v>100003481</v>
      </c>
      <c r="B3482" t="s">
        <v>226</v>
      </c>
      <c r="C3482" t="s">
        <v>104</v>
      </c>
      <c r="D3482" t="s">
        <v>16</v>
      </c>
      <c r="E3482" s="9">
        <v>28</v>
      </c>
      <c r="F3482" t="s">
        <v>12</v>
      </c>
      <c r="G3482" t="s">
        <v>13</v>
      </c>
      <c r="H3482" s="7">
        <v>42340</v>
      </c>
      <c r="I3482">
        <v>104030.29</v>
      </c>
      <c r="K3482" s="7"/>
    </row>
    <row r="3483" spans="1:11">
      <c r="A3483">
        <v>100003482</v>
      </c>
      <c r="B3483" t="s">
        <v>166</v>
      </c>
      <c r="C3483" t="s">
        <v>288</v>
      </c>
      <c r="D3483" t="s">
        <v>16</v>
      </c>
      <c r="E3483" s="9">
        <v>34</v>
      </c>
      <c r="F3483" t="s">
        <v>12</v>
      </c>
      <c r="G3483" t="s">
        <v>13</v>
      </c>
      <c r="H3483" s="8">
        <v>42340</v>
      </c>
      <c r="I3483">
        <v>60071.77</v>
      </c>
      <c r="K3483" s="8"/>
    </row>
    <row r="3484" spans="1:11">
      <c r="A3484">
        <v>100003483</v>
      </c>
      <c r="B3484" t="s">
        <v>300</v>
      </c>
      <c r="C3484" t="s">
        <v>35</v>
      </c>
      <c r="D3484" t="s">
        <v>16</v>
      </c>
      <c r="E3484" s="9">
        <v>42</v>
      </c>
      <c r="F3484" t="s">
        <v>12</v>
      </c>
      <c r="G3484" t="s">
        <v>13</v>
      </c>
      <c r="H3484" s="7">
        <v>42340</v>
      </c>
      <c r="I3484">
        <v>24501</v>
      </c>
      <c r="K3484" s="7"/>
    </row>
    <row r="3485" spans="1:11">
      <c r="A3485">
        <v>100003484</v>
      </c>
      <c r="B3485" t="s">
        <v>220</v>
      </c>
      <c r="C3485" t="s">
        <v>277</v>
      </c>
      <c r="D3485" t="s">
        <v>16</v>
      </c>
      <c r="E3485" s="9">
        <v>33</v>
      </c>
      <c r="F3485" t="s">
        <v>12</v>
      </c>
      <c r="G3485" t="s">
        <v>13</v>
      </c>
      <c r="H3485" s="8">
        <v>42340</v>
      </c>
      <c r="I3485">
        <v>20517.2</v>
      </c>
      <c r="K3485" s="8"/>
    </row>
    <row r="3486" spans="1:11">
      <c r="A3486">
        <v>100003485</v>
      </c>
      <c r="B3486" t="s">
        <v>90</v>
      </c>
      <c r="C3486" t="s">
        <v>43</v>
      </c>
      <c r="D3486" t="s">
        <v>11</v>
      </c>
      <c r="E3486" s="9">
        <v>21</v>
      </c>
      <c r="F3486" t="s">
        <v>12</v>
      </c>
      <c r="G3486" t="s">
        <v>13</v>
      </c>
      <c r="H3486" s="7">
        <v>42340</v>
      </c>
      <c r="I3486">
        <v>35057.97</v>
      </c>
      <c r="K3486" s="7"/>
    </row>
    <row r="3487" spans="1:11">
      <c r="A3487">
        <v>100003486</v>
      </c>
      <c r="B3487" t="s">
        <v>314</v>
      </c>
      <c r="C3487" t="s">
        <v>307</v>
      </c>
      <c r="D3487" t="s">
        <v>16</v>
      </c>
      <c r="E3487" s="9">
        <v>40</v>
      </c>
      <c r="F3487" t="s">
        <v>12</v>
      </c>
      <c r="G3487" t="s">
        <v>13</v>
      </c>
      <c r="H3487" s="8">
        <v>42340</v>
      </c>
      <c r="I3487">
        <v>48099.01</v>
      </c>
      <c r="K3487" s="8"/>
    </row>
    <row r="3488" spans="1:11">
      <c r="A3488">
        <v>100003487</v>
      </c>
      <c r="B3488" t="s">
        <v>271</v>
      </c>
      <c r="C3488" t="s">
        <v>277</v>
      </c>
      <c r="D3488" t="s">
        <v>16</v>
      </c>
      <c r="E3488" s="9">
        <v>44</v>
      </c>
      <c r="F3488" t="s">
        <v>12</v>
      </c>
      <c r="G3488" t="s">
        <v>33</v>
      </c>
      <c r="H3488" s="7">
        <v>42340</v>
      </c>
      <c r="I3488">
        <v>11121.96</v>
      </c>
      <c r="K3488" s="7"/>
    </row>
    <row r="3489" spans="1:11">
      <c r="A3489">
        <v>100003488</v>
      </c>
      <c r="B3489" t="s">
        <v>300</v>
      </c>
      <c r="C3489" t="s">
        <v>106</v>
      </c>
      <c r="D3489" t="s">
        <v>16</v>
      </c>
      <c r="E3489" s="9">
        <v>44</v>
      </c>
      <c r="F3489" t="s">
        <v>12</v>
      </c>
      <c r="G3489" t="s">
        <v>33</v>
      </c>
      <c r="H3489" s="8">
        <v>42340</v>
      </c>
      <c r="I3489">
        <v>71313.5</v>
      </c>
      <c r="K3489" s="8"/>
    </row>
    <row r="3490" spans="1:11">
      <c r="A3490">
        <v>100003489</v>
      </c>
      <c r="B3490" t="s">
        <v>164</v>
      </c>
      <c r="C3490" t="s">
        <v>63</v>
      </c>
      <c r="D3490" t="s">
        <v>11</v>
      </c>
      <c r="E3490" s="9">
        <v>33</v>
      </c>
      <c r="F3490" t="s">
        <v>12</v>
      </c>
      <c r="G3490" t="s">
        <v>13</v>
      </c>
      <c r="H3490" s="7">
        <v>42340</v>
      </c>
      <c r="I3490">
        <v>7593.12</v>
      </c>
      <c r="K3490" s="7"/>
    </row>
    <row r="3491" spans="1:11">
      <c r="A3491">
        <v>100003490</v>
      </c>
      <c r="B3491" t="s">
        <v>42</v>
      </c>
      <c r="C3491" t="s">
        <v>242</v>
      </c>
      <c r="D3491" t="s">
        <v>11</v>
      </c>
      <c r="E3491" s="9">
        <v>29</v>
      </c>
      <c r="F3491" t="s">
        <v>12</v>
      </c>
      <c r="G3491" t="s">
        <v>18</v>
      </c>
      <c r="H3491" s="8">
        <v>42340</v>
      </c>
      <c r="I3491">
        <v>41898.47</v>
      </c>
      <c r="K3491" s="8"/>
    </row>
    <row r="3492" spans="1:11">
      <c r="A3492">
        <v>100003491</v>
      </c>
      <c r="B3492" t="s">
        <v>133</v>
      </c>
      <c r="C3492" t="s">
        <v>75</v>
      </c>
      <c r="D3492" t="s">
        <v>11</v>
      </c>
      <c r="E3492" s="9">
        <v>37</v>
      </c>
      <c r="F3492" t="s">
        <v>12</v>
      </c>
      <c r="G3492" t="s">
        <v>18</v>
      </c>
      <c r="H3492" s="7">
        <v>42340</v>
      </c>
      <c r="I3492">
        <v>23034.44</v>
      </c>
      <c r="K3492" s="7"/>
    </row>
    <row r="3493" spans="1:11">
      <c r="A3493">
        <v>200003492</v>
      </c>
      <c r="B3493" t="s">
        <v>293</v>
      </c>
      <c r="C3493" t="s">
        <v>282</v>
      </c>
      <c r="D3493" t="s">
        <v>11</v>
      </c>
      <c r="E3493" s="9">
        <v>57</v>
      </c>
      <c r="F3493" t="s">
        <v>32</v>
      </c>
      <c r="G3493" t="s">
        <v>33</v>
      </c>
      <c r="H3493" s="8">
        <v>42340</v>
      </c>
      <c r="I3493">
        <v>87348.99</v>
      </c>
      <c r="K3493" s="8"/>
    </row>
    <row r="3494" spans="1:11">
      <c r="A3494">
        <v>200003493</v>
      </c>
      <c r="B3494" t="s">
        <v>154</v>
      </c>
      <c r="C3494" t="s">
        <v>61</v>
      </c>
      <c r="D3494" t="s">
        <v>16</v>
      </c>
      <c r="E3494" s="9">
        <v>53</v>
      </c>
      <c r="F3494" t="s">
        <v>32</v>
      </c>
      <c r="G3494" t="s">
        <v>13</v>
      </c>
      <c r="H3494" s="7">
        <v>42340</v>
      </c>
      <c r="I3494">
        <v>8313.2999999999993</v>
      </c>
      <c r="K3494" s="7"/>
    </row>
    <row r="3495" spans="1:11">
      <c r="A3495">
        <v>200003494</v>
      </c>
      <c r="B3495" t="s">
        <v>57</v>
      </c>
      <c r="C3495" t="s">
        <v>134</v>
      </c>
      <c r="D3495" t="s">
        <v>11</v>
      </c>
      <c r="E3495" s="9">
        <v>48</v>
      </c>
      <c r="F3495" t="s">
        <v>32</v>
      </c>
      <c r="G3495" t="s">
        <v>18</v>
      </c>
      <c r="H3495" s="8">
        <v>42340</v>
      </c>
      <c r="I3495">
        <v>5703.79</v>
      </c>
      <c r="K3495" s="8"/>
    </row>
    <row r="3496" spans="1:11">
      <c r="A3496">
        <v>200003495</v>
      </c>
      <c r="B3496" t="s">
        <v>79</v>
      </c>
      <c r="C3496" t="s">
        <v>270</v>
      </c>
      <c r="D3496" t="s">
        <v>11</v>
      </c>
      <c r="E3496" s="9">
        <v>54</v>
      </c>
      <c r="F3496" t="s">
        <v>32</v>
      </c>
      <c r="G3496" t="s">
        <v>33</v>
      </c>
      <c r="H3496" s="7">
        <v>42340</v>
      </c>
      <c r="I3496">
        <v>34664</v>
      </c>
      <c r="K3496" s="7"/>
    </row>
    <row r="3497" spans="1:11">
      <c r="A3497">
        <v>200003496</v>
      </c>
      <c r="B3497" t="s">
        <v>197</v>
      </c>
      <c r="C3497" t="s">
        <v>201</v>
      </c>
      <c r="D3497" t="s">
        <v>11</v>
      </c>
      <c r="E3497" s="9">
        <v>43</v>
      </c>
      <c r="F3497" t="s">
        <v>32</v>
      </c>
      <c r="G3497" t="s">
        <v>18</v>
      </c>
      <c r="H3497" s="8">
        <v>42340</v>
      </c>
      <c r="I3497">
        <v>30216.11</v>
      </c>
      <c r="K3497" s="8"/>
    </row>
    <row r="3498" spans="1:11">
      <c r="A3498">
        <v>300003497</v>
      </c>
      <c r="B3498" t="s">
        <v>158</v>
      </c>
      <c r="C3498" t="s">
        <v>116</v>
      </c>
      <c r="D3498" t="s">
        <v>16</v>
      </c>
      <c r="E3498" s="9">
        <v>30</v>
      </c>
      <c r="F3498" t="s">
        <v>23</v>
      </c>
      <c r="G3498" t="s">
        <v>18</v>
      </c>
      <c r="H3498" s="7">
        <v>42340</v>
      </c>
      <c r="I3498">
        <v>96.26</v>
      </c>
      <c r="K3498" s="7"/>
    </row>
    <row r="3499" spans="1:11">
      <c r="A3499">
        <v>100003498</v>
      </c>
      <c r="B3499" t="s">
        <v>166</v>
      </c>
      <c r="C3499" t="s">
        <v>198</v>
      </c>
      <c r="D3499" t="s">
        <v>16</v>
      </c>
      <c r="E3499" s="9">
        <v>36</v>
      </c>
      <c r="F3499" t="s">
        <v>12</v>
      </c>
      <c r="G3499" t="s">
        <v>13</v>
      </c>
      <c r="H3499" s="8">
        <v>42341</v>
      </c>
      <c r="I3499">
        <v>625.07000000000005</v>
      </c>
      <c r="K3499" s="8"/>
    </row>
    <row r="3500" spans="1:11">
      <c r="A3500">
        <v>100003499</v>
      </c>
      <c r="B3500" t="s">
        <v>92</v>
      </c>
      <c r="C3500" t="s">
        <v>242</v>
      </c>
      <c r="D3500" t="s">
        <v>16</v>
      </c>
      <c r="E3500" s="9">
        <v>34</v>
      </c>
      <c r="F3500" t="s">
        <v>12</v>
      </c>
      <c r="G3500" t="s">
        <v>33</v>
      </c>
      <c r="H3500" s="7">
        <v>42341</v>
      </c>
      <c r="I3500">
        <v>39040.730000000003</v>
      </c>
      <c r="K3500" s="7"/>
    </row>
    <row r="3501" spans="1:11">
      <c r="A3501">
        <v>100003500</v>
      </c>
      <c r="B3501" t="s">
        <v>193</v>
      </c>
      <c r="C3501" t="s">
        <v>144</v>
      </c>
      <c r="D3501" t="s">
        <v>11</v>
      </c>
      <c r="E3501" s="9">
        <v>29</v>
      </c>
      <c r="F3501" t="s">
        <v>12</v>
      </c>
      <c r="G3501" t="s">
        <v>13</v>
      </c>
      <c r="H3501" s="8">
        <v>42341</v>
      </c>
      <c r="I3501">
        <v>135545.59</v>
      </c>
      <c r="K3501" s="8"/>
    </row>
    <row r="3502" spans="1:11">
      <c r="A3502">
        <v>100003501</v>
      </c>
      <c r="B3502" t="s">
        <v>245</v>
      </c>
      <c r="C3502" t="s">
        <v>195</v>
      </c>
      <c r="D3502" t="s">
        <v>11</v>
      </c>
      <c r="E3502" s="9">
        <v>34</v>
      </c>
      <c r="F3502" t="s">
        <v>12</v>
      </c>
      <c r="G3502" t="s">
        <v>33</v>
      </c>
      <c r="H3502" s="7">
        <v>42341</v>
      </c>
      <c r="I3502">
        <v>133630.5</v>
      </c>
      <c r="K3502" s="7"/>
    </row>
    <row r="3503" spans="1:11">
      <c r="A3503">
        <v>100003502</v>
      </c>
      <c r="B3503" t="s">
        <v>244</v>
      </c>
      <c r="C3503" t="s">
        <v>286</v>
      </c>
      <c r="D3503" t="s">
        <v>16</v>
      </c>
      <c r="E3503" s="9">
        <v>49</v>
      </c>
      <c r="F3503" t="s">
        <v>12</v>
      </c>
      <c r="G3503" t="s">
        <v>13</v>
      </c>
      <c r="H3503" s="8">
        <v>42341</v>
      </c>
      <c r="I3503">
        <v>72613.539999999994</v>
      </c>
      <c r="K3503" s="8"/>
    </row>
    <row r="3504" spans="1:11">
      <c r="A3504">
        <v>100003503</v>
      </c>
      <c r="B3504" t="s">
        <v>309</v>
      </c>
      <c r="C3504" t="s">
        <v>270</v>
      </c>
      <c r="D3504" t="s">
        <v>16</v>
      </c>
      <c r="E3504" s="9">
        <v>48</v>
      </c>
      <c r="F3504" t="s">
        <v>12</v>
      </c>
      <c r="G3504" t="s">
        <v>13</v>
      </c>
      <c r="H3504" s="7">
        <v>42341</v>
      </c>
      <c r="I3504">
        <v>35410.35</v>
      </c>
      <c r="K3504" s="7"/>
    </row>
    <row r="3505" spans="1:11">
      <c r="A3505">
        <v>100003504</v>
      </c>
      <c r="B3505" t="s">
        <v>99</v>
      </c>
      <c r="C3505" t="s">
        <v>98</v>
      </c>
      <c r="D3505" t="s">
        <v>16</v>
      </c>
      <c r="E3505" s="9">
        <v>29</v>
      </c>
      <c r="F3505" t="s">
        <v>12</v>
      </c>
      <c r="G3505" t="s">
        <v>13</v>
      </c>
      <c r="H3505" s="8">
        <v>42341</v>
      </c>
      <c r="I3505">
        <v>53584.67</v>
      </c>
      <c r="K3505" s="8"/>
    </row>
    <row r="3506" spans="1:11">
      <c r="A3506">
        <v>100003505</v>
      </c>
      <c r="B3506" t="s">
        <v>261</v>
      </c>
      <c r="C3506" t="s">
        <v>58</v>
      </c>
      <c r="D3506" t="s">
        <v>11</v>
      </c>
      <c r="E3506" s="9">
        <v>31</v>
      </c>
      <c r="F3506" t="s">
        <v>12</v>
      </c>
      <c r="G3506" t="s">
        <v>13</v>
      </c>
      <c r="H3506" s="7">
        <v>42341</v>
      </c>
      <c r="I3506">
        <v>919.95</v>
      </c>
      <c r="K3506" s="7"/>
    </row>
    <row r="3507" spans="1:11">
      <c r="A3507">
        <v>100003506</v>
      </c>
      <c r="B3507" t="s">
        <v>62</v>
      </c>
      <c r="C3507" t="s">
        <v>247</v>
      </c>
      <c r="D3507" t="s">
        <v>16</v>
      </c>
      <c r="E3507" s="9">
        <v>41</v>
      </c>
      <c r="F3507" t="s">
        <v>12</v>
      </c>
      <c r="G3507" t="s">
        <v>13</v>
      </c>
      <c r="H3507" s="8">
        <v>42341</v>
      </c>
      <c r="I3507">
        <v>121591.95</v>
      </c>
      <c r="K3507" s="8"/>
    </row>
    <row r="3508" spans="1:11">
      <c r="A3508">
        <v>100003507</v>
      </c>
      <c r="B3508" t="s">
        <v>36</v>
      </c>
      <c r="C3508" t="s">
        <v>305</v>
      </c>
      <c r="D3508" t="s">
        <v>11</v>
      </c>
      <c r="E3508" s="9">
        <v>29</v>
      </c>
      <c r="F3508" t="s">
        <v>12</v>
      </c>
      <c r="G3508" t="s">
        <v>13</v>
      </c>
      <c r="H3508" s="7">
        <v>42341</v>
      </c>
      <c r="I3508">
        <v>50618.79</v>
      </c>
      <c r="K3508" s="7"/>
    </row>
    <row r="3509" spans="1:11">
      <c r="A3509">
        <v>100003508</v>
      </c>
      <c r="B3509" t="s">
        <v>226</v>
      </c>
      <c r="C3509" t="s">
        <v>203</v>
      </c>
      <c r="D3509" t="s">
        <v>16</v>
      </c>
      <c r="E3509" s="9">
        <v>42</v>
      </c>
      <c r="F3509" t="s">
        <v>12</v>
      </c>
      <c r="G3509" t="s">
        <v>18</v>
      </c>
      <c r="H3509" s="8">
        <v>42341</v>
      </c>
      <c r="I3509">
        <v>34017.93</v>
      </c>
      <c r="K3509" s="8"/>
    </row>
    <row r="3510" spans="1:11">
      <c r="A3510">
        <v>100003509</v>
      </c>
      <c r="B3510" t="s">
        <v>115</v>
      </c>
      <c r="C3510" t="s">
        <v>187</v>
      </c>
      <c r="D3510" t="s">
        <v>16</v>
      </c>
      <c r="E3510" s="9">
        <v>40</v>
      </c>
      <c r="F3510" t="s">
        <v>12</v>
      </c>
      <c r="G3510" t="s">
        <v>13</v>
      </c>
      <c r="H3510" s="7">
        <v>42341</v>
      </c>
      <c r="I3510">
        <v>18739.169999999998</v>
      </c>
      <c r="K3510" s="7"/>
    </row>
    <row r="3511" spans="1:11">
      <c r="A3511">
        <v>100003510</v>
      </c>
      <c r="B3511" t="s">
        <v>193</v>
      </c>
      <c r="C3511" t="s">
        <v>198</v>
      </c>
      <c r="D3511" t="s">
        <v>11</v>
      </c>
      <c r="E3511" s="9">
        <v>18</v>
      </c>
      <c r="F3511" t="s">
        <v>12</v>
      </c>
      <c r="G3511" t="s">
        <v>33</v>
      </c>
      <c r="H3511" s="8">
        <v>42341</v>
      </c>
      <c r="I3511">
        <v>18231.91</v>
      </c>
      <c r="K3511" s="8"/>
    </row>
    <row r="3512" spans="1:11">
      <c r="A3512">
        <v>100003511</v>
      </c>
      <c r="B3512" t="s">
        <v>83</v>
      </c>
      <c r="C3512" t="s">
        <v>39</v>
      </c>
      <c r="D3512" t="s">
        <v>16</v>
      </c>
      <c r="E3512" s="9">
        <v>40</v>
      </c>
      <c r="F3512" t="s">
        <v>12</v>
      </c>
      <c r="G3512" t="s">
        <v>13</v>
      </c>
      <c r="H3512" s="7">
        <v>42341</v>
      </c>
      <c r="I3512">
        <v>47276.63</v>
      </c>
      <c r="K3512" s="7"/>
    </row>
    <row r="3513" spans="1:11">
      <c r="A3513">
        <v>100003512</v>
      </c>
      <c r="B3513" t="s">
        <v>280</v>
      </c>
      <c r="C3513" t="s">
        <v>238</v>
      </c>
      <c r="D3513" t="s">
        <v>11</v>
      </c>
      <c r="E3513" s="9">
        <v>33</v>
      </c>
      <c r="F3513" t="s">
        <v>12</v>
      </c>
      <c r="G3513" t="s">
        <v>18</v>
      </c>
      <c r="H3513" s="8">
        <v>42341</v>
      </c>
      <c r="I3513">
        <v>48962.02</v>
      </c>
      <c r="K3513" s="8"/>
    </row>
    <row r="3514" spans="1:11">
      <c r="A3514">
        <v>100003513</v>
      </c>
      <c r="B3514" t="s">
        <v>119</v>
      </c>
      <c r="C3514" t="s">
        <v>93</v>
      </c>
      <c r="D3514" t="s">
        <v>16</v>
      </c>
      <c r="E3514" s="9">
        <v>32</v>
      </c>
      <c r="F3514" t="s">
        <v>12</v>
      </c>
      <c r="G3514" t="s">
        <v>13</v>
      </c>
      <c r="H3514" s="7">
        <v>42341</v>
      </c>
      <c r="I3514">
        <v>32135.05</v>
      </c>
      <c r="K3514" s="7"/>
    </row>
    <row r="3515" spans="1:11">
      <c r="A3515">
        <v>100003514</v>
      </c>
      <c r="B3515" t="s">
        <v>177</v>
      </c>
      <c r="C3515" t="s">
        <v>132</v>
      </c>
      <c r="D3515" t="s">
        <v>11</v>
      </c>
      <c r="E3515" s="9">
        <v>31</v>
      </c>
      <c r="F3515" t="s">
        <v>12</v>
      </c>
      <c r="G3515" t="s">
        <v>33</v>
      </c>
      <c r="H3515" s="8">
        <v>42341</v>
      </c>
      <c r="I3515">
        <v>51754.080000000002</v>
      </c>
      <c r="K3515" s="8"/>
    </row>
    <row r="3516" spans="1:11">
      <c r="A3516">
        <v>100003515</v>
      </c>
      <c r="B3516" t="s">
        <v>273</v>
      </c>
      <c r="C3516" t="s">
        <v>315</v>
      </c>
      <c r="D3516" t="s">
        <v>11</v>
      </c>
      <c r="E3516" s="9">
        <v>25</v>
      </c>
      <c r="F3516" t="s">
        <v>12</v>
      </c>
      <c r="G3516" t="s">
        <v>18</v>
      </c>
      <c r="H3516" s="7">
        <v>42341</v>
      </c>
      <c r="I3516">
        <v>2046.02</v>
      </c>
      <c r="K3516" s="7"/>
    </row>
    <row r="3517" spans="1:11">
      <c r="A3517">
        <v>100003516</v>
      </c>
      <c r="B3517" t="s">
        <v>55</v>
      </c>
      <c r="C3517" t="s">
        <v>167</v>
      </c>
      <c r="D3517" t="s">
        <v>11</v>
      </c>
      <c r="E3517" s="9">
        <v>34</v>
      </c>
      <c r="F3517" t="s">
        <v>12</v>
      </c>
      <c r="G3517" t="s">
        <v>13</v>
      </c>
      <c r="H3517" s="8">
        <v>42341</v>
      </c>
      <c r="I3517">
        <v>43370.71</v>
      </c>
      <c r="K3517" s="8"/>
    </row>
    <row r="3518" spans="1:11">
      <c r="A3518">
        <v>100003517</v>
      </c>
      <c r="B3518" t="s">
        <v>51</v>
      </c>
      <c r="C3518" t="s">
        <v>318</v>
      </c>
      <c r="D3518" t="s">
        <v>11</v>
      </c>
      <c r="E3518" s="9">
        <v>33</v>
      </c>
      <c r="F3518" t="s">
        <v>12</v>
      </c>
      <c r="G3518" t="s">
        <v>13</v>
      </c>
      <c r="H3518" s="7">
        <v>42341</v>
      </c>
      <c r="I3518">
        <v>9165.84</v>
      </c>
      <c r="K3518" s="7"/>
    </row>
    <row r="3519" spans="1:11">
      <c r="A3519">
        <v>100003518</v>
      </c>
      <c r="B3519" t="s">
        <v>53</v>
      </c>
      <c r="C3519" t="s">
        <v>94</v>
      </c>
      <c r="D3519" t="s">
        <v>16</v>
      </c>
      <c r="E3519" s="9">
        <v>28</v>
      </c>
      <c r="F3519" t="s">
        <v>12</v>
      </c>
      <c r="G3519" t="s">
        <v>13</v>
      </c>
      <c r="H3519" s="8">
        <v>42341</v>
      </c>
      <c r="I3519">
        <v>36852.629999999997</v>
      </c>
      <c r="K3519" s="8"/>
    </row>
    <row r="3520" spans="1:11">
      <c r="A3520">
        <v>100003519</v>
      </c>
      <c r="B3520" t="s">
        <v>317</v>
      </c>
      <c r="C3520" t="s">
        <v>163</v>
      </c>
      <c r="D3520" t="s">
        <v>16</v>
      </c>
      <c r="E3520" s="9">
        <v>25</v>
      </c>
      <c r="F3520" t="s">
        <v>12</v>
      </c>
      <c r="G3520" t="s">
        <v>13</v>
      </c>
      <c r="H3520" s="7">
        <v>42341</v>
      </c>
      <c r="I3520">
        <v>56604.06</v>
      </c>
      <c r="K3520" s="7"/>
    </row>
    <row r="3521" spans="1:11">
      <c r="A3521">
        <v>100003520</v>
      </c>
      <c r="B3521" t="s">
        <v>105</v>
      </c>
      <c r="C3521" t="s">
        <v>121</v>
      </c>
      <c r="D3521" t="s">
        <v>16</v>
      </c>
      <c r="E3521" s="9">
        <v>28</v>
      </c>
      <c r="F3521" t="s">
        <v>12</v>
      </c>
      <c r="G3521" t="s">
        <v>18</v>
      </c>
      <c r="H3521" s="8">
        <v>42341</v>
      </c>
      <c r="I3521">
        <v>31878.71</v>
      </c>
      <c r="K3521" s="8"/>
    </row>
    <row r="3522" spans="1:11">
      <c r="A3522">
        <v>200003521</v>
      </c>
      <c r="B3522" t="s">
        <v>293</v>
      </c>
      <c r="C3522" t="s">
        <v>252</v>
      </c>
      <c r="D3522" t="s">
        <v>11</v>
      </c>
      <c r="E3522" s="9">
        <v>51</v>
      </c>
      <c r="F3522" t="s">
        <v>32</v>
      </c>
      <c r="G3522" t="s">
        <v>18</v>
      </c>
      <c r="H3522" s="7">
        <v>42341</v>
      </c>
      <c r="I3522">
        <v>8142.18</v>
      </c>
      <c r="K3522" s="7"/>
    </row>
    <row r="3523" spans="1:11">
      <c r="A3523">
        <v>200003522</v>
      </c>
      <c r="B3523" t="s">
        <v>190</v>
      </c>
      <c r="C3523" t="s">
        <v>259</v>
      </c>
      <c r="D3523" t="s">
        <v>11</v>
      </c>
      <c r="E3523" s="9">
        <v>52</v>
      </c>
      <c r="F3523" t="s">
        <v>32</v>
      </c>
      <c r="G3523" t="s">
        <v>13</v>
      </c>
      <c r="H3523" s="8">
        <v>42341</v>
      </c>
      <c r="I3523">
        <v>105810.79</v>
      </c>
      <c r="K3523" s="8"/>
    </row>
    <row r="3524" spans="1:11">
      <c r="A3524">
        <v>200003523</v>
      </c>
      <c r="B3524" t="s">
        <v>202</v>
      </c>
      <c r="C3524" t="s">
        <v>310</v>
      </c>
      <c r="D3524" t="s">
        <v>11</v>
      </c>
      <c r="E3524" s="9">
        <v>47</v>
      </c>
      <c r="F3524" t="s">
        <v>32</v>
      </c>
      <c r="G3524" t="s">
        <v>18</v>
      </c>
      <c r="H3524" s="7">
        <v>42341</v>
      </c>
      <c r="I3524">
        <v>5520.69</v>
      </c>
      <c r="K3524" s="7"/>
    </row>
    <row r="3525" spans="1:11">
      <c r="A3525">
        <v>200003524</v>
      </c>
      <c r="B3525" t="s">
        <v>36</v>
      </c>
      <c r="C3525" t="s">
        <v>108</v>
      </c>
      <c r="D3525" t="s">
        <v>11</v>
      </c>
      <c r="E3525" s="9">
        <v>42</v>
      </c>
      <c r="F3525" t="s">
        <v>32</v>
      </c>
      <c r="G3525" t="s">
        <v>33</v>
      </c>
      <c r="H3525" s="8">
        <v>42341</v>
      </c>
      <c r="I3525">
        <v>35698.04</v>
      </c>
      <c r="K3525" s="8"/>
    </row>
    <row r="3526" spans="1:11">
      <c r="A3526">
        <v>200003525</v>
      </c>
      <c r="B3526" t="s">
        <v>152</v>
      </c>
      <c r="C3526" t="s">
        <v>239</v>
      </c>
      <c r="D3526" t="s">
        <v>11</v>
      </c>
      <c r="E3526" s="9">
        <v>54</v>
      </c>
      <c r="F3526" t="s">
        <v>32</v>
      </c>
      <c r="G3526" t="s">
        <v>18</v>
      </c>
      <c r="H3526" s="7">
        <v>42341</v>
      </c>
      <c r="I3526">
        <v>1473.57</v>
      </c>
      <c r="K3526" s="7"/>
    </row>
    <row r="3527" spans="1:11">
      <c r="A3527">
        <v>200003526</v>
      </c>
      <c r="B3527" t="s">
        <v>26</v>
      </c>
      <c r="C3527" t="s">
        <v>54</v>
      </c>
      <c r="D3527" t="s">
        <v>16</v>
      </c>
      <c r="E3527" s="9">
        <v>52</v>
      </c>
      <c r="F3527" t="s">
        <v>32</v>
      </c>
      <c r="G3527" t="s">
        <v>33</v>
      </c>
      <c r="H3527" s="8">
        <v>42341</v>
      </c>
      <c r="I3527">
        <v>61901.62</v>
      </c>
      <c r="K3527" s="8"/>
    </row>
    <row r="3528" spans="1:11">
      <c r="A3528">
        <v>200003527</v>
      </c>
      <c r="B3528" t="s">
        <v>220</v>
      </c>
      <c r="C3528" t="s">
        <v>196</v>
      </c>
      <c r="D3528" t="s">
        <v>16</v>
      </c>
      <c r="E3528" s="9">
        <v>53</v>
      </c>
      <c r="F3528" t="s">
        <v>32</v>
      </c>
      <c r="G3528" t="s">
        <v>33</v>
      </c>
      <c r="H3528" s="7">
        <v>42341</v>
      </c>
      <c r="I3528">
        <v>36741.01</v>
      </c>
      <c r="K3528" s="7"/>
    </row>
    <row r="3529" spans="1:11">
      <c r="A3529">
        <v>200003528</v>
      </c>
      <c r="B3529" t="s">
        <v>83</v>
      </c>
      <c r="C3529" t="s">
        <v>104</v>
      </c>
      <c r="D3529" t="s">
        <v>16</v>
      </c>
      <c r="E3529" s="9">
        <v>41</v>
      </c>
      <c r="F3529" t="s">
        <v>32</v>
      </c>
      <c r="G3529" t="s">
        <v>33</v>
      </c>
      <c r="H3529" s="8">
        <v>42341</v>
      </c>
      <c r="I3529">
        <v>10473.35</v>
      </c>
      <c r="K3529" s="8"/>
    </row>
    <row r="3530" spans="1:11">
      <c r="A3530">
        <v>200003529</v>
      </c>
      <c r="B3530" t="s">
        <v>236</v>
      </c>
      <c r="C3530" t="s">
        <v>240</v>
      </c>
      <c r="D3530" t="s">
        <v>16</v>
      </c>
      <c r="E3530" s="9">
        <v>32</v>
      </c>
      <c r="F3530" t="s">
        <v>32</v>
      </c>
      <c r="G3530" t="s">
        <v>33</v>
      </c>
      <c r="H3530" s="7">
        <v>42341</v>
      </c>
      <c r="I3530">
        <v>37920.839999999997</v>
      </c>
      <c r="K3530" s="7"/>
    </row>
    <row r="3531" spans="1:11">
      <c r="A3531">
        <v>200003530</v>
      </c>
      <c r="B3531" t="s">
        <v>145</v>
      </c>
      <c r="C3531" t="s">
        <v>313</v>
      </c>
      <c r="D3531" t="s">
        <v>11</v>
      </c>
      <c r="E3531" s="9">
        <v>27</v>
      </c>
      <c r="F3531" t="s">
        <v>32</v>
      </c>
      <c r="G3531" t="s">
        <v>18</v>
      </c>
      <c r="H3531" s="8">
        <v>42341</v>
      </c>
      <c r="I3531">
        <v>73359.100000000006</v>
      </c>
      <c r="K3531" s="8"/>
    </row>
    <row r="3532" spans="1:11">
      <c r="A3532">
        <v>200003531</v>
      </c>
      <c r="B3532" t="s">
        <v>186</v>
      </c>
      <c r="C3532" t="s">
        <v>178</v>
      </c>
      <c r="D3532" t="s">
        <v>11</v>
      </c>
      <c r="E3532" s="9">
        <v>46</v>
      </c>
      <c r="F3532" t="s">
        <v>32</v>
      </c>
      <c r="G3532" t="s">
        <v>18</v>
      </c>
      <c r="H3532" s="7">
        <v>42341</v>
      </c>
      <c r="I3532">
        <v>61806.36</v>
      </c>
      <c r="K3532" s="7"/>
    </row>
    <row r="3533" spans="1:11">
      <c r="A3533">
        <v>200003532</v>
      </c>
      <c r="B3533" t="s">
        <v>131</v>
      </c>
      <c r="C3533" t="s">
        <v>253</v>
      </c>
      <c r="D3533" t="s">
        <v>16</v>
      </c>
      <c r="E3533" s="9">
        <v>47</v>
      </c>
      <c r="F3533" t="s">
        <v>32</v>
      </c>
      <c r="G3533" t="s">
        <v>33</v>
      </c>
      <c r="H3533" s="8">
        <v>42341</v>
      </c>
      <c r="I3533">
        <v>34391.300000000003</v>
      </c>
      <c r="K3533" s="8"/>
    </row>
    <row r="3534" spans="1:11">
      <c r="A3534">
        <v>200003533</v>
      </c>
      <c r="B3534" t="s">
        <v>207</v>
      </c>
      <c r="C3534" t="s">
        <v>52</v>
      </c>
      <c r="D3534" t="s">
        <v>11</v>
      </c>
      <c r="E3534" s="9">
        <v>50</v>
      </c>
      <c r="F3534" t="s">
        <v>32</v>
      </c>
      <c r="G3534" t="s">
        <v>13</v>
      </c>
      <c r="H3534" s="7">
        <v>42341</v>
      </c>
      <c r="I3534">
        <v>30166.99</v>
      </c>
      <c r="K3534" s="7"/>
    </row>
    <row r="3535" spans="1:11">
      <c r="A3535">
        <v>300003534</v>
      </c>
      <c r="B3535" t="s">
        <v>53</v>
      </c>
      <c r="C3535" t="s">
        <v>29</v>
      </c>
      <c r="D3535" t="s">
        <v>16</v>
      </c>
      <c r="E3535" s="9">
        <v>18</v>
      </c>
      <c r="F3535" t="s">
        <v>23</v>
      </c>
      <c r="G3535" t="s">
        <v>13</v>
      </c>
      <c r="H3535" s="8">
        <v>42341</v>
      </c>
      <c r="I3535">
        <v>5557.32</v>
      </c>
      <c r="K3535" s="8"/>
    </row>
    <row r="3536" spans="1:11">
      <c r="A3536">
        <v>300003535</v>
      </c>
      <c r="B3536" t="s">
        <v>164</v>
      </c>
      <c r="C3536" t="s">
        <v>210</v>
      </c>
      <c r="D3536" t="s">
        <v>11</v>
      </c>
      <c r="E3536" s="9">
        <v>38</v>
      </c>
      <c r="F3536" t="s">
        <v>23</v>
      </c>
      <c r="G3536" t="s">
        <v>18</v>
      </c>
      <c r="H3536" s="7">
        <v>42341</v>
      </c>
      <c r="I3536">
        <v>48829.47</v>
      </c>
      <c r="K3536" s="7"/>
    </row>
    <row r="3537" spans="1:11">
      <c r="A3537">
        <v>300003536</v>
      </c>
      <c r="B3537" t="s">
        <v>174</v>
      </c>
      <c r="C3537" t="s">
        <v>275</v>
      </c>
      <c r="D3537" t="s">
        <v>11</v>
      </c>
      <c r="E3537" s="9">
        <v>30</v>
      </c>
      <c r="F3537" t="s">
        <v>23</v>
      </c>
      <c r="G3537" t="s">
        <v>18</v>
      </c>
      <c r="H3537" s="8">
        <v>42341</v>
      </c>
      <c r="I3537">
        <v>42827</v>
      </c>
      <c r="K3537" s="8"/>
    </row>
    <row r="3538" spans="1:11">
      <c r="A3538">
        <v>100003537</v>
      </c>
      <c r="B3538" t="s">
        <v>158</v>
      </c>
      <c r="C3538" t="s">
        <v>183</v>
      </c>
      <c r="D3538" t="s">
        <v>16</v>
      </c>
      <c r="E3538" s="9">
        <v>40</v>
      </c>
      <c r="F3538" t="s">
        <v>12</v>
      </c>
      <c r="G3538" t="s">
        <v>33</v>
      </c>
      <c r="H3538" s="7">
        <v>42342</v>
      </c>
      <c r="I3538">
        <v>26011.48</v>
      </c>
      <c r="K3538" s="7"/>
    </row>
    <row r="3539" spans="1:11">
      <c r="A3539">
        <v>100003538</v>
      </c>
      <c r="B3539" t="s">
        <v>164</v>
      </c>
      <c r="C3539" t="s">
        <v>291</v>
      </c>
      <c r="D3539" t="s">
        <v>11</v>
      </c>
      <c r="E3539" s="9">
        <v>37</v>
      </c>
      <c r="F3539" t="s">
        <v>12</v>
      </c>
      <c r="G3539" t="s">
        <v>13</v>
      </c>
      <c r="H3539" s="8">
        <v>42342</v>
      </c>
      <c r="I3539">
        <v>8679.67</v>
      </c>
      <c r="K3539" s="8"/>
    </row>
    <row r="3540" spans="1:11">
      <c r="A3540">
        <v>100003539</v>
      </c>
      <c r="B3540" t="s">
        <v>164</v>
      </c>
      <c r="C3540" t="s">
        <v>252</v>
      </c>
      <c r="D3540" t="s">
        <v>11</v>
      </c>
      <c r="E3540" s="9">
        <v>39</v>
      </c>
      <c r="F3540" t="s">
        <v>12</v>
      </c>
      <c r="G3540" t="s">
        <v>13</v>
      </c>
      <c r="H3540" s="7">
        <v>42342</v>
      </c>
      <c r="I3540">
        <v>38806.910000000003</v>
      </c>
      <c r="K3540" s="7"/>
    </row>
    <row r="3541" spans="1:11">
      <c r="A3541">
        <v>200003540</v>
      </c>
      <c r="B3541" t="s">
        <v>177</v>
      </c>
      <c r="C3541" t="s">
        <v>211</v>
      </c>
      <c r="D3541" t="s">
        <v>11</v>
      </c>
      <c r="E3541" s="9">
        <v>57</v>
      </c>
      <c r="F3541" t="s">
        <v>32</v>
      </c>
      <c r="G3541" t="s">
        <v>18</v>
      </c>
      <c r="H3541" s="8">
        <v>42342</v>
      </c>
      <c r="I3541">
        <v>5042.5200000000004</v>
      </c>
      <c r="K3541" s="8"/>
    </row>
    <row r="3542" spans="1:11">
      <c r="A3542">
        <v>200003541</v>
      </c>
      <c r="B3542" t="s">
        <v>264</v>
      </c>
      <c r="C3542" t="s">
        <v>121</v>
      </c>
      <c r="D3542" t="s">
        <v>11</v>
      </c>
      <c r="E3542" s="9">
        <v>37</v>
      </c>
      <c r="F3542" t="s">
        <v>32</v>
      </c>
      <c r="G3542" t="s">
        <v>33</v>
      </c>
      <c r="H3542" s="7">
        <v>42342</v>
      </c>
      <c r="I3542">
        <v>61009.63</v>
      </c>
      <c r="K3542" s="7"/>
    </row>
    <row r="3543" spans="1:11">
      <c r="A3543">
        <v>200003542</v>
      </c>
      <c r="B3543" t="s">
        <v>188</v>
      </c>
      <c r="C3543" t="s">
        <v>124</v>
      </c>
      <c r="D3543" t="s">
        <v>11</v>
      </c>
      <c r="E3543" s="9">
        <v>35</v>
      </c>
      <c r="F3543" t="s">
        <v>32</v>
      </c>
      <c r="G3543" t="s">
        <v>18</v>
      </c>
      <c r="H3543" s="8">
        <v>42342</v>
      </c>
      <c r="I3543">
        <v>37041.11</v>
      </c>
      <c r="K3543" s="8"/>
    </row>
    <row r="3544" spans="1:11">
      <c r="A3544">
        <v>200003543</v>
      </c>
      <c r="B3544" t="s">
        <v>235</v>
      </c>
      <c r="C3544" t="s">
        <v>25</v>
      </c>
      <c r="D3544" t="s">
        <v>11</v>
      </c>
      <c r="E3544" s="9">
        <v>50</v>
      </c>
      <c r="F3544" t="s">
        <v>32</v>
      </c>
      <c r="G3544" t="s">
        <v>33</v>
      </c>
      <c r="H3544" s="7">
        <v>42342</v>
      </c>
      <c r="I3544">
        <v>78992.92</v>
      </c>
      <c r="K3544" s="7"/>
    </row>
    <row r="3545" spans="1:11">
      <c r="A3545">
        <v>200003544</v>
      </c>
      <c r="B3545" t="s">
        <v>118</v>
      </c>
      <c r="C3545" t="s">
        <v>203</v>
      </c>
      <c r="D3545" t="s">
        <v>11</v>
      </c>
      <c r="E3545" s="9">
        <v>57</v>
      </c>
      <c r="F3545" t="s">
        <v>32</v>
      </c>
      <c r="G3545" t="s">
        <v>18</v>
      </c>
      <c r="H3545" s="8">
        <v>42342</v>
      </c>
      <c r="I3545">
        <v>46060.29</v>
      </c>
      <c r="K3545" s="8"/>
    </row>
    <row r="3546" spans="1:11">
      <c r="A3546">
        <v>200003545</v>
      </c>
      <c r="B3546" t="s">
        <v>139</v>
      </c>
      <c r="C3546" t="s">
        <v>237</v>
      </c>
      <c r="D3546" t="s">
        <v>16</v>
      </c>
      <c r="E3546" s="9">
        <v>41</v>
      </c>
      <c r="F3546" t="s">
        <v>32</v>
      </c>
      <c r="G3546" t="s">
        <v>13</v>
      </c>
      <c r="H3546" s="7">
        <v>42342</v>
      </c>
      <c r="I3546">
        <v>4833.0200000000004</v>
      </c>
      <c r="K3546" s="7"/>
    </row>
    <row r="3547" spans="1:11">
      <c r="A3547">
        <v>200003546</v>
      </c>
      <c r="B3547" t="s">
        <v>89</v>
      </c>
      <c r="C3547" t="s">
        <v>292</v>
      </c>
      <c r="D3547" t="s">
        <v>11</v>
      </c>
      <c r="E3547" s="9">
        <v>56</v>
      </c>
      <c r="F3547" t="s">
        <v>32</v>
      </c>
      <c r="G3547" t="s">
        <v>33</v>
      </c>
      <c r="H3547" s="8">
        <v>42342</v>
      </c>
      <c r="I3547">
        <v>6887.34</v>
      </c>
      <c r="K3547" s="8"/>
    </row>
    <row r="3548" spans="1:11">
      <c r="A3548">
        <v>200003547</v>
      </c>
      <c r="B3548" t="s">
        <v>137</v>
      </c>
      <c r="C3548" t="s">
        <v>134</v>
      </c>
      <c r="D3548" t="s">
        <v>11</v>
      </c>
      <c r="E3548" s="9">
        <v>40</v>
      </c>
      <c r="F3548" t="s">
        <v>32</v>
      </c>
      <c r="G3548" t="s">
        <v>18</v>
      </c>
      <c r="H3548" s="7">
        <v>42342</v>
      </c>
      <c r="I3548">
        <v>43604.800000000003</v>
      </c>
      <c r="K3548" s="7"/>
    </row>
    <row r="3549" spans="1:11">
      <c r="A3549">
        <v>200003548</v>
      </c>
      <c r="B3549" t="s">
        <v>74</v>
      </c>
      <c r="C3549" t="s">
        <v>82</v>
      </c>
      <c r="D3549" t="s">
        <v>16</v>
      </c>
      <c r="E3549" s="9">
        <v>51</v>
      </c>
      <c r="F3549" t="s">
        <v>32</v>
      </c>
      <c r="G3549" t="s">
        <v>33</v>
      </c>
      <c r="H3549" s="8">
        <v>42342</v>
      </c>
      <c r="I3549">
        <v>58682.58</v>
      </c>
      <c r="K3549" s="8"/>
    </row>
    <row r="3550" spans="1:11">
      <c r="A3550">
        <v>300003549</v>
      </c>
      <c r="B3550" t="s">
        <v>284</v>
      </c>
      <c r="C3550" t="s">
        <v>43</v>
      </c>
      <c r="D3550" t="s">
        <v>16</v>
      </c>
      <c r="E3550" s="9">
        <v>44</v>
      </c>
      <c r="F3550" t="s">
        <v>23</v>
      </c>
      <c r="G3550" t="s">
        <v>33</v>
      </c>
      <c r="H3550" s="7">
        <v>42342</v>
      </c>
      <c r="I3550">
        <v>39986.1</v>
      </c>
      <c r="K3550" s="7"/>
    </row>
    <row r="3551" spans="1:11">
      <c r="A3551">
        <v>100003550</v>
      </c>
      <c r="B3551" t="s">
        <v>226</v>
      </c>
      <c r="C3551" t="s">
        <v>78</v>
      </c>
      <c r="D3551" t="s">
        <v>16</v>
      </c>
      <c r="E3551" s="9">
        <v>40</v>
      </c>
      <c r="F3551" t="s">
        <v>12</v>
      </c>
      <c r="G3551" t="s">
        <v>13</v>
      </c>
      <c r="H3551" s="8">
        <v>42343</v>
      </c>
      <c r="I3551">
        <v>32141.32</v>
      </c>
      <c r="K3551" s="8"/>
    </row>
    <row r="3552" spans="1:11">
      <c r="A3552">
        <v>100003551</v>
      </c>
      <c r="B3552" t="s">
        <v>176</v>
      </c>
      <c r="C3552" t="s">
        <v>160</v>
      </c>
      <c r="D3552" t="s">
        <v>16</v>
      </c>
      <c r="E3552" s="9">
        <v>35</v>
      </c>
      <c r="F3552" t="s">
        <v>12</v>
      </c>
      <c r="G3552" t="s">
        <v>13</v>
      </c>
      <c r="H3552" s="7">
        <v>42343</v>
      </c>
      <c r="I3552">
        <v>23238.28</v>
      </c>
      <c r="K3552" s="7"/>
    </row>
    <row r="3553" spans="1:11">
      <c r="A3553">
        <v>100003552</v>
      </c>
      <c r="B3553" t="s">
        <v>316</v>
      </c>
      <c r="C3553" t="s">
        <v>15</v>
      </c>
      <c r="D3553" t="s">
        <v>16</v>
      </c>
      <c r="E3553" s="9">
        <v>36</v>
      </c>
      <c r="F3553" t="s">
        <v>12</v>
      </c>
      <c r="G3553" t="s">
        <v>13</v>
      </c>
      <c r="H3553" s="8">
        <v>42343</v>
      </c>
      <c r="I3553">
        <v>23052.1</v>
      </c>
      <c r="K3553" s="8"/>
    </row>
    <row r="3554" spans="1:11">
      <c r="A3554">
        <v>100003553</v>
      </c>
      <c r="B3554" t="s">
        <v>147</v>
      </c>
      <c r="C3554" t="s">
        <v>239</v>
      </c>
      <c r="D3554" t="s">
        <v>11</v>
      </c>
      <c r="E3554" s="9">
        <v>34</v>
      </c>
      <c r="F3554" t="s">
        <v>12</v>
      </c>
      <c r="G3554" t="s">
        <v>13</v>
      </c>
      <c r="H3554" s="7">
        <v>42343</v>
      </c>
      <c r="I3554">
        <v>23744.57</v>
      </c>
      <c r="K3554" s="7"/>
    </row>
    <row r="3555" spans="1:11">
      <c r="A3555">
        <v>100003554</v>
      </c>
      <c r="B3555" t="s">
        <v>182</v>
      </c>
      <c r="C3555" t="s">
        <v>136</v>
      </c>
      <c r="D3555" t="s">
        <v>16</v>
      </c>
      <c r="E3555" s="9">
        <v>32</v>
      </c>
      <c r="F3555" t="s">
        <v>12</v>
      </c>
      <c r="G3555" t="s">
        <v>33</v>
      </c>
      <c r="H3555" s="8">
        <v>42343</v>
      </c>
      <c r="I3555">
        <v>44949.1</v>
      </c>
      <c r="K3555" s="8"/>
    </row>
    <row r="3556" spans="1:11">
      <c r="A3556">
        <v>100003555</v>
      </c>
      <c r="B3556" t="s">
        <v>180</v>
      </c>
      <c r="C3556" t="s">
        <v>279</v>
      </c>
      <c r="D3556" t="s">
        <v>16</v>
      </c>
      <c r="E3556" s="9">
        <v>40</v>
      </c>
      <c r="F3556" t="s">
        <v>12</v>
      </c>
      <c r="G3556" t="s">
        <v>33</v>
      </c>
      <c r="H3556" s="7">
        <v>42343</v>
      </c>
      <c r="I3556">
        <v>87234.69</v>
      </c>
      <c r="K3556" s="7"/>
    </row>
    <row r="3557" spans="1:11">
      <c r="A3557">
        <v>100003556</v>
      </c>
      <c r="B3557" t="s">
        <v>298</v>
      </c>
      <c r="C3557" t="s">
        <v>61</v>
      </c>
      <c r="D3557" t="s">
        <v>16</v>
      </c>
      <c r="E3557" s="9">
        <v>36</v>
      </c>
      <c r="F3557" t="s">
        <v>12</v>
      </c>
      <c r="G3557" t="s">
        <v>13</v>
      </c>
      <c r="H3557" s="8">
        <v>42343</v>
      </c>
      <c r="I3557">
        <v>41867.19</v>
      </c>
      <c r="K3557" s="8"/>
    </row>
    <row r="3558" spans="1:11">
      <c r="A3558">
        <v>100003557</v>
      </c>
      <c r="B3558" t="s">
        <v>190</v>
      </c>
      <c r="C3558" t="s">
        <v>71</v>
      </c>
      <c r="D3558" t="s">
        <v>11</v>
      </c>
      <c r="E3558" s="9">
        <v>20</v>
      </c>
      <c r="F3558" t="s">
        <v>12</v>
      </c>
      <c r="G3558" t="s">
        <v>13</v>
      </c>
      <c r="H3558" s="7">
        <v>42343</v>
      </c>
      <c r="I3558">
        <v>52109.919999999998</v>
      </c>
      <c r="K3558" s="7"/>
    </row>
    <row r="3559" spans="1:11">
      <c r="A3559">
        <v>100003558</v>
      </c>
      <c r="B3559" t="s">
        <v>204</v>
      </c>
      <c r="C3559" t="s">
        <v>310</v>
      </c>
      <c r="D3559" t="s">
        <v>11</v>
      </c>
      <c r="E3559" s="9">
        <v>34</v>
      </c>
      <c r="F3559" t="s">
        <v>12</v>
      </c>
      <c r="G3559" t="s">
        <v>13</v>
      </c>
      <c r="H3559" s="8">
        <v>42343</v>
      </c>
      <c r="I3559">
        <v>251.67</v>
      </c>
      <c r="K3559" s="8"/>
    </row>
    <row r="3560" spans="1:11">
      <c r="A3560">
        <v>200003559</v>
      </c>
      <c r="B3560" t="s">
        <v>112</v>
      </c>
      <c r="C3560" t="s">
        <v>167</v>
      </c>
      <c r="D3560" t="s">
        <v>11</v>
      </c>
      <c r="E3560" s="9">
        <v>37</v>
      </c>
      <c r="F3560" t="s">
        <v>32</v>
      </c>
      <c r="G3560" t="s">
        <v>18</v>
      </c>
      <c r="H3560" s="7">
        <v>42343</v>
      </c>
      <c r="I3560">
        <v>12500.3</v>
      </c>
      <c r="K3560" s="7"/>
    </row>
    <row r="3561" spans="1:11">
      <c r="A3561">
        <v>200003560</v>
      </c>
      <c r="B3561" t="s">
        <v>83</v>
      </c>
      <c r="C3561" t="s">
        <v>322</v>
      </c>
      <c r="D3561" t="s">
        <v>16</v>
      </c>
      <c r="E3561" s="9">
        <v>42</v>
      </c>
      <c r="F3561" t="s">
        <v>32</v>
      </c>
      <c r="G3561" t="s">
        <v>33</v>
      </c>
      <c r="H3561" s="8">
        <v>42343</v>
      </c>
      <c r="I3561">
        <v>80857.570000000007</v>
      </c>
      <c r="K3561" s="8"/>
    </row>
    <row r="3562" spans="1:11">
      <c r="A3562">
        <v>200003561</v>
      </c>
      <c r="B3562" t="s">
        <v>169</v>
      </c>
      <c r="C3562" t="s">
        <v>59</v>
      </c>
      <c r="D3562" t="s">
        <v>11</v>
      </c>
      <c r="E3562" s="9">
        <v>30</v>
      </c>
      <c r="F3562" t="s">
        <v>32</v>
      </c>
      <c r="G3562" t="s">
        <v>13</v>
      </c>
      <c r="H3562" s="7">
        <v>42343</v>
      </c>
      <c r="I3562">
        <v>31231.03</v>
      </c>
      <c r="K3562" s="7"/>
    </row>
    <row r="3563" spans="1:11">
      <c r="A3563">
        <v>200003562</v>
      </c>
      <c r="B3563" t="s">
        <v>303</v>
      </c>
      <c r="C3563" t="s">
        <v>71</v>
      </c>
      <c r="D3563" t="s">
        <v>11</v>
      </c>
      <c r="E3563" s="9">
        <v>48</v>
      </c>
      <c r="F3563" t="s">
        <v>32</v>
      </c>
      <c r="G3563" t="s">
        <v>18</v>
      </c>
      <c r="H3563" s="8">
        <v>42343</v>
      </c>
      <c r="I3563">
        <v>11862.81</v>
      </c>
      <c r="K3563" s="8"/>
    </row>
    <row r="3564" spans="1:11">
      <c r="A3564">
        <v>200003563</v>
      </c>
      <c r="B3564" t="s">
        <v>208</v>
      </c>
      <c r="C3564" t="s">
        <v>295</v>
      </c>
      <c r="D3564" t="s">
        <v>11</v>
      </c>
      <c r="E3564" s="9">
        <v>38</v>
      </c>
      <c r="F3564" t="s">
        <v>32</v>
      </c>
      <c r="G3564" t="s">
        <v>33</v>
      </c>
      <c r="H3564" s="7">
        <v>42343</v>
      </c>
      <c r="I3564">
        <v>48778.81</v>
      </c>
      <c r="K3564" s="7"/>
    </row>
    <row r="3565" spans="1:11">
      <c r="A3565">
        <v>200003564</v>
      </c>
      <c r="B3565" t="s">
        <v>26</v>
      </c>
      <c r="C3565" t="s">
        <v>123</v>
      </c>
      <c r="D3565" t="s">
        <v>16</v>
      </c>
      <c r="E3565" s="9">
        <v>58</v>
      </c>
      <c r="F3565" t="s">
        <v>32</v>
      </c>
      <c r="G3565" t="s">
        <v>13</v>
      </c>
      <c r="H3565" s="8">
        <v>42343</v>
      </c>
      <c r="I3565">
        <v>22024</v>
      </c>
      <c r="K3565" s="8"/>
    </row>
    <row r="3566" spans="1:11">
      <c r="A3566">
        <v>200003565</v>
      </c>
      <c r="B3566" t="s">
        <v>175</v>
      </c>
      <c r="C3566" t="s">
        <v>260</v>
      </c>
      <c r="D3566" t="s">
        <v>11</v>
      </c>
      <c r="E3566" s="9">
        <v>48</v>
      </c>
      <c r="F3566" t="s">
        <v>32</v>
      </c>
      <c r="G3566" t="s">
        <v>33</v>
      </c>
      <c r="H3566" s="7">
        <v>42343</v>
      </c>
      <c r="I3566">
        <v>21734.65</v>
      </c>
      <c r="K3566" s="7"/>
    </row>
    <row r="3567" spans="1:11">
      <c r="A3567">
        <v>200003566</v>
      </c>
      <c r="B3567" t="s">
        <v>262</v>
      </c>
      <c r="C3567" t="s">
        <v>65</v>
      </c>
      <c r="D3567" t="s">
        <v>16</v>
      </c>
      <c r="E3567" s="9">
        <v>46</v>
      </c>
      <c r="F3567" t="s">
        <v>32</v>
      </c>
      <c r="G3567" t="s">
        <v>33</v>
      </c>
      <c r="H3567" s="8">
        <v>42343</v>
      </c>
      <c r="I3567">
        <v>22847.37</v>
      </c>
      <c r="K3567" s="8"/>
    </row>
    <row r="3568" spans="1:11">
      <c r="A3568">
        <v>200003567</v>
      </c>
      <c r="B3568" t="s">
        <v>312</v>
      </c>
      <c r="C3568" t="s">
        <v>125</v>
      </c>
      <c r="D3568" t="s">
        <v>11</v>
      </c>
      <c r="E3568" s="9">
        <v>48</v>
      </c>
      <c r="F3568" t="s">
        <v>32</v>
      </c>
      <c r="G3568" t="s">
        <v>13</v>
      </c>
      <c r="H3568" s="7">
        <v>42343</v>
      </c>
      <c r="I3568">
        <v>81531.27</v>
      </c>
      <c r="K3568" s="7"/>
    </row>
    <row r="3569" spans="1:11">
      <c r="A3569">
        <v>200003568</v>
      </c>
      <c r="B3569" t="s">
        <v>276</v>
      </c>
      <c r="C3569" t="s">
        <v>87</v>
      </c>
      <c r="D3569" t="s">
        <v>16</v>
      </c>
      <c r="E3569" s="9">
        <v>41</v>
      </c>
      <c r="F3569" t="s">
        <v>32</v>
      </c>
      <c r="G3569" t="s">
        <v>33</v>
      </c>
      <c r="H3569" s="8">
        <v>42343</v>
      </c>
      <c r="I3569">
        <v>8910.56</v>
      </c>
      <c r="K3569" s="8"/>
    </row>
    <row r="3570" spans="1:11">
      <c r="A3570">
        <v>300003569</v>
      </c>
      <c r="B3570" t="s">
        <v>184</v>
      </c>
      <c r="C3570" t="s">
        <v>318</v>
      </c>
      <c r="D3570" t="s">
        <v>16</v>
      </c>
      <c r="E3570" s="9">
        <v>42</v>
      </c>
      <c r="F3570" t="s">
        <v>23</v>
      </c>
      <c r="G3570" t="s">
        <v>13</v>
      </c>
      <c r="H3570" s="7">
        <v>42343</v>
      </c>
      <c r="I3570">
        <v>27490.82</v>
      </c>
      <c r="K3570" s="7"/>
    </row>
    <row r="3571" spans="1:11">
      <c r="A3571">
        <v>100003570</v>
      </c>
      <c r="B3571" t="s">
        <v>147</v>
      </c>
      <c r="C3571" t="s">
        <v>41</v>
      </c>
      <c r="D3571" t="s">
        <v>11</v>
      </c>
      <c r="E3571" s="9">
        <v>31</v>
      </c>
      <c r="F3571" t="s">
        <v>12</v>
      </c>
      <c r="G3571" t="s">
        <v>33</v>
      </c>
      <c r="H3571" s="8">
        <v>42344</v>
      </c>
      <c r="I3571">
        <v>20763.599999999999</v>
      </c>
      <c r="K3571" s="8"/>
    </row>
    <row r="3572" spans="1:11">
      <c r="A3572">
        <v>100003571</v>
      </c>
      <c r="B3572" t="s">
        <v>105</v>
      </c>
      <c r="C3572" t="s">
        <v>170</v>
      </c>
      <c r="D3572" t="s">
        <v>16</v>
      </c>
      <c r="E3572" s="9">
        <v>40</v>
      </c>
      <c r="F3572" t="s">
        <v>12</v>
      </c>
      <c r="G3572" t="s">
        <v>33</v>
      </c>
      <c r="H3572" s="7">
        <v>42344</v>
      </c>
      <c r="I3572">
        <v>73177.7</v>
      </c>
      <c r="K3572" s="7"/>
    </row>
    <row r="3573" spans="1:11">
      <c r="A3573">
        <v>100003572</v>
      </c>
      <c r="B3573" t="s">
        <v>24</v>
      </c>
      <c r="C3573" t="s">
        <v>39</v>
      </c>
      <c r="D3573" t="s">
        <v>16</v>
      </c>
      <c r="E3573" s="9">
        <v>32</v>
      </c>
      <c r="F3573" t="s">
        <v>12</v>
      </c>
      <c r="G3573" t="s">
        <v>13</v>
      </c>
      <c r="H3573" s="8">
        <v>42344</v>
      </c>
      <c r="I3573">
        <v>50282.25</v>
      </c>
      <c r="K3573" s="8"/>
    </row>
    <row r="3574" spans="1:11">
      <c r="A3574">
        <v>100003573</v>
      </c>
      <c r="B3574" t="s">
        <v>30</v>
      </c>
      <c r="C3574" t="s">
        <v>289</v>
      </c>
      <c r="D3574" t="s">
        <v>16</v>
      </c>
      <c r="E3574" s="9">
        <v>22</v>
      </c>
      <c r="F3574" t="s">
        <v>12</v>
      </c>
      <c r="G3574" t="s">
        <v>18</v>
      </c>
      <c r="H3574" s="7">
        <v>42344</v>
      </c>
      <c r="I3574">
        <v>37906.5</v>
      </c>
      <c r="K3574" s="7"/>
    </row>
    <row r="3575" spans="1:11">
      <c r="A3575">
        <v>100003574</v>
      </c>
      <c r="B3575" t="s">
        <v>102</v>
      </c>
      <c r="C3575" t="s">
        <v>152</v>
      </c>
      <c r="D3575" t="s">
        <v>16</v>
      </c>
      <c r="E3575" s="9">
        <v>40</v>
      </c>
      <c r="F3575" t="s">
        <v>12</v>
      </c>
      <c r="G3575" t="s">
        <v>13</v>
      </c>
      <c r="H3575" s="8">
        <v>42344</v>
      </c>
      <c r="I3575">
        <v>50651.68</v>
      </c>
      <c r="K3575" s="8"/>
    </row>
    <row r="3576" spans="1:11">
      <c r="A3576">
        <v>100003575</v>
      </c>
      <c r="B3576" t="s">
        <v>101</v>
      </c>
      <c r="C3576" t="s">
        <v>275</v>
      </c>
      <c r="D3576" t="s">
        <v>11</v>
      </c>
      <c r="E3576" s="9">
        <v>26</v>
      </c>
      <c r="F3576" t="s">
        <v>12</v>
      </c>
      <c r="G3576" t="s">
        <v>18</v>
      </c>
      <c r="H3576" s="7">
        <v>42344</v>
      </c>
      <c r="I3576">
        <v>16466.560000000001</v>
      </c>
      <c r="K3576" s="7"/>
    </row>
    <row r="3577" spans="1:11">
      <c r="A3577">
        <v>100003576</v>
      </c>
      <c r="B3577" t="s">
        <v>50</v>
      </c>
      <c r="C3577" t="s">
        <v>73</v>
      </c>
      <c r="D3577" t="s">
        <v>16</v>
      </c>
      <c r="E3577" s="9">
        <v>27</v>
      </c>
      <c r="F3577" t="s">
        <v>12</v>
      </c>
      <c r="G3577" t="s">
        <v>13</v>
      </c>
      <c r="H3577" s="8">
        <v>42344</v>
      </c>
      <c r="I3577">
        <v>13854.47</v>
      </c>
      <c r="K3577" s="8"/>
    </row>
    <row r="3578" spans="1:11">
      <c r="A3578">
        <v>100003577</v>
      </c>
      <c r="B3578" t="s">
        <v>283</v>
      </c>
      <c r="C3578" t="s">
        <v>288</v>
      </c>
      <c r="D3578" t="s">
        <v>11</v>
      </c>
      <c r="E3578" s="9">
        <v>33</v>
      </c>
      <c r="F3578" t="s">
        <v>12</v>
      </c>
      <c r="G3578" t="s">
        <v>18</v>
      </c>
      <c r="H3578" s="7">
        <v>42344</v>
      </c>
      <c r="I3578">
        <v>36003.1</v>
      </c>
      <c r="K3578" s="7"/>
    </row>
    <row r="3579" spans="1:11">
      <c r="A3579">
        <v>200003578</v>
      </c>
      <c r="B3579" t="s">
        <v>323</v>
      </c>
      <c r="C3579" t="s">
        <v>164</v>
      </c>
      <c r="D3579" t="s">
        <v>16</v>
      </c>
      <c r="E3579" s="9">
        <v>35</v>
      </c>
      <c r="F3579" t="s">
        <v>32</v>
      </c>
      <c r="G3579" t="s">
        <v>33</v>
      </c>
      <c r="H3579" s="8">
        <v>42344</v>
      </c>
      <c r="I3579">
        <v>5897.92</v>
      </c>
      <c r="K3579" s="8"/>
    </row>
    <row r="3580" spans="1:11">
      <c r="A3580">
        <v>200003579</v>
      </c>
      <c r="B3580" t="s">
        <v>122</v>
      </c>
      <c r="C3580" t="s">
        <v>247</v>
      </c>
      <c r="D3580" t="s">
        <v>11</v>
      </c>
      <c r="E3580" s="9">
        <v>48</v>
      </c>
      <c r="F3580" t="s">
        <v>32</v>
      </c>
      <c r="G3580" t="s">
        <v>18</v>
      </c>
      <c r="H3580" s="7">
        <v>42344</v>
      </c>
      <c r="I3580">
        <v>50224.02</v>
      </c>
      <c r="K3580" s="7"/>
    </row>
    <row r="3581" spans="1:11">
      <c r="A3581">
        <v>200003580</v>
      </c>
      <c r="B3581" t="s">
        <v>202</v>
      </c>
      <c r="C3581" t="s">
        <v>260</v>
      </c>
      <c r="D3581" t="s">
        <v>11</v>
      </c>
      <c r="E3581" s="9">
        <v>61</v>
      </c>
      <c r="F3581" t="s">
        <v>32</v>
      </c>
      <c r="G3581" t="s">
        <v>18</v>
      </c>
      <c r="H3581" s="8">
        <v>42344</v>
      </c>
      <c r="I3581">
        <v>11242.54</v>
      </c>
      <c r="K3581" s="8"/>
    </row>
    <row r="3582" spans="1:11">
      <c r="A3582">
        <v>200003581</v>
      </c>
      <c r="B3582" t="s">
        <v>197</v>
      </c>
      <c r="C3582" t="s">
        <v>227</v>
      </c>
      <c r="D3582" t="s">
        <v>11</v>
      </c>
      <c r="E3582" s="9">
        <v>51</v>
      </c>
      <c r="F3582" t="s">
        <v>32</v>
      </c>
      <c r="G3582" t="s">
        <v>18</v>
      </c>
      <c r="H3582" s="7">
        <v>42344</v>
      </c>
      <c r="I3582">
        <v>50865.75</v>
      </c>
      <c r="K3582" s="7"/>
    </row>
    <row r="3583" spans="1:11">
      <c r="A3583">
        <v>200003582</v>
      </c>
      <c r="B3583" t="s">
        <v>175</v>
      </c>
      <c r="C3583" t="s">
        <v>164</v>
      </c>
      <c r="D3583" t="s">
        <v>11</v>
      </c>
      <c r="E3583" s="9">
        <v>49</v>
      </c>
      <c r="F3583" t="s">
        <v>32</v>
      </c>
      <c r="G3583" t="s">
        <v>18</v>
      </c>
      <c r="H3583" s="8">
        <v>42344</v>
      </c>
      <c r="I3583">
        <v>1018.95</v>
      </c>
      <c r="K3583" s="8"/>
    </row>
    <row r="3584" spans="1:11">
      <c r="A3584">
        <v>200003583</v>
      </c>
      <c r="B3584" t="s">
        <v>64</v>
      </c>
      <c r="C3584" t="s">
        <v>172</v>
      </c>
      <c r="D3584" t="s">
        <v>11</v>
      </c>
      <c r="E3584" s="9">
        <v>48</v>
      </c>
      <c r="F3584" t="s">
        <v>32</v>
      </c>
      <c r="G3584" t="s">
        <v>33</v>
      </c>
      <c r="H3584" s="7">
        <v>42344</v>
      </c>
      <c r="I3584">
        <v>65535.05</v>
      </c>
      <c r="K3584" s="7"/>
    </row>
    <row r="3585" spans="1:11">
      <c r="A3585">
        <v>100003584</v>
      </c>
      <c r="B3585" t="s">
        <v>24</v>
      </c>
      <c r="C3585" t="s">
        <v>240</v>
      </c>
      <c r="D3585" t="s">
        <v>16</v>
      </c>
      <c r="E3585" s="9">
        <v>36</v>
      </c>
      <c r="F3585" t="s">
        <v>12</v>
      </c>
      <c r="G3585" t="s">
        <v>13</v>
      </c>
      <c r="H3585" s="8">
        <v>42345</v>
      </c>
      <c r="I3585">
        <v>8942.9500000000007</v>
      </c>
      <c r="K3585" s="8"/>
    </row>
    <row r="3586" spans="1:11">
      <c r="A3586">
        <v>100003585</v>
      </c>
      <c r="B3586" t="s">
        <v>36</v>
      </c>
      <c r="C3586" t="s">
        <v>289</v>
      </c>
      <c r="D3586" t="s">
        <v>11</v>
      </c>
      <c r="E3586" s="9">
        <v>51</v>
      </c>
      <c r="F3586" t="s">
        <v>12</v>
      </c>
      <c r="G3586" t="s">
        <v>13</v>
      </c>
      <c r="H3586" s="7">
        <v>42345</v>
      </c>
      <c r="I3586">
        <v>36622.39</v>
      </c>
      <c r="K3586" s="7"/>
    </row>
    <row r="3587" spans="1:11">
      <c r="A3587">
        <v>100003586</v>
      </c>
      <c r="B3587" t="s">
        <v>300</v>
      </c>
      <c r="C3587" t="s">
        <v>20</v>
      </c>
      <c r="D3587" t="s">
        <v>16</v>
      </c>
      <c r="E3587" s="9">
        <v>31</v>
      </c>
      <c r="F3587" t="s">
        <v>12</v>
      </c>
      <c r="G3587" t="s">
        <v>13</v>
      </c>
      <c r="H3587" s="8">
        <v>42345</v>
      </c>
      <c r="I3587">
        <v>82376.44</v>
      </c>
      <c r="K3587" s="8"/>
    </row>
    <row r="3588" spans="1:11">
      <c r="A3588">
        <v>100003587</v>
      </c>
      <c r="B3588" t="s">
        <v>34</v>
      </c>
      <c r="C3588" t="s">
        <v>95</v>
      </c>
      <c r="D3588" t="s">
        <v>16</v>
      </c>
      <c r="E3588" s="9">
        <v>35</v>
      </c>
      <c r="F3588" t="s">
        <v>12</v>
      </c>
      <c r="G3588" t="s">
        <v>13</v>
      </c>
      <c r="H3588" s="7">
        <v>42345</v>
      </c>
      <c r="I3588">
        <v>9096.77</v>
      </c>
      <c r="K3588" s="7"/>
    </row>
    <row r="3589" spans="1:11">
      <c r="A3589">
        <v>100003588</v>
      </c>
      <c r="B3589" t="s">
        <v>89</v>
      </c>
      <c r="C3589" t="s">
        <v>185</v>
      </c>
      <c r="D3589" t="s">
        <v>11</v>
      </c>
      <c r="E3589" s="9">
        <v>28</v>
      </c>
      <c r="F3589" t="s">
        <v>12</v>
      </c>
      <c r="G3589" t="s">
        <v>13</v>
      </c>
      <c r="H3589" s="8">
        <v>42345</v>
      </c>
      <c r="I3589">
        <v>18938.2</v>
      </c>
      <c r="K3589" s="8"/>
    </row>
    <row r="3590" spans="1:11">
      <c r="A3590">
        <v>100003589</v>
      </c>
      <c r="B3590" t="s">
        <v>184</v>
      </c>
      <c r="C3590" t="s">
        <v>189</v>
      </c>
      <c r="D3590" t="s">
        <v>16</v>
      </c>
      <c r="E3590" s="9">
        <v>40</v>
      </c>
      <c r="F3590" t="s">
        <v>12</v>
      </c>
      <c r="G3590" t="s">
        <v>18</v>
      </c>
      <c r="H3590" s="7">
        <v>42345</v>
      </c>
      <c r="I3590">
        <v>114118.53</v>
      </c>
      <c r="K3590" s="7"/>
    </row>
    <row r="3591" spans="1:11">
      <c r="A3591">
        <v>100003590</v>
      </c>
      <c r="B3591" t="s">
        <v>232</v>
      </c>
      <c r="C3591" t="s">
        <v>100</v>
      </c>
      <c r="D3591" t="s">
        <v>16</v>
      </c>
      <c r="E3591" s="9">
        <v>34</v>
      </c>
      <c r="F3591" t="s">
        <v>12</v>
      </c>
      <c r="G3591" t="s">
        <v>18</v>
      </c>
      <c r="H3591" s="8">
        <v>42345</v>
      </c>
      <c r="I3591">
        <v>55704.09</v>
      </c>
      <c r="K3591" s="8"/>
    </row>
    <row r="3592" spans="1:11">
      <c r="A3592">
        <v>100003591</v>
      </c>
      <c r="B3592" t="s">
        <v>60</v>
      </c>
      <c r="C3592" t="s">
        <v>306</v>
      </c>
      <c r="D3592" t="s">
        <v>11</v>
      </c>
      <c r="E3592" s="9">
        <v>39</v>
      </c>
      <c r="F3592" t="s">
        <v>12</v>
      </c>
      <c r="G3592" t="s">
        <v>13</v>
      </c>
      <c r="H3592" s="7">
        <v>42345</v>
      </c>
      <c r="I3592">
        <v>14024.55</v>
      </c>
      <c r="K3592" s="7"/>
    </row>
    <row r="3593" spans="1:11">
      <c r="A3593">
        <v>100003592</v>
      </c>
      <c r="B3593" t="s">
        <v>256</v>
      </c>
      <c r="C3593" t="s">
        <v>289</v>
      </c>
      <c r="D3593" t="s">
        <v>16</v>
      </c>
      <c r="E3593" s="9">
        <v>41</v>
      </c>
      <c r="F3593" t="s">
        <v>12</v>
      </c>
      <c r="G3593" t="s">
        <v>13</v>
      </c>
      <c r="H3593" s="8">
        <v>42345</v>
      </c>
      <c r="I3593">
        <v>82862.850000000006</v>
      </c>
      <c r="K3593" s="8"/>
    </row>
    <row r="3594" spans="1:11">
      <c r="A3594">
        <v>100003593</v>
      </c>
      <c r="B3594" t="s">
        <v>76</v>
      </c>
      <c r="C3594" t="s">
        <v>212</v>
      </c>
      <c r="D3594" t="s">
        <v>11</v>
      </c>
      <c r="E3594" s="9">
        <v>31</v>
      </c>
      <c r="F3594" t="s">
        <v>12</v>
      </c>
      <c r="G3594" t="s">
        <v>13</v>
      </c>
      <c r="H3594" s="7">
        <v>42345</v>
      </c>
      <c r="I3594">
        <v>10247.129999999999</v>
      </c>
      <c r="K3594" s="7"/>
    </row>
    <row r="3595" spans="1:11">
      <c r="A3595">
        <v>100003594</v>
      </c>
      <c r="B3595" t="s">
        <v>159</v>
      </c>
      <c r="C3595" t="s">
        <v>82</v>
      </c>
      <c r="D3595" t="s">
        <v>11</v>
      </c>
      <c r="E3595" s="9">
        <v>42</v>
      </c>
      <c r="F3595" t="s">
        <v>12</v>
      </c>
      <c r="G3595" t="s">
        <v>13</v>
      </c>
      <c r="H3595" s="8">
        <v>42345</v>
      </c>
      <c r="I3595">
        <v>71219.399999999994</v>
      </c>
      <c r="K3595" s="8"/>
    </row>
    <row r="3596" spans="1:11">
      <c r="A3596">
        <v>100003595</v>
      </c>
      <c r="B3596" t="s">
        <v>323</v>
      </c>
      <c r="C3596" t="s">
        <v>75</v>
      </c>
      <c r="D3596" t="s">
        <v>16</v>
      </c>
      <c r="E3596" s="9">
        <v>36</v>
      </c>
      <c r="F3596" t="s">
        <v>12</v>
      </c>
      <c r="G3596" t="s">
        <v>18</v>
      </c>
      <c r="H3596" s="7">
        <v>42345</v>
      </c>
      <c r="I3596">
        <v>72728.320000000007</v>
      </c>
      <c r="K3596" s="7"/>
    </row>
    <row r="3597" spans="1:11">
      <c r="A3597">
        <v>100003596</v>
      </c>
      <c r="B3597" t="s">
        <v>107</v>
      </c>
      <c r="C3597" t="s">
        <v>233</v>
      </c>
      <c r="D3597" t="s">
        <v>11</v>
      </c>
      <c r="E3597" s="9">
        <v>31</v>
      </c>
      <c r="F3597" t="s">
        <v>12</v>
      </c>
      <c r="G3597" t="s">
        <v>13</v>
      </c>
      <c r="H3597" s="8">
        <v>42345</v>
      </c>
      <c r="I3597">
        <v>24574.84</v>
      </c>
      <c r="K3597" s="8"/>
    </row>
    <row r="3598" spans="1:11">
      <c r="A3598">
        <v>100003597</v>
      </c>
      <c r="B3598" t="s">
        <v>119</v>
      </c>
      <c r="C3598" t="s">
        <v>295</v>
      </c>
      <c r="D3598" t="s">
        <v>16</v>
      </c>
      <c r="E3598" s="9">
        <v>37</v>
      </c>
      <c r="F3598" t="s">
        <v>12</v>
      </c>
      <c r="G3598" t="s">
        <v>13</v>
      </c>
      <c r="H3598" s="7">
        <v>42345</v>
      </c>
      <c r="I3598">
        <v>32122.47</v>
      </c>
      <c r="K3598" s="7"/>
    </row>
    <row r="3599" spans="1:11">
      <c r="A3599">
        <v>100003598</v>
      </c>
      <c r="B3599" t="s">
        <v>271</v>
      </c>
      <c r="C3599" t="s">
        <v>216</v>
      </c>
      <c r="D3599" t="s">
        <v>16</v>
      </c>
      <c r="E3599" s="9">
        <v>33</v>
      </c>
      <c r="F3599" t="s">
        <v>12</v>
      </c>
      <c r="G3599" t="s">
        <v>13</v>
      </c>
      <c r="H3599" s="8">
        <v>42345</v>
      </c>
      <c r="I3599">
        <v>15241.21</v>
      </c>
      <c r="K3599" s="8"/>
    </row>
    <row r="3600" spans="1:11">
      <c r="A3600">
        <v>100003599</v>
      </c>
      <c r="B3600" t="s">
        <v>296</v>
      </c>
      <c r="C3600" t="s">
        <v>322</v>
      </c>
      <c r="D3600" t="s">
        <v>11</v>
      </c>
      <c r="E3600" s="9">
        <v>26</v>
      </c>
      <c r="F3600" t="s">
        <v>12</v>
      </c>
      <c r="G3600" t="s">
        <v>13</v>
      </c>
      <c r="H3600" s="7">
        <v>42345</v>
      </c>
      <c r="I3600">
        <v>28355.66</v>
      </c>
      <c r="K3600" s="7"/>
    </row>
    <row r="3601" spans="1:11">
      <c r="A3601">
        <v>100003600</v>
      </c>
      <c r="B3601" t="s">
        <v>199</v>
      </c>
      <c r="C3601" t="s">
        <v>313</v>
      </c>
      <c r="D3601" t="s">
        <v>11</v>
      </c>
      <c r="E3601" s="9">
        <v>39</v>
      </c>
      <c r="F3601" t="s">
        <v>12</v>
      </c>
      <c r="G3601" t="s">
        <v>13</v>
      </c>
      <c r="H3601" s="8">
        <v>42345</v>
      </c>
      <c r="I3601">
        <v>15830.77</v>
      </c>
      <c r="K3601" s="8"/>
    </row>
    <row r="3602" spans="1:11">
      <c r="A3602">
        <v>100003601</v>
      </c>
      <c r="B3602" t="s">
        <v>89</v>
      </c>
      <c r="C3602" t="s">
        <v>163</v>
      </c>
      <c r="D3602" t="s">
        <v>11</v>
      </c>
      <c r="E3602" s="9">
        <v>33</v>
      </c>
      <c r="F3602" t="s">
        <v>12</v>
      </c>
      <c r="G3602" t="s">
        <v>13</v>
      </c>
      <c r="H3602" s="7">
        <v>42345</v>
      </c>
      <c r="I3602">
        <v>73297.039999999994</v>
      </c>
      <c r="K3602" s="7"/>
    </row>
    <row r="3603" spans="1:11">
      <c r="A3603">
        <v>100003602</v>
      </c>
      <c r="B3603" t="s">
        <v>218</v>
      </c>
      <c r="C3603" t="s">
        <v>306</v>
      </c>
      <c r="D3603" t="s">
        <v>11</v>
      </c>
      <c r="E3603" s="9">
        <v>27</v>
      </c>
      <c r="F3603" t="s">
        <v>12</v>
      </c>
      <c r="G3603" t="s">
        <v>18</v>
      </c>
      <c r="H3603" s="8">
        <v>42345</v>
      </c>
      <c r="I3603">
        <v>14601.99</v>
      </c>
      <c r="K3603" s="8"/>
    </row>
    <row r="3604" spans="1:11">
      <c r="A3604">
        <v>100003603</v>
      </c>
      <c r="B3604" t="s">
        <v>190</v>
      </c>
      <c r="C3604" t="s">
        <v>31</v>
      </c>
      <c r="D3604" t="s">
        <v>11</v>
      </c>
      <c r="E3604" s="9">
        <v>40</v>
      </c>
      <c r="F3604" t="s">
        <v>12</v>
      </c>
      <c r="G3604" t="s">
        <v>13</v>
      </c>
      <c r="H3604" s="7">
        <v>42345</v>
      </c>
      <c r="I3604">
        <v>18220.43</v>
      </c>
      <c r="K3604" s="7"/>
    </row>
    <row r="3605" spans="1:11">
      <c r="A3605">
        <v>200003604</v>
      </c>
      <c r="B3605" t="s">
        <v>158</v>
      </c>
      <c r="C3605" t="s">
        <v>136</v>
      </c>
      <c r="D3605" t="s">
        <v>16</v>
      </c>
      <c r="E3605" s="9">
        <v>46</v>
      </c>
      <c r="F3605" t="s">
        <v>32</v>
      </c>
      <c r="G3605" t="s">
        <v>33</v>
      </c>
      <c r="H3605" s="8">
        <v>42345</v>
      </c>
      <c r="I3605">
        <v>43705.96</v>
      </c>
      <c r="K3605" s="8"/>
    </row>
    <row r="3606" spans="1:11">
      <c r="A3606">
        <v>200003605</v>
      </c>
      <c r="B3606" t="s">
        <v>117</v>
      </c>
      <c r="C3606" t="s">
        <v>274</v>
      </c>
      <c r="D3606" t="s">
        <v>16</v>
      </c>
      <c r="E3606" s="9">
        <v>49</v>
      </c>
      <c r="F3606" t="s">
        <v>32</v>
      </c>
      <c r="G3606" t="s">
        <v>33</v>
      </c>
      <c r="H3606" s="7">
        <v>42345</v>
      </c>
      <c r="I3606">
        <v>47764.94</v>
      </c>
      <c r="K3606" s="7"/>
    </row>
    <row r="3607" spans="1:11">
      <c r="A3607">
        <v>200003606</v>
      </c>
      <c r="B3607" t="s">
        <v>254</v>
      </c>
      <c r="C3607" t="s">
        <v>10</v>
      </c>
      <c r="D3607" t="s">
        <v>11</v>
      </c>
      <c r="E3607" s="9">
        <v>60</v>
      </c>
      <c r="F3607" t="s">
        <v>32</v>
      </c>
      <c r="G3607" t="s">
        <v>33</v>
      </c>
      <c r="H3607" s="8">
        <v>42345</v>
      </c>
      <c r="I3607">
        <v>64373.74</v>
      </c>
      <c r="K3607" s="8"/>
    </row>
    <row r="3608" spans="1:11">
      <c r="A3608">
        <v>200003607</v>
      </c>
      <c r="B3608" t="s">
        <v>300</v>
      </c>
      <c r="C3608" t="s">
        <v>107</v>
      </c>
      <c r="D3608" t="s">
        <v>16</v>
      </c>
      <c r="E3608" s="9">
        <v>46</v>
      </c>
      <c r="F3608" t="s">
        <v>32</v>
      </c>
      <c r="G3608" t="s">
        <v>33</v>
      </c>
      <c r="H3608" s="7">
        <v>42345</v>
      </c>
      <c r="I3608">
        <v>79599.33</v>
      </c>
      <c r="K3608" s="7"/>
    </row>
    <row r="3609" spans="1:11">
      <c r="A3609">
        <v>200003608</v>
      </c>
      <c r="B3609" t="s">
        <v>126</v>
      </c>
      <c r="C3609" t="s">
        <v>124</v>
      </c>
      <c r="D3609" t="s">
        <v>16</v>
      </c>
      <c r="E3609" s="9">
        <v>57</v>
      </c>
      <c r="F3609" t="s">
        <v>32</v>
      </c>
      <c r="G3609" t="s">
        <v>13</v>
      </c>
      <c r="H3609" s="8">
        <v>42345</v>
      </c>
      <c r="I3609">
        <v>26794.48</v>
      </c>
      <c r="K3609" s="8"/>
    </row>
    <row r="3610" spans="1:11">
      <c r="A3610">
        <v>200003609</v>
      </c>
      <c r="B3610" t="s">
        <v>213</v>
      </c>
      <c r="C3610" t="s">
        <v>22</v>
      </c>
      <c r="D3610" t="s">
        <v>11</v>
      </c>
      <c r="E3610" s="9">
        <v>39</v>
      </c>
      <c r="F3610" t="s">
        <v>32</v>
      </c>
      <c r="G3610" t="s">
        <v>33</v>
      </c>
      <c r="H3610" s="7">
        <v>42345</v>
      </c>
      <c r="I3610">
        <v>74775.98</v>
      </c>
      <c r="K3610" s="7"/>
    </row>
    <row r="3611" spans="1:11">
      <c r="A3611">
        <v>200003610</v>
      </c>
      <c r="B3611" t="s">
        <v>143</v>
      </c>
      <c r="C3611" t="s">
        <v>124</v>
      </c>
      <c r="D3611" t="s">
        <v>11</v>
      </c>
      <c r="E3611" s="9">
        <v>33</v>
      </c>
      <c r="F3611" t="s">
        <v>32</v>
      </c>
      <c r="G3611" t="s">
        <v>18</v>
      </c>
      <c r="H3611" s="8">
        <v>42345</v>
      </c>
      <c r="I3611">
        <v>45820.39</v>
      </c>
      <c r="K3611" s="8"/>
    </row>
    <row r="3612" spans="1:11">
      <c r="A3612">
        <v>200003611</v>
      </c>
      <c r="B3612" t="s">
        <v>44</v>
      </c>
      <c r="C3612" t="s">
        <v>155</v>
      </c>
      <c r="D3612" t="s">
        <v>16</v>
      </c>
      <c r="E3612" s="9">
        <v>48</v>
      </c>
      <c r="F3612" t="s">
        <v>32</v>
      </c>
      <c r="G3612" t="s">
        <v>33</v>
      </c>
      <c r="H3612" s="7">
        <v>42345</v>
      </c>
      <c r="I3612">
        <v>63490.36</v>
      </c>
      <c r="K3612" s="7"/>
    </row>
    <row r="3613" spans="1:11">
      <c r="A3613">
        <v>200003612</v>
      </c>
      <c r="B3613" t="s">
        <v>128</v>
      </c>
      <c r="C3613" t="s">
        <v>160</v>
      </c>
      <c r="D3613" t="s">
        <v>16</v>
      </c>
      <c r="E3613" s="9">
        <v>56</v>
      </c>
      <c r="F3613" t="s">
        <v>32</v>
      </c>
      <c r="G3613" t="s">
        <v>18</v>
      </c>
      <c r="H3613" s="8">
        <v>42345</v>
      </c>
      <c r="I3613">
        <v>32792.43</v>
      </c>
      <c r="K3613" s="8"/>
    </row>
    <row r="3614" spans="1:11">
      <c r="A3614">
        <v>100003613</v>
      </c>
      <c r="B3614" t="s">
        <v>324</v>
      </c>
      <c r="C3614" t="s">
        <v>225</v>
      </c>
      <c r="D3614" t="s">
        <v>16</v>
      </c>
      <c r="E3614" s="9">
        <v>34</v>
      </c>
      <c r="F3614" t="s">
        <v>12</v>
      </c>
      <c r="G3614" t="s">
        <v>13</v>
      </c>
      <c r="H3614" s="7">
        <v>42346</v>
      </c>
      <c r="I3614">
        <v>29587.31</v>
      </c>
      <c r="K3614" s="7"/>
    </row>
    <row r="3615" spans="1:11">
      <c r="A3615">
        <v>100003614</v>
      </c>
      <c r="B3615" t="s">
        <v>321</v>
      </c>
      <c r="C3615" t="s">
        <v>10</v>
      </c>
      <c r="D3615" t="s">
        <v>16</v>
      </c>
      <c r="E3615" s="9">
        <v>42</v>
      </c>
      <c r="F3615" t="s">
        <v>12</v>
      </c>
      <c r="G3615" t="s">
        <v>13</v>
      </c>
      <c r="H3615" s="8">
        <v>42346</v>
      </c>
      <c r="I3615">
        <v>33307.35</v>
      </c>
      <c r="K3615" s="8"/>
    </row>
    <row r="3616" spans="1:11">
      <c r="A3616">
        <v>100003615</v>
      </c>
      <c r="B3616" t="s">
        <v>273</v>
      </c>
      <c r="C3616" t="s">
        <v>100</v>
      </c>
      <c r="D3616" t="s">
        <v>11</v>
      </c>
      <c r="E3616" s="9">
        <v>36</v>
      </c>
      <c r="F3616" t="s">
        <v>12</v>
      </c>
      <c r="G3616" t="s">
        <v>13</v>
      </c>
      <c r="H3616" s="7">
        <v>42346</v>
      </c>
      <c r="I3616">
        <v>31628.04</v>
      </c>
      <c r="K3616" s="7"/>
    </row>
    <row r="3617" spans="1:11">
      <c r="A3617">
        <v>100003616</v>
      </c>
      <c r="B3617" t="s">
        <v>190</v>
      </c>
      <c r="C3617" t="s">
        <v>258</v>
      </c>
      <c r="D3617" t="s">
        <v>11</v>
      </c>
      <c r="E3617" s="9">
        <v>41</v>
      </c>
      <c r="F3617" t="s">
        <v>12</v>
      </c>
      <c r="G3617" t="s">
        <v>13</v>
      </c>
      <c r="H3617" s="8">
        <v>42346</v>
      </c>
      <c r="I3617">
        <v>24913.78</v>
      </c>
      <c r="K3617" s="8"/>
    </row>
    <row r="3618" spans="1:11">
      <c r="A3618">
        <v>200003617</v>
      </c>
      <c r="B3618" t="s">
        <v>118</v>
      </c>
      <c r="C3618" t="s">
        <v>31</v>
      </c>
      <c r="D3618" t="s">
        <v>11</v>
      </c>
      <c r="E3618" s="9">
        <v>45</v>
      </c>
      <c r="F3618" t="s">
        <v>32</v>
      </c>
      <c r="G3618" t="s">
        <v>13</v>
      </c>
      <c r="H3618" s="7">
        <v>42346</v>
      </c>
      <c r="I3618">
        <v>89524.95</v>
      </c>
      <c r="K3618" s="7"/>
    </row>
    <row r="3619" spans="1:11">
      <c r="A3619">
        <v>200003618</v>
      </c>
      <c r="B3619" t="s">
        <v>321</v>
      </c>
      <c r="C3619" t="s">
        <v>73</v>
      </c>
      <c r="D3619" t="s">
        <v>16</v>
      </c>
      <c r="E3619" s="9">
        <v>49</v>
      </c>
      <c r="F3619" t="s">
        <v>32</v>
      </c>
      <c r="G3619" t="s">
        <v>33</v>
      </c>
      <c r="H3619" s="8">
        <v>42346</v>
      </c>
      <c r="I3619">
        <v>38447.9</v>
      </c>
      <c r="K3619" s="8"/>
    </row>
    <row r="3620" spans="1:11">
      <c r="A3620">
        <v>200003619</v>
      </c>
      <c r="B3620" t="s">
        <v>46</v>
      </c>
      <c r="C3620" t="s">
        <v>275</v>
      </c>
      <c r="D3620" t="s">
        <v>11</v>
      </c>
      <c r="E3620" s="9">
        <v>48</v>
      </c>
      <c r="F3620" t="s">
        <v>32</v>
      </c>
      <c r="G3620" t="s">
        <v>33</v>
      </c>
      <c r="H3620" s="7">
        <v>42346</v>
      </c>
      <c r="I3620">
        <v>43730.239999999998</v>
      </c>
      <c r="K3620" s="7"/>
    </row>
    <row r="3621" spans="1:11">
      <c r="A3621">
        <v>200003620</v>
      </c>
      <c r="B3621" t="s">
        <v>164</v>
      </c>
      <c r="C3621" t="s">
        <v>124</v>
      </c>
      <c r="D3621" t="s">
        <v>11</v>
      </c>
      <c r="E3621" s="9">
        <v>44</v>
      </c>
      <c r="F3621" t="s">
        <v>32</v>
      </c>
      <c r="G3621" t="s">
        <v>18</v>
      </c>
      <c r="H3621" s="8">
        <v>42346</v>
      </c>
      <c r="I3621">
        <v>65358.53</v>
      </c>
      <c r="K3621" s="8"/>
    </row>
    <row r="3622" spans="1:11">
      <c r="A3622">
        <v>100003621</v>
      </c>
      <c r="B3622" t="s">
        <v>207</v>
      </c>
      <c r="C3622" t="s">
        <v>106</v>
      </c>
      <c r="D3622" t="s">
        <v>11</v>
      </c>
      <c r="E3622" s="9">
        <v>28</v>
      </c>
      <c r="F3622" t="s">
        <v>12</v>
      </c>
      <c r="G3622" t="s">
        <v>18</v>
      </c>
      <c r="H3622" s="7">
        <v>42347</v>
      </c>
      <c r="I3622">
        <v>6747.52</v>
      </c>
      <c r="K3622" s="7"/>
    </row>
    <row r="3623" spans="1:11">
      <c r="A3623">
        <v>100003622</v>
      </c>
      <c r="B3623" t="s">
        <v>182</v>
      </c>
      <c r="C3623" t="s">
        <v>307</v>
      </c>
      <c r="D3623" t="s">
        <v>16</v>
      </c>
      <c r="E3623" s="9">
        <v>26</v>
      </c>
      <c r="F3623" t="s">
        <v>12</v>
      </c>
      <c r="G3623" t="s">
        <v>13</v>
      </c>
      <c r="H3623" s="8">
        <v>42347</v>
      </c>
      <c r="I3623">
        <v>22897.58</v>
      </c>
      <c r="K3623" s="8"/>
    </row>
    <row r="3624" spans="1:11">
      <c r="A3624">
        <v>200003623</v>
      </c>
      <c r="B3624" t="s">
        <v>319</v>
      </c>
      <c r="C3624" t="s">
        <v>78</v>
      </c>
      <c r="D3624" t="s">
        <v>16</v>
      </c>
      <c r="E3624" s="9">
        <v>54</v>
      </c>
      <c r="F3624" t="s">
        <v>32</v>
      </c>
      <c r="G3624" t="s">
        <v>33</v>
      </c>
      <c r="H3624" s="7">
        <v>42347</v>
      </c>
      <c r="I3624">
        <v>43204.63</v>
      </c>
      <c r="K3624" s="7"/>
    </row>
    <row r="3625" spans="1:11">
      <c r="A3625">
        <v>200003624</v>
      </c>
      <c r="B3625" t="s">
        <v>188</v>
      </c>
      <c r="C3625" t="s">
        <v>136</v>
      </c>
      <c r="D3625" t="s">
        <v>11</v>
      </c>
      <c r="E3625" s="9">
        <v>48</v>
      </c>
      <c r="F3625" t="s">
        <v>32</v>
      </c>
      <c r="G3625" t="s">
        <v>13</v>
      </c>
      <c r="H3625" s="8">
        <v>42347</v>
      </c>
      <c r="I3625">
        <v>71225.87</v>
      </c>
      <c r="K3625" s="8"/>
    </row>
    <row r="3626" spans="1:11">
      <c r="A3626">
        <v>200003625</v>
      </c>
      <c r="B3626" t="s">
        <v>255</v>
      </c>
      <c r="C3626" t="s">
        <v>121</v>
      </c>
      <c r="D3626" t="s">
        <v>11</v>
      </c>
      <c r="E3626" s="9">
        <v>43</v>
      </c>
      <c r="F3626" t="s">
        <v>32</v>
      </c>
      <c r="G3626" t="s">
        <v>18</v>
      </c>
      <c r="H3626" s="7">
        <v>42347</v>
      </c>
      <c r="I3626">
        <v>29782.79</v>
      </c>
      <c r="K3626" s="7"/>
    </row>
    <row r="3627" spans="1:11">
      <c r="A3627">
        <v>200003626</v>
      </c>
      <c r="B3627" t="s">
        <v>293</v>
      </c>
      <c r="C3627" t="s">
        <v>297</v>
      </c>
      <c r="D3627" t="s">
        <v>11</v>
      </c>
      <c r="E3627" s="9">
        <v>52</v>
      </c>
      <c r="F3627" t="s">
        <v>32</v>
      </c>
      <c r="G3627" t="s">
        <v>33</v>
      </c>
      <c r="H3627" s="8">
        <v>42347</v>
      </c>
      <c r="I3627">
        <v>13622.87</v>
      </c>
      <c r="K3627" s="8"/>
    </row>
    <row r="3628" spans="1:11">
      <c r="A3628">
        <v>100003627</v>
      </c>
      <c r="B3628" t="s">
        <v>57</v>
      </c>
      <c r="C3628" t="s">
        <v>253</v>
      </c>
      <c r="D3628" t="s">
        <v>11</v>
      </c>
      <c r="E3628" s="9">
        <v>30</v>
      </c>
      <c r="F3628" t="s">
        <v>12</v>
      </c>
      <c r="G3628" t="s">
        <v>13</v>
      </c>
      <c r="H3628" s="7">
        <v>42348</v>
      </c>
      <c r="I3628">
        <v>47550.080000000002</v>
      </c>
      <c r="K3628" s="7"/>
    </row>
    <row r="3629" spans="1:11">
      <c r="A3629">
        <v>100003628</v>
      </c>
      <c r="B3629" t="s">
        <v>148</v>
      </c>
      <c r="C3629" t="s">
        <v>10</v>
      </c>
      <c r="D3629" t="s">
        <v>11</v>
      </c>
      <c r="E3629" s="9">
        <v>33</v>
      </c>
      <c r="F3629" t="s">
        <v>12</v>
      </c>
      <c r="G3629" t="s">
        <v>13</v>
      </c>
      <c r="H3629" s="8">
        <v>42348</v>
      </c>
      <c r="I3629">
        <v>20091.28</v>
      </c>
      <c r="K3629" s="8"/>
    </row>
    <row r="3630" spans="1:11">
      <c r="A3630">
        <v>100003629</v>
      </c>
      <c r="B3630" t="s">
        <v>197</v>
      </c>
      <c r="C3630" t="s">
        <v>224</v>
      </c>
      <c r="D3630" t="s">
        <v>11</v>
      </c>
      <c r="E3630" s="9">
        <v>21</v>
      </c>
      <c r="F3630" t="s">
        <v>12</v>
      </c>
      <c r="G3630" t="s">
        <v>13</v>
      </c>
      <c r="H3630" s="7">
        <v>42348</v>
      </c>
      <c r="I3630">
        <v>22103.13</v>
      </c>
      <c r="K3630" s="7"/>
    </row>
    <row r="3631" spans="1:11">
      <c r="A3631">
        <v>100003630</v>
      </c>
      <c r="B3631" t="s">
        <v>287</v>
      </c>
      <c r="C3631" t="s">
        <v>113</v>
      </c>
      <c r="D3631" t="s">
        <v>16</v>
      </c>
      <c r="E3631" s="9">
        <v>31</v>
      </c>
      <c r="F3631" t="s">
        <v>12</v>
      </c>
      <c r="G3631" t="s">
        <v>13</v>
      </c>
      <c r="H3631" s="8">
        <v>42348</v>
      </c>
      <c r="I3631">
        <v>25012.17</v>
      </c>
      <c r="K3631" s="8"/>
    </row>
    <row r="3632" spans="1:11">
      <c r="A3632">
        <v>100003631</v>
      </c>
      <c r="B3632" t="s">
        <v>215</v>
      </c>
      <c r="C3632" t="s">
        <v>288</v>
      </c>
      <c r="D3632" t="s">
        <v>16</v>
      </c>
      <c r="E3632" s="9">
        <v>43</v>
      </c>
      <c r="F3632" t="s">
        <v>12</v>
      </c>
      <c r="G3632" t="s">
        <v>13</v>
      </c>
      <c r="H3632" s="7">
        <v>42348</v>
      </c>
      <c r="I3632">
        <v>55352.18</v>
      </c>
      <c r="K3632" s="7"/>
    </row>
    <row r="3633" spans="1:11">
      <c r="A3633">
        <v>100003632</v>
      </c>
      <c r="B3633" t="s">
        <v>214</v>
      </c>
      <c r="C3633" t="s">
        <v>45</v>
      </c>
      <c r="D3633" t="s">
        <v>11</v>
      </c>
      <c r="E3633" s="9">
        <v>38</v>
      </c>
      <c r="F3633" t="s">
        <v>12</v>
      </c>
      <c r="G3633" t="s">
        <v>13</v>
      </c>
      <c r="H3633" s="8">
        <v>42348</v>
      </c>
      <c r="I3633">
        <v>27303.89</v>
      </c>
      <c r="K3633" s="8"/>
    </row>
    <row r="3634" spans="1:11">
      <c r="A3634">
        <v>100003633</v>
      </c>
      <c r="B3634" t="s">
        <v>36</v>
      </c>
      <c r="C3634" t="s">
        <v>113</v>
      </c>
      <c r="D3634" t="s">
        <v>11</v>
      </c>
      <c r="E3634" s="9">
        <v>48</v>
      </c>
      <c r="F3634" t="s">
        <v>12</v>
      </c>
      <c r="G3634" t="s">
        <v>13</v>
      </c>
      <c r="H3634" s="7">
        <v>42348</v>
      </c>
      <c r="I3634">
        <v>21250.29</v>
      </c>
      <c r="K3634" s="7"/>
    </row>
    <row r="3635" spans="1:11">
      <c r="A3635">
        <v>100003634</v>
      </c>
      <c r="B3635" t="s">
        <v>92</v>
      </c>
      <c r="C3635" t="s">
        <v>25</v>
      </c>
      <c r="D3635" t="s">
        <v>16</v>
      </c>
      <c r="E3635" s="9">
        <v>49</v>
      </c>
      <c r="F3635" t="s">
        <v>12</v>
      </c>
      <c r="G3635" t="s">
        <v>13</v>
      </c>
      <c r="H3635" s="8">
        <v>42348</v>
      </c>
      <c r="I3635">
        <v>34375.08</v>
      </c>
      <c r="K3635" s="8"/>
    </row>
    <row r="3636" spans="1:11">
      <c r="A3636">
        <v>100003635</v>
      </c>
      <c r="B3636" t="s">
        <v>48</v>
      </c>
      <c r="C3636" t="s">
        <v>259</v>
      </c>
      <c r="D3636" t="s">
        <v>16</v>
      </c>
      <c r="E3636" s="9">
        <v>44</v>
      </c>
      <c r="F3636" t="s">
        <v>12</v>
      </c>
      <c r="G3636" t="s">
        <v>13</v>
      </c>
      <c r="H3636" s="7">
        <v>42348</v>
      </c>
      <c r="I3636">
        <v>49219.74</v>
      </c>
      <c r="K3636" s="7"/>
    </row>
    <row r="3637" spans="1:11">
      <c r="A3637">
        <v>100003636</v>
      </c>
      <c r="B3637" t="s">
        <v>194</v>
      </c>
      <c r="C3637" t="s">
        <v>198</v>
      </c>
      <c r="D3637" t="s">
        <v>16</v>
      </c>
      <c r="E3637" s="9">
        <v>23</v>
      </c>
      <c r="F3637" t="s">
        <v>12</v>
      </c>
      <c r="G3637" t="s">
        <v>13</v>
      </c>
      <c r="H3637" s="8">
        <v>42348</v>
      </c>
      <c r="I3637">
        <v>44620.56</v>
      </c>
      <c r="K3637" s="8"/>
    </row>
    <row r="3638" spans="1:11">
      <c r="A3638">
        <v>100003637</v>
      </c>
      <c r="B3638" t="s">
        <v>117</v>
      </c>
      <c r="C3638" t="s">
        <v>289</v>
      </c>
      <c r="D3638" t="s">
        <v>16</v>
      </c>
      <c r="E3638" s="9">
        <v>31</v>
      </c>
      <c r="F3638" t="s">
        <v>12</v>
      </c>
      <c r="G3638" t="s">
        <v>13</v>
      </c>
      <c r="H3638" s="7">
        <v>42348</v>
      </c>
      <c r="I3638">
        <v>92983.44</v>
      </c>
      <c r="K3638" s="7"/>
    </row>
    <row r="3639" spans="1:11">
      <c r="A3639">
        <v>100003638</v>
      </c>
      <c r="B3639" t="s">
        <v>182</v>
      </c>
      <c r="C3639" t="s">
        <v>325</v>
      </c>
      <c r="D3639" t="s">
        <v>16</v>
      </c>
      <c r="E3639" s="9">
        <v>40</v>
      </c>
      <c r="F3639" t="s">
        <v>12</v>
      </c>
      <c r="G3639" t="s">
        <v>13</v>
      </c>
      <c r="H3639" s="8">
        <v>42348</v>
      </c>
      <c r="I3639">
        <v>10266.950000000001</v>
      </c>
      <c r="K3639" s="8"/>
    </row>
    <row r="3640" spans="1:11">
      <c r="A3640">
        <v>100003639</v>
      </c>
      <c r="B3640" t="s">
        <v>40</v>
      </c>
      <c r="C3640" t="s">
        <v>318</v>
      </c>
      <c r="D3640" t="s">
        <v>11</v>
      </c>
      <c r="E3640" s="9">
        <v>31</v>
      </c>
      <c r="F3640" t="s">
        <v>12</v>
      </c>
      <c r="G3640" t="s">
        <v>33</v>
      </c>
      <c r="H3640" s="7">
        <v>42348</v>
      </c>
      <c r="I3640">
        <v>55173.03</v>
      </c>
      <c r="K3640" s="7"/>
    </row>
    <row r="3641" spans="1:11">
      <c r="A3641">
        <v>100003640</v>
      </c>
      <c r="B3641" t="s">
        <v>181</v>
      </c>
      <c r="C3641" t="s">
        <v>189</v>
      </c>
      <c r="D3641" t="s">
        <v>11</v>
      </c>
      <c r="E3641" s="9">
        <v>35</v>
      </c>
      <c r="F3641" t="s">
        <v>12</v>
      </c>
      <c r="G3641" t="s">
        <v>18</v>
      </c>
      <c r="H3641" s="8">
        <v>42348</v>
      </c>
      <c r="I3641">
        <v>51009.01</v>
      </c>
      <c r="K3641" s="8"/>
    </row>
    <row r="3642" spans="1:11">
      <c r="A3642">
        <v>100003641</v>
      </c>
      <c r="B3642" t="s">
        <v>254</v>
      </c>
      <c r="C3642" t="s">
        <v>49</v>
      </c>
      <c r="D3642" t="s">
        <v>11</v>
      </c>
      <c r="E3642" s="9">
        <v>34</v>
      </c>
      <c r="F3642" t="s">
        <v>12</v>
      </c>
      <c r="G3642" t="s">
        <v>13</v>
      </c>
      <c r="H3642" s="7">
        <v>42348</v>
      </c>
      <c r="I3642">
        <v>41640.879999999997</v>
      </c>
      <c r="K3642" s="7"/>
    </row>
    <row r="3643" spans="1:11">
      <c r="A3643">
        <v>100003642</v>
      </c>
      <c r="B3643" t="s">
        <v>298</v>
      </c>
      <c r="C3643" t="s">
        <v>132</v>
      </c>
      <c r="D3643" t="s">
        <v>16</v>
      </c>
      <c r="E3643" s="9">
        <v>26</v>
      </c>
      <c r="F3643" t="s">
        <v>12</v>
      </c>
      <c r="G3643" t="s">
        <v>33</v>
      </c>
      <c r="H3643" s="8">
        <v>42348</v>
      </c>
      <c r="I3643">
        <v>4212.3599999999997</v>
      </c>
      <c r="K3643" s="8"/>
    </row>
    <row r="3644" spans="1:11">
      <c r="A3644">
        <v>100003643</v>
      </c>
      <c r="B3644" t="s">
        <v>72</v>
      </c>
      <c r="C3644" t="s">
        <v>43</v>
      </c>
      <c r="D3644" t="s">
        <v>11</v>
      </c>
      <c r="E3644" s="9">
        <v>27</v>
      </c>
      <c r="F3644" t="s">
        <v>12</v>
      </c>
      <c r="G3644" t="s">
        <v>13</v>
      </c>
      <c r="H3644" s="7">
        <v>42348</v>
      </c>
      <c r="I3644">
        <v>92610.22</v>
      </c>
      <c r="K3644" s="7"/>
    </row>
    <row r="3645" spans="1:11">
      <c r="A3645">
        <v>100003644</v>
      </c>
      <c r="B3645" t="s">
        <v>287</v>
      </c>
      <c r="C3645" t="s">
        <v>157</v>
      </c>
      <c r="D3645" t="s">
        <v>16</v>
      </c>
      <c r="E3645" s="9">
        <v>31</v>
      </c>
      <c r="F3645" t="s">
        <v>12</v>
      </c>
      <c r="G3645" t="s">
        <v>13</v>
      </c>
      <c r="H3645" s="8">
        <v>42348</v>
      </c>
      <c r="I3645">
        <v>29053.97</v>
      </c>
      <c r="K3645" s="8"/>
    </row>
    <row r="3646" spans="1:11">
      <c r="A3646">
        <v>200003645</v>
      </c>
      <c r="B3646" t="s">
        <v>283</v>
      </c>
      <c r="C3646" t="s">
        <v>155</v>
      </c>
      <c r="D3646" t="s">
        <v>11</v>
      </c>
      <c r="E3646" s="9">
        <v>52</v>
      </c>
      <c r="F3646" t="s">
        <v>32</v>
      </c>
      <c r="G3646" t="s">
        <v>18</v>
      </c>
      <c r="H3646" s="7">
        <v>42348</v>
      </c>
      <c r="I3646">
        <v>69036.02</v>
      </c>
      <c r="K3646" s="7"/>
    </row>
    <row r="3647" spans="1:11">
      <c r="A3647">
        <v>200003646</v>
      </c>
      <c r="B3647" t="s">
        <v>202</v>
      </c>
      <c r="C3647" t="s">
        <v>238</v>
      </c>
      <c r="D3647" t="s">
        <v>11</v>
      </c>
      <c r="E3647" s="9">
        <v>58</v>
      </c>
      <c r="F3647" t="s">
        <v>32</v>
      </c>
      <c r="G3647" t="s">
        <v>33</v>
      </c>
      <c r="H3647" s="8">
        <v>42348</v>
      </c>
      <c r="I3647">
        <v>28310.16</v>
      </c>
      <c r="K3647" s="8"/>
    </row>
    <row r="3648" spans="1:11">
      <c r="A3648">
        <v>200003647</v>
      </c>
      <c r="B3648" t="s">
        <v>103</v>
      </c>
      <c r="C3648" t="s">
        <v>162</v>
      </c>
      <c r="D3648" t="s">
        <v>11</v>
      </c>
      <c r="E3648" s="9">
        <v>47</v>
      </c>
      <c r="F3648" t="s">
        <v>32</v>
      </c>
      <c r="G3648" t="s">
        <v>33</v>
      </c>
      <c r="H3648" s="7">
        <v>42348</v>
      </c>
      <c r="I3648">
        <v>54547.24</v>
      </c>
      <c r="K3648" s="7"/>
    </row>
    <row r="3649" spans="1:11">
      <c r="A3649">
        <v>200003648</v>
      </c>
      <c r="B3649" t="s">
        <v>57</v>
      </c>
      <c r="C3649" t="s">
        <v>238</v>
      </c>
      <c r="D3649" t="s">
        <v>11</v>
      </c>
      <c r="E3649" s="9">
        <v>40</v>
      </c>
      <c r="F3649" t="s">
        <v>32</v>
      </c>
      <c r="G3649" t="s">
        <v>33</v>
      </c>
      <c r="H3649" s="8">
        <v>42348</v>
      </c>
      <c r="I3649">
        <v>9554.52</v>
      </c>
      <c r="K3649" s="8"/>
    </row>
    <row r="3650" spans="1:11">
      <c r="A3650">
        <v>200003649</v>
      </c>
      <c r="B3650" t="s">
        <v>321</v>
      </c>
      <c r="C3650" t="s">
        <v>274</v>
      </c>
      <c r="D3650" t="s">
        <v>16</v>
      </c>
      <c r="E3650" s="9">
        <v>53</v>
      </c>
      <c r="F3650" t="s">
        <v>32</v>
      </c>
      <c r="G3650" t="s">
        <v>33</v>
      </c>
      <c r="H3650" s="7">
        <v>42348</v>
      </c>
      <c r="I3650">
        <v>81863.360000000001</v>
      </c>
      <c r="K3650" s="7"/>
    </row>
    <row r="3651" spans="1:11">
      <c r="A3651">
        <v>200003650</v>
      </c>
      <c r="B3651" t="s">
        <v>42</v>
      </c>
      <c r="C3651" t="s">
        <v>65</v>
      </c>
      <c r="D3651" t="s">
        <v>11</v>
      </c>
      <c r="E3651" s="9">
        <v>51</v>
      </c>
      <c r="F3651" t="s">
        <v>32</v>
      </c>
      <c r="G3651" t="s">
        <v>18</v>
      </c>
      <c r="H3651" s="8">
        <v>42348</v>
      </c>
      <c r="I3651">
        <v>5018.3100000000004</v>
      </c>
      <c r="K3651" s="8"/>
    </row>
    <row r="3652" spans="1:11">
      <c r="A3652">
        <v>200003651</v>
      </c>
      <c r="B3652" t="s">
        <v>152</v>
      </c>
      <c r="C3652" t="s">
        <v>281</v>
      </c>
      <c r="D3652" t="s">
        <v>11</v>
      </c>
      <c r="E3652" s="9">
        <v>63</v>
      </c>
      <c r="F3652" t="s">
        <v>32</v>
      </c>
      <c r="G3652" t="s">
        <v>18</v>
      </c>
      <c r="H3652" s="7">
        <v>42348</v>
      </c>
      <c r="I3652">
        <v>36281.440000000002</v>
      </c>
      <c r="K3652" s="7"/>
    </row>
    <row r="3653" spans="1:11">
      <c r="A3653">
        <v>200003652</v>
      </c>
      <c r="B3653" t="s">
        <v>115</v>
      </c>
      <c r="C3653" t="s">
        <v>61</v>
      </c>
      <c r="D3653" t="s">
        <v>16</v>
      </c>
      <c r="E3653" s="9">
        <v>49</v>
      </c>
      <c r="F3653" t="s">
        <v>32</v>
      </c>
      <c r="G3653" t="s">
        <v>33</v>
      </c>
      <c r="H3653" s="8">
        <v>42348</v>
      </c>
      <c r="I3653">
        <v>49277</v>
      </c>
      <c r="K3653" s="8"/>
    </row>
    <row r="3654" spans="1:11">
      <c r="A3654">
        <v>200003653</v>
      </c>
      <c r="B3654" t="s">
        <v>213</v>
      </c>
      <c r="C3654" t="s">
        <v>209</v>
      </c>
      <c r="D3654" t="s">
        <v>11</v>
      </c>
      <c r="E3654" s="9">
        <v>54</v>
      </c>
      <c r="F3654" t="s">
        <v>32</v>
      </c>
      <c r="G3654" t="s">
        <v>18</v>
      </c>
      <c r="H3654" s="7">
        <v>42348</v>
      </c>
      <c r="I3654">
        <v>108968.26</v>
      </c>
      <c r="K3654" s="7"/>
    </row>
    <row r="3655" spans="1:11">
      <c r="A3655">
        <v>300003654</v>
      </c>
      <c r="B3655" t="s">
        <v>301</v>
      </c>
      <c r="C3655" t="s">
        <v>189</v>
      </c>
      <c r="D3655" t="s">
        <v>16</v>
      </c>
      <c r="E3655" s="9">
        <v>42</v>
      </c>
      <c r="F3655" t="s">
        <v>23</v>
      </c>
      <c r="G3655" t="s">
        <v>13</v>
      </c>
      <c r="H3655" s="8">
        <v>42348</v>
      </c>
      <c r="I3655">
        <v>9904.77</v>
      </c>
      <c r="K3655" s="8"/>
    </row>
    <row r="3656" spans="1:11">
      <c r="A3656">
        <v>300003655</v>
      </c>
      <c r="B3656" t="s">
        <v>244</v>
      </c>
      <c r="C3656" t="s">
        <v>277</v>
      </c>
      <c r="D3656" t="s">
        <v>16</v>
      </c>
      <c r="E3656" s="9">
        <v>41</v>
      </c>
      <c r="F3656" t="s">
        <v>23</v>
      </c>
      <c r="G3656" t="s">
        <v>33</v>
      </c>
      <c r="H3656" s="7">
        <v>42348</v>
      </c>
      <c r="I3656">
        <v>19485.71</v>
      </c>
      <c r="K3656" s="7"/>
    </row>
    <row r="3657" spans="1:11">
      <c r="A3657">
        <v>300003656</v>
      </c>
      <c r="B3657" t="s">
        <v>50</v>
      </c>
      <c r="C3657" t="s">
        <v>77</v>
      </c>
      <c r="D3657" t="s">
        <v>16</v>
      </c>
      <c r="E3657" s="9">
        <v>29</v>
      </c>
      <c r="F3657" t="s">
        <v>23</v>
      </c>
      <c r="G3657" t="s">
        <v>13</v>
      </c>
      <c r="H3657" s="8">
        <v>42348</v>
      </c>
      <c r="I3657">
        <v>9471.18</v>
      </c>
      <c r="K3657" s="8"/>
    </row>
    <row r="3658" spans="1:11">
      <c r="A3658">
        <v>300003657</v>
      </c>
      <c r="B3658" t="s">
        <v>320</v>
      </c>
      <c r="C3658" t="s">
        <v>15</v>
      </c>
      <c r="D3658" t="s">
        <v>16</v>
      </c>
      <c r="E3658" s="9">
        <v>38</v>
      </c>
      <c r="F3658" t="s">
        <v>23</v>
      </c>
      <c r="G3658" t="s">
        <v>33</v>
      </c>
      <c r="H3658" s="7">
        <v>42348</v>
      </c>
      <c r="I3658">
        <v>94773.07</v>
      </c>
      <c r="K3658" s="7"/>
    </row>
    <row r="3659" spans="1:11">
      <c r="A3659">
        <v>100003658</v>
      </c>
      <c r="B3659" t="s">
        <v>34</v>
      </c>
      <c r="C3659" t="s">
        <v>41</v>
      </c>
      <c r="D3659" t="s">
        <v>16</v>
      </c>
      <c r="E3659" s="9">
        <v>35</v>
      </c>
      <c r="F3659" t="s">
        <v>12</v>
      </c>
      <c r="G3659" t="s">
        <v>13</v>
      </c>
      <c r="H3659" s="8">
        <v>42349</v>
      </c>
      <c r="I3659">
        <v>123357.17</v>
      </c>
      <c r="K3659" s="8"/>
    </row>
    <row r="3660" spans="1:11">
      <c r="A3660">
        <v>100003659</v>
      </c>
      <c r="B3660" t="s">
        <v>184</v>
      </c>
      <c r="C3660" t="s">
        <v>162</v>
      </c>
      <c r="D3660" t="s">
        <v>16</v>
      </c>
      <c r="E3660" s="9">
        <v>44</v>
      </c>
      <c r="F3660" t="s">
        <v>12</v>
      </c>
      <c r="G3660" t="s">
        <v>33</v>
      </c>
      <c r="H3660" s="7">
        <v>42349</v>
      </c>
      <c r="I3660">
        <v>32865.620000000003</v>
      </c>
      <c r="K3660" s="7"/>
    </row>
    <row r="3661" spans="1:11">
      <c r="A3661">
        <v>100003660</v>
      </c>
      <c r="B3661" t="s">
        <v>57</v>
      </c>
      <c r="C3661" t="s">
        <v>27</v>
      </c>
      <c r="D3661" t="s">
        <v>11</v>
      </c>
      <c r="E3661" s="9">
        <v>24</v>
      </c>
      <c r="F3661" t="s">
        <v>12</v>
      </c>
      <c r="G3661" t="s">
        <v>18</v>
      </c>
      <c r="H3661" s="8">
        <v>42349</v>
      </c>
      <c r="I3661">
        <v>123346.44</v>
      </c>
      <c r="K3661" s="8"/>
    </row>
    <row r="3662" spans="1:11">
      <c r="A3662">
        <v>200003661</v>
      </c>
      <c r="B3662" t="s">
        <v>202</v>
      </c>
      <c r="C3662" t="s">
        <v>153</v>
      </c>
      <c r="D3662" t="s">
        <v>11</v>
      </c>
      <c r="E3662" s="9">
        <v>20</v>
      </c>
      <c r="F3662" t="s">
        <v>32</v>
      </c>
      <c r="G3662" t="s">
        <v>18</v>
      </c>
      <c r="H3662" s="7">
        <v>42349</v>
      </c>
      <c r="I3662">
        <v>3715.81</v>
      </c>
      <c r="K3662" s="7"/>
    </row>
    <row r="3663" spans="1:11">
      <c r="A3663">
        <v>200003662</v>
      </c>
      <c r="B3663" t="s">
        <v>232</v>
      </c>
      <c r="C3663" t="s">
        <v>238</v>
      </c>
      <c r="D3663" t="s">
        <v>16</v>
      </c>
      <c r="E3663" s="9">
        <v>50</v>
      </c>
      <c r="F3663" t="s">
        <v>32</v>
      </c>
      <c r="G3663" t="s">
        <v>33</v>
      </c>
      <c r="H3663" s="8">
        <v>42349</v>
      </c>
      <c r="I3663">
        <v>67803.350000000006</v>
      </c>
      <c r="K3663" s="8"/>
    </row>
    <row r="3664" spans="1:11">
      <c r="A3664">
        <v>200003663</v>
      </c>
      <c r="B3664" t="s">
        <v>118</v>
      </c>
      <c r="C3664" t="s">
        <v>49</v>
      </c>
      <c r="D3664" t="s">
        <v>11</v>
      </c>
      <c r="E3664" s="9">
        <v>47</v>
      </c>
      <c r="F3664" t="s">
        <v>32</v>
      </c>
      <c r="G3664" t="s">
        <v>18</v>
      </c>
      <c r="H3664" s="7">
        <v>42349</v>
      </c>
      <c r="I3664">
        <v>11644.61</v>
      </c>
      <c r="K3664" s="7"/>
    </row>
    <row r="3665" spans="1:11">
      <c r="A3665">
        <v>300003664</v>
      </c>
      <c r="B3665" t="s">
        <v>273</v>
      </c>
      <c r="C3665" t="s">
        <v>212</v>
      </c>
      <c r="D3665" t="s">
        <v>11</v>
      </c>
      <c r="E3665" s="9">
        <v>41</v>
      </c>
      <c r="F3665" t="s">
        <v>23</v>
      </c>
      <c r="G3665" t="s">
        <v>13</v>
      </c>
      <c r="H3665" s="8">
        <v>42349</v>
      </c>
      <c r="I3665">
        <v>17160.060000000001</v>
      </c>
      <c r="K3665" s="8"/>
    </row>
    <row r="3666" spans="1:11">
      <c r="A3666">
        <v>100003665</v>
      </c>
      <c r="B3666" t="s">
        <v>143</v>
      </c>
      <c r="C3666" t="s">
        <v>253</v>
      </c>
      <c r="D3666" t="s">
        <v>11</v>
      </c>
      <c r="E3666" s="9">
        <v>46</v>
      </c>
      <c r="F3666" t="s">
        <v>12</v>
      </c>
      <c r="G3666" t="s">
        <v>13</v>
      </c>
      <c r="H3666" s="7">
        <v>42350</v>
      </c>
      <c r="I3666">
        <v>29931.26</v>
      </c>
      <c r="K3666" s="7"/>
    </row>
    <row r="3667" spans="1:11">
      <c r="A3667">
        <v>100003666</v>
      </c>
      <c r="B3667" t="s">
        <v>146</v>
      </c>
      <c r="C3667" t="s">
        <v>212</v>
      </c>
      <c r="D3667" t="s">
        <v>16</v>
      </c>
      <c r="E3667" s="9">
        <v>41</v>
      </c>
      <c r="F3667" t="s">
        <v>12</v>
      </c>
      <c r="G3667" t="s">
        <v>33</v>
      </c>
      <c r="H3667" s="8">
        <v>42350</v>
      </c>
      <c r="I3667">
        <v>18206.830000000002</v>
      </c>
      <c r="K3667" s="8"/>
    </row>
    <row r="3668" spans="1:11">
      <c r="A3668">
        <v>100003667</v>
      </c>
      <c r="B3668" t="s">
        <v>92</v>
      </c>
      <c r="C3668" t="s">
        <v>160</v>
      </c>
      <c r="D3668" t="s">
        <v>16</v>
      </c>
      <c r="E3668" s="9">
        <v>42</v>
      </c>
      <c r="F3668" t="s">
        <v>12</v>
      </c>
      <c r="G3668" t="s">
        <v>13</v>
      </c>
      <c r="H3668" s="7">
        <v>42350</v>
      </c>
      <c r="I3668">
        <v>72596.02</v>
      </c>
      <c r="K3668" s="7"/>
    </row>
    <row r="3669" spans="1:11">
      <c r="A3669">
        <v>100003668</v>
      </c>
      <c r="B3669" t="s">
        <v>309</v>
      </c>
      <c r="C3669" t="s">
        <v>278</v>
      </c>
      <c r="D3669" t="s">
        <v>16</v>
      </c>
      <c r="E3669" s="9">
        <v>36</v>
      </c>
      <c r="F3669" t="s">
        <v>12</v>
      </c>
      <c r="G3669" t="s">
        <v>13</v>
      </c>
      <c r="H3669" s="8">
        <v>42350</v>
      </c>
      <c r="I3669">
        <v>14544.43</v>
      </c>
      <c r="K3669" s="8"/>
    </row>
    <row r="3670" spans="1:11">
      <c r="A3670">
        <v>100003669</v>
      </c>
      <c r="B3670" t="s">
        <v>146</v>
      </c>
      <c r="C3670" t="s">
        <v>47</v>
      </c>
      <c r="D3670" t="s">
        <v>16</v>
      </c>
      <c r="E3670" s="9">
        <v>36</v>
      </c>
      <c r="F3670" t="s">
        <v>12</v>
      </c>
      <c r="G3670" t="s">
        <v>13</v>
      </c>
      <c r="H3670" s="7">
        <v>42350</v>
      </c>
      <c r="I3670">
        <v>72042.13</v>
      </c>
      <c r="K3670" s="7"/>
    </row>
    <row r="3671" spans="1:11">
      <c r="A3671">
        <v>100003670</v>
      </c>
      <c r="B3671" t="s">
        <v>30</v>
      </c>
      <c r="C3671" t="s">
        <v>93</v>
      </c>
      <c r="D3671" t="s">
        <v>16</v>
      </c>
      <c r="E3671" s="9">
        <v>37</v>
      </c>
      <c r="F3671" t="s">
        <v>12</v>
      </c>
      <c r="G3671" t="s">
        <v>13</v>
      </c>
      <c r="H3671" s="8">
        <v>42350</v>
      </c>
      <c r="I3671">
        <v>49587.199999999997</v>
      </c>
      <c r="K3671" s="8"/>
    </row>
    <row r="3672" spans="1:11">
      <c r="A3672">
        <v>100003671</v>
      </c>
      <c r="B3672" t="s">
        <v>301</v>
      </c>
      <c r="C3672" t="s">
        <v>313</v>
      </c>
      <c r="D3672" t="s">
        <v>16</v>
      </c>
      <c r="E3672" s="9">
        <v>32</v>
      </c>
      <c r="F3672" t="s">
        <v>12</v>
      </c>
      <c r="G3672" t="s">
        <v>18</v>
      </c>
      <c r="H3672" s="7">
        <v>42350</v>
      </c>
      <c r="I3672">
        <v>28086.32</v>
      </c>
      <c r="K3672" s="7"/>
    </row>
    <row r="3673" spans="1:11">
      <c r="A3673">
        <v>100003672</v>
      </c>
      <c r="B3673" t="s">
        <v>194</v>
      </c>
      <c r="C3673" t="s">
        <v>310</v>
      </c>
      <c r="D3673" t="s">
        <v>16</v>
      </c>
      <c r="E3673" s="9">
        <v>24</v>
      </c>
      <c r="F3673" t="s">
        <v>12</v>
      </c>
      <c r="G3673" t="s">
        <v>33</v>
      </c>
      <c r="H3673" s="8">
        <v>42350</v>
      </c>
      <c r="I3673">
        <v>17946.830000000002</v>
      </c>
      <c r="K3673" s="8"/>
    </row>
    <row r="3674" spans="1:11">
      <c r="A3674">
        <v>100003673</v>
      </c>
      <c r="B3674" t="s">
        <v>223</v>
      </c>
      <c r="C3674" t="s">
        <v>155</v>
      </c>
      <c r="D3674" t="s">
        <v>16</v>
      </c>
      <c r="E3674" s="9">
        <v>34</v>
      </c>
      <c r="F3674" t="s">
        <v>12</v>
      </c>
      <c r="G3674" t="s">
        <v>13</v>
      </c>
      <c r="H3674" s="7">
        <v>42350</v>
      </c>
      <c r="I3674">
        <v>77383.45</v>
      </c>
      <c r="K3674" s="7"/>
    </row>
    <row r="3675" spans="1:11">
      <c r="A3675">
        <v>200003674</v>
      </c>
      <c r="B3675" t="s">
        <v>320</v>
      </c>
      <c r="C3675" t="s">
        <v>205</v>
      </c>
      <c r="D3675" t="s">
        <v>16</v>
      </c>
      <c r="E3675" s="9">
        <v>54</v>
      </c>
      <c r="F3675" t="s">
        <v>32</v>
      </c>
      <c r="G3675" t="s">
        <v>33</v>
      </c>
      <c r="H3675" s="8">
        <v>42350</v>
      </c>
      <c r="I3675">
        <v>34767.58</v>
      </c>
      <c r="K3675" s="8"/>
    </row>
    <row r="3676" spans="1:11">
      <c r="A3676">
        <v>200003675</v>
      </c>
      <c r="B3676" t="s">
        <v>70</v>
      </c>
      <c r="C3676" t="s">
        <v>195</v>
      </c>
      <c r="D3676" t="s">
        <v>11</v>
      </c>
      <c r="E3676" s="9">
        <v>44</v>
      </c>
      <c r="F3676" t="s">
        <v>32</v>
      </c>
      <c r="G3676" t="s">
        <v>18</v>
      </c>
      <c r="H3676" s="7">
        <v>42350</v>
      </c>
      <c r="I3676">
        <v>60052.58</v>
      </c>
      <c r="K3676" s="7"/>
    </row>
    <row r="3677" spans="1:11">
      <c r="A3677">
        <v>200003676</v>
      </c>
      <c r="B3677" t="s">
        <v>199</v>
      </c>
      <c r="C3677" t="s">
        <v>222</v>
      </c>
      <c r="D3677" t="s">
        <v>11</v>
      </c>
      <c r="E3677" s="9">
        <v>57</v>
      </c>
      <c r="F3677" t="s">
        <v>32</v>
      </c>
      <c r="G3677" t="s">
        <v>18</v>
      </c>
      <c r="H3677" s="8">
        <v>42350</v>
      </c>
      <c r="I3677">
        <v>78221.89</v>
      </c>
      <c r="K3677" s="8"/>
    </row>
    <row r="3678" spans="1:11">
      <c r="A3678">
        <v>200003677</v>
      </c>
      <c r="B3678" t="s">
        <v>217</v>
      </c>
      <c r="C3678" t="s">
        <v>37</v>
      </c>
      <c r="D3678" t="s">
        <v>11</v>
      </c>
      <c r="E3678" s="9">
        <v>64</v>
      </c>
      <c r="F3678" t="s">
        <v>32</v>
      </c>
      <c r="G3678" t="s">
        <v>18</v>
      </c>
      <c r="H3678" s="7">
        <v>42350</v>
      </c>
      <c r="I3678">
        <v>48456.480000000003</v>
      </c>
      <c r="K3678" s="7"/>
    </row>
    <row r="3679" spans="1:11">
      <c r="A3679">
        <v>300003678</v>
      </c>
      <c r="B3679" t="s">
        <v>90</v>
      </c>
      <c r="C3679" t="s">
        <v>305</v>
      </c>
      <c r="D3679" t="s">
        <v>11</v>
      </c>
      <c r="E3679" s="9">
        <v>34</v>
      </c>
      <c r="F3679" t="s">
        <v>23</v>
      </c>
      <c r="G3679" t="s">
        <v>13</v>
      </c>
      <c r="H3679" s="8">
        <v>42350</v>
      </c>
      <c r="I3679">
        <v>25458.38</v>
      </c>
      <c r="K3679" s="8"/>
    </row>
    <row r="3680" spans="1:11">
      <c r="A3680">
        <v>300003679</v>
      </c>
      <c r="B3680" t="s">
        <v>184</v>
      </c>
      <c r="C3680" t="s">
        <v>170</v>
      </c>
      <c r="D3680" t="s">
        <v>16</v>
      </c>
      <c r="E3680" s="9">
        <v>39</v>
      </c>
      <c r="F3680" t="s">
        <v>23</v>
      </c>
      <c r="G3680" t="s">
        <v>33</v>
      </c>
      <c r="H3680" s="7">
        <v>42350</v>
      </c>
      <c r="I3680">
        <v>25974.49</v>
      </c>
      <c r="K3680" s="7"/>
    </row>
    <row r="3681" spans="1:11">
      <c r="A3681">
        <v>100003680</v>
      </c>
      <c r="B3681" t="s">
        <v>34</v>
      </c>
      <c r="C3681" t="s">
        <v>259</v>
      </c>
      <c r="D3681" t="s">
        <v>16</v>
      </c>
      <c r="E3681" s="9">
        <v>42</v>
      </c>
      <c r="F3681" t="s">
        <v>12</v>
      </c>
      <c r="G3681" t="s">
        <v>13</v>
      </c>
      <c r="H3681" s="8">
        <v>42351</v>
      </c>
      <c r="I3681">
        <v>22087.64</v>
      </c>
      <c r="K3681" s="8"/>
    </row>
    <row r="3682" spans="1:11">
      <c r="A3682">
        <v>100003681</v>
      </c>
      <c r="B3682" t="s">
        <v>97</v>
      </c>
      <c r="C3682" t="s">
        <v>127</v>
      </c>
      <c r="D3682" t="s">
        <v>16</v>
      </c>
      <c r="E3682" s="9">
        <v>35</v>
      </c>
      <c r="F3682" t="s">
        <v>12</v>
      </c>
      <c r="G3682" t="s">
        <v>33</v>
      </c>
      <c r="H3682" s="7">
        <v>42351</v>
      </c>
      <c r="I3682">
        <v>16482.84</v>
      </c>
      <c r="K3682" s="7"/>
    </row>
    <row r="3683" spans="1:11">
      <c r="A3683">
        <v>100003682</v>
      </c>
      <c r="B3683" t="s">
        <v>137</v>
      </c>
      <c r="C3683" t="s">
        <v>233</v>
      </c>
      <c r="D3683" t="s">
        <v>11</v>
      </c>
      <c r="E3683" s="9">
        <v>28</v>
      </c>
      <c r="F3683" t="s">
        <v>12</v>
      </c>
      <c r="G3683" t="s">
        <v>13</v>
      </c>
      <c r="H3683" s="8">
        <v>42351</v>
      </c>
      <c r="I3683">
        <v>40037.599999999999</v>
      </c>
      <c r="K3683" s="8"/>
    </row>
    <row r="3684" spans="1:11">
      <c r="A3684">
        <v>100003683</v>
      </c>
      <c r="B3684" t="s">
        <v>137</v>
      </c>
      <c r="C3684" t="s">
        <v>201</v>
      </c>
      <c r="D3684" t="s">
        <v>11</v>
      </c>
      <c r="E3684" s="9">
        <v>33</v>
      </c>
      <c r="F3684" t="s">
        <v>12</v>
      </c>
      <c r="G3684" t="s">
        <v>13</v>
      </c>
      <c r="H3684" s="7">
        <v>42351</v>
      </c>
      <c r="I3684">
        <v>53759.34</v>
      </c>
      <c r="K3684" s="7"/>
    </row>
    <row r="3685" spans="1:11">
      <c r="A3685">
        <v>100003684</v>
      </c>
      <c r="B3685" t="s">
        <v>122</v>
      </c>
      <c r="C3685" t="s">
        <v>43</v>
      </c>
      <c r="D3685" t="s">
        <v>11</v>
      </c>
      <c r="E3685" s="9">
        <v>36</v>
      </c>
      <c r="F3685" t="s">
        <v>12</v>
      </c>
      <c r="G3685" t="s">
        <v>33</v>
      </c>
      <c r="H3685" s="8">
        <v>42351</v>
      </c>
      <c r="I3685">
        <v>13698.63</v>
      </c>
      <c r="K3685" s="8"/>
    </row>
    <row r="3686" spans="1:11">
      <c r="A3686">
        <v>100003685</v>
      </c>
      <c r="B3686" t="s">
        <v>255</v>
      </c>
      <c r="C3686" t="s">
        <v>270</v>
      </c>
      <c r="D3686" t="s">
        <v>11</v>
      </c>
      <c r="E3686" s="9">
        <v>27</v>
      </c>
      <c r="F3686" t="s">
        <v>12</v>
      </c>
      <c r="G3686" t="s">
        <v>13</v>
      </c>
      <c r="H3686" s="7">
        <v>42351</v>
      </c>
      <c r="I3686">
        <v>77898.09</v>
      </c>
      <c r="K3686" s="7"/>
    </row>
    <row r="3687" spans="1:11">
      <c r="A3687">
        <v>100003686</v>
      </c>
      <c r="B3687" t="s">
        <v>53</v>
      </c>
      <c r="C3687" t="s">
        <v>107</v>
      </c>
      <c r="D3687" t="s">
        <v>16</v>
      </c>
      <c r="E3687" s="9">
        <v>28</v>
      </c>
      <c r="F3687" t="s">
        <v>12</v>
      </c>
      <c r="G3687" t="s">
        <v>18</v>
      </c>
      <c r="H3687" s="8">
        <v>42351</v>
      </c>
      <c r="I3687">
        <v>16210.13</v>
      </c>
      <c r="K3687" s="8"/>
    </row>
    <row r="3688" spans="1:11">
      <c r="A3688">
        <v>100003687</v>
      </c>
      <c r="B3688" t="s">
        <v>34</v>
      </c>
      <c r="C3688" t="s">
        <v>237</v>
      </c>
      <c r="D3688" t="s">
        <v>16</v>
      </c>
      <c r="E3688" s="9">
        <v>33</v>
      </c>
      <c r="F3688" t="s">
        <v>12</v>
      </c>
      <c r="G3688" t="s">
        <v>13</v>
      </c>
      <c r="H3688" s="7">
        <v>42351</v>
      </c>
      <c r="I3688">
        <v>60116.4</v>
      </c>
      <c r="K3688" s="7"/>
    </row>
    <row r="3689" spans="1:11">
      <c r="A3689">
        <v>100003688</v>
      </c>
      <c r="B3689" t="s">
        <v>226</v>
      </c>
      <c r="C3689" t="s">
        <v>291</v>
      </c>
      <c r="D3689" t="s">
        <v>16</v>
      </c>
      <c r="E3689" s="9">
        <v>31</v>
      </c>
      <c r="F3689" t="s">
        <v>12</v>
      </c>
      <c r="G3689" t="s">
        <v>18</v>
      </c>
      <c r="H3689" s="8">
        <v>42351</v>
      </c>
      <c r="I3689">
        <v>29943.33</v>
      </c>
      <c r="K3689" s="8"/>
    </row>
    <row r="3690" spans="1:11">
      <c r="A3690">
        <v>100003689</v>
      </c>
      <c r="B3690" t="s">
        <v>40</v>
      </c>
      <c r="C3690" t="s">
        <v>129</v>
      </c>
      <c r="D3690" t="s">
        <v>11</v>
      </c>
      <c r="E3690" s="9">
        <v>36</v>
      </c>
      <c r="F3690" t="s">
        <v>12</v>
      </c>
      <c r="G3690" t="s">
        <v>13</v>
      </c>
      <c r="H3690" s="7">
        <v>42351</v>
      </c>
      <c r="I3690">
        <v>3629.45</v>
      </c>
      <c r="K3690" s="7"/>
    </row>
    <row r="3691" spans="1:11">
      <c r="A3691">
        <v>100003690</v>
      </c>
      <c r="B3691" t="s">
        <v>319</v>
      </c>
      <c r="C3691" t="s">
        <v>65</v>
      </c>
      <c r="D3691" t="s">
        <v>16</v>
      </c>
      <c r="E3691" s="9">
        <v>29</v>
      </c>
      <c r="F3691" t="s">
        <v>12</v>
      </c>
      <c r="G3691" t="s">
        <v>18</v>
      </c>
      <c r="H3691" s="8">
        <v>42351</v>
      </c>
      <c r="I3691">
        <v>18800.25</v>
      </c>
      <c r="K3691" s="8"/>
    </row>
    <row r="3692" spans="1:11">
      <c r="A3692">
        <v>200003691</v>
      </c>
      <c r="B3692" t="s">
        <v>314</v>
      </c>
      <c r="C3692" t="s">
        <v>59</v>
      </c>
      <c r="D3692" t="s">
        <v>16</v>
      </c>
      <c r="E3692" s="9">
        <v>53</v>
      </c>
      <c r="F3692" t="s">
        <v>32</v>
      </c>
      <c r="G3692" t="s">
        <v>33</v>
      </c>
      <c r="H3692" s="7">
        <v>42351</v>
      </c>
      <c r="I3692">
        <v>47265.41</v>
      </c>
      <c r="K3692" s="7"/>
    </row>
    <row r="3693" spans="1:11">
      <c r="A3693">
        <v>200003692</v>
      </c>
      <c r="B3693" t="s">
        <v>90</v>
      </c>
      <c r="C3693" t="s">
        <v>25</v>
      </c>
      <c r="D3693" t="s">
        <v>11</v>
      </c>
      <c r="E3693" s="9">
        <v>52</v>
      </c>
      <c r="F3693" t="s">
        <v>32</v>
      </c>
      <c r="G3693" t="s">
        <v>13</v>
      </c>
      <c r="H3693" s="8">
        <v>42351</v>
      </c>
      <c r="I3693">
        <v>14788.77</v>
      </c>
      <c r="K3693" s="8"/>
    </row>
    <row r="3694" spans="1:11">
      <c r="A3694">
        <v>200003693</v>
      </c>
      <c r="B3694" t="s">
        <v>199</v>
      </c>
      <c r="C3694" t="s">
        <v>95</v>
      </c>
      <c r="D3694" t="s">
        <v>11</v>
      </c>
      <c r="E3694" s="9">
        <v>37</v>
      </c>
      <c r="F3694" t="s">
        <v>32</v>
      </c>
      <c r="G3694" t="s">
        <v>18</v>
      </c>
      <c r="H3694" s="7">
        <v>42351</v>
      </c>
      <c r="I3694">
        <v>4368.71</v>
      </c>
      <c r="K3694" s="7"/>
    </row>
    <row r="3695" spans="1:11">
      <c r="A3695">
        <v>200003694</v>
      </c>
      <c r="B3695" t="s">
        <v>199</v>
      </c>
      <c r="C3695" t="s">
        <v>260</v>
      </c>
      <c r="D3695" t="s">
        <v>11</v>
      </c>
      <c r="E3695" s="9">
        <v>39</v>
      </c>
      <c r="F3695" t="s">
        <v>32</v>
      </c>
      <c r="G3695" t="s">
        <v>18</v>
      </c>
      <c r="H3695" s="8">
        <v>42351</v>
      </c>
      <c r="I3695">
        <v>37602.39</v>
      </c>
      <c r="K3695" s="8"/>
    </row>
    <row r="3696" spans="1:11">
      <c r="A3696">
        <v>200003695</v>
      </c>
      <c r="B3696" t="s">
        <v>145</v>
      </c>
      <c r="C3696" t="s">
        <v>22</v>
      </c>
      <c r="D3696" t="s">
        <v>11</v>
      </c>
      <c r="E3696" s="9">
        <v>49</v>
      </c>
      <c r="F3696" t="s">
        <v>32</v>
      </c>
      <c r="G3696" t="s">
        <v>33</v>
      </c>
      <c r="H3696" s="7">
        <v>42351</v>
      </c>
      <c r="I3696">
        <v>40878.43</v>
      </c>
      <c r="K3696" s="7"/>
    </row>
    <row r="3697" spans="1:11">
      <c r="A3697">
        <v>200003696</v>
      </c>
      <c r="B3697" t="s">
        <v>173</v>
      </c>
      <c r="C3697" t="s">
        <v>297</v>
      </c>
      <c r="D3697" t="s">
        <v>11</v>
      </c>
      <c r="E3697" s="9">
        <v>48</v>
      </c>
      <c r="F3697" t="s">
        <v>32</v>
      </c>
      <c r="G3697" t="s">
        <v>33</v>
      </c>
      <c r="H3697" s="8">
        <v>42351</v>
      </c>
      <c r="I3697">
        <v>46551.519999999997</v>
      </c>
      <c r="K3697" s="8"/>
    </row>
    <row r="3698" spans="1:11">
      <c r="A3698">
        <v>200003697</v>
      </c>
      <c r="B3698" t="s">
        <v>283</v>
      </c>
      <c r="C3698" t="s">
        <v>275</v>
      </c>
      <c r="D3698" t="s">
        <v>11</v>
      </c>
      <c r="E3698" s="9">
        <v>52</v>
      </c>
      <c r="F3698" t="s">
        <v>32</v>
      </c>
      <c r="G3698" t="s">
        <v>18</v>
      </c>
      <c r="H3698" s="7">
        <v>42351</v>
      </c>
      <c r="I3698">
        <v>19297.55</v>
      </c>
      <c r="K3698" s="7"/>
    </row>
    <row r="3699" spans="1:11">
      <c r="A3699">
        <v>200003698</v>
      </c>
      <c r="B3699" t="s">
        <v>188</v>
      </c>
      <c r="C3699" t="s">
        <v>88</v>
      </c>
      <c r="D3699" t="s">
        <v>11</v>
      </c>
      <c r="E3699" s="9">
        <v>50</v>
      </c>
      <c r="F3699" t="s">
        <v>32</v>
      </c>
      <c r="G3699" t="s">
        <v>18</v>
      </c>
      <c r="H3699" s="8">
        <v>42351</v>
      </c>
      <c r="I3699">
        <v>20655.580000000002</v>
      </c>
      <c r="K3699" s="8"/>
    </row>
    <row r="3700" spans="1:11">
      <c r="A3700">
        <v>200003699</v>
      </c>
      <c r="B3700" t="s">
        <v>112</v>
      </c>
      <c r="C3700" t="s">
        <v>286</v>
      </c>
      <c r="D3700" t="s">
        <v>11</v>
      </c>
      <c r="E3700" s="9">
        <v>48</v>
      </c>
      <c r="F3700" t="s">
        <v>32</v>
      </c>
      <c r="G3700" t="s">
        <v>18</v>
      </c>
      <c r="H3700" s="7">
        <v>42351</v>
      </c>
      <c r="I3700">
        <v>11035</v>
      </c>
      <c r="K3700" s="7"/>
    </row>
    <row r="3701" spans="1:11">
      <c r="A3701">
        <v>200003700</v>
      </c>
      <c r="B3701" t="s">
        <v>70</v>
      </c>
      <c r="C3701" t="s">
        <v>87</v>
      </c>
      <c r="D3701" t="s">
        <v>11</v>
      </c>
      <c r="E3701" s="9">
        <v>54</v>
      </c>
      <c r="F3701" t="s">
        <v>32</v>
      </c>
      <c r="G3701" t="s">
        <v>18</v>
      </c>
      <c r="H3701" s="8">
        <v>42351</v>
      </c>
      <c r="I3701">
        <v>26905.37</v>
      </c>
      <c r="K3701" s="8"/>
    </row>
    <row r="3702" spans="1:11">
      <c r="A3702">
        <v>200003701</v>
      </c>
      <c r="B3702" t="s">
        <v>110</v>
      </c>
      <c r="C3702" t="s">
        <v>167</v>
      </c>
      <c r="D3702" t="s">
        <v>16</v>
      </c>
      <c r="E3702" s="9">
        <v>53</v>
      </c>
      <c r="F3702" t="s">
        <v>32</v>
      </c>
      <c r="G3702" t="s">
        <v>33</v>
      </c>
      <c r="H3702" s="7">
        <v>42351</v>
      </c>
      <c r="I3702">
        <v>71809.45</v>
      </c>
      <c r="K3702" s="7"/>
    </row>
    <row r="3703" spans="1:11">
      <c r="A3703">
        <v>200003702</v>
      </c>
      <c r="B3703" t="s">
        <v>79</v>
      </c>
      <c r="C3703" t="s">
        <v>275</v>
      </c>
      <c r="D3703" t="s">
        <v>11</v>
      </c>
      <c r="E3703" s="9">
        <v>47</v>
      </c>
      <c r="F3703" t="s">
        <v>32</v>
      </c>
      <c r="G3703" t="s">
        <v>33</v>
      </c>
      <c r="H3703" s="8">
        <v>42351</v>
      </c>
      <c r="I3703">
        <v>37150.04</v>
      </c>
      <c r="K3703" s="8"/>
    </row>
    <row r="3704" spans="1:11">
      <c r="A3704">
        <v>200003703</v>
      </c>
      <c r="B3704" t="s">
        <v>24</v>
      </c>
      <c r="C3704" t="s">
        <v>222</v>
      </c>
      <c r="D3704" t="s">
        <v>16</v>
      </c>
      <c r="E3704" s="9">
        <v>28</v>
      </c>
      <c r="F3704" t="s">
        <v>32</v>
      </c>
      <c r="G3704" t="s">
        <v>33</v>
      </c>
      <c r="H3704" s="7">
        <v>42351</v>
      </c>
      <c r="I3704">
        <v>33797.54</v>
      </c>
      <c r="K3704" s="7"/>
    </row>
    <row r="3705" spans="1:11">
      <c r="A3705">
        <v>300003704</v>
      </c>
      <c r="B3705" t="s">
        <v>19</v>
      </c>
      <c r="C3705" t="s">
        <v>178</v>
      </c>
      <c r="D3705" t="s">
        <v>11</v>
      </c>
      <c r="E3705" s="9">
        <v>35</v>
      </c>
      <c r="F3705" t="s">
        <v>23</v>
      </c>
      <c r="G3705" t="s">
        <v>18</v>
      </c>
      <c r="H3705" s="8">
        <v>42351</v>
      </c>
      <c r="I3705">
        <v>12738.86</v>
      </c>
      <c r="K3705" s="8"/>
    </row>
    <row r="3706" spans="1:11">
      <c r="A3706">
        <v>300003705</v>
      </c>
      <c r="B3706" t="s">
        <v>304</v>
      </c>
      <c r="C3706" t="s">
        <v>270</v>
      </c>
      <c r="D3706" t="s">
        <v>16</v>
      </c>
      <c r="E3706" s="9">
        <v>39</v>
      </c>
      <c r="F3706" t="s">
        <v>23</v>
      </c>
      <c r="G3706" t="s">
        <v>13</v>
      </c>
      <c r="H3706" s="7">
        <v>42351</v>
      </c>
      <c r="I3706">
        <v>3810.47</v>
      </c>
      <c r="K3706" s="7"/>
    </row>
    <row r="3707" spans="1:11">
      <c r="A3707">
        <v>300003706</v>
      </c>
      <c r="B3707" t="s">
        <v>254</v>
      </c>
      <c r="C3707" t="s">
        <v>170</v>
      </c>
      <c r="D3707" t="s">
        <v>11</v>
      </c>
      <c r="E3707" s="9">
        <v>34</v>
      </c>
      <c r="F3707" t="s">
        <v>23</v>
      </c>
      <c r="G3707" t="s">
        <v>33</v>
      </c>
      <c r="H3707" s="8">
        <v>42351</v>
      </c>
      <c r="I3707">
        <v>15746.62</v>
      </c>
      <c r="K3707" s="8"/>
    </row>
    <row r="3708" spans="1:11">
      <c r="A3708">
        <v>300003707</v>
      </c>
      <c r="B3708" t="s">
        <v>36</v>
      </c>
      <c r="C3708" t="s">
        <v>307</v>
      </c>
      <c r="D3708" t="s">
        <v>11</v>
      </c>
      <c r="E3708" s="9">
        <v>35</v>
      </c>
      <c r="F3708" t="s">
        <v>23</v>
      </c>
      <c r="G3708" t="s">
        <v>33</v>
      </c>
      <c r="H3708" s="7">
        <v>42351</v>
      </c>
      <c r="I3708">
        <v>104813.21</v>
      </c>
      <c r="K3708" s="7"/>
    </row>
    <row r="3709" spans="1:11">
      <c r="A3709">
        <v>100003708</v>
      </c>
      <c r="B3709" t="s">
        <v>83</v>
      </c>
      <c r="C3709" t="s">
        <v>179</v>
      </c>
      <c r="D3709" t="s">
        <v>16</v>
      </c>
      <c r="E3709" s="9">
        <v>47</v>
      </c>
      <c r="F3709" t="s">
        <v>12</v>
      </c>
      <c r="G3709" t="s">
        <v>13</v>
      </c>
      <c r="H3709" s="8">
        <v>42352</v>
      </c>
      <c r="I3709">
        <v>64712.17</v>
      </c>
      <c r="K3709" s="8"/>
    </row>
    <row r="3710" spans="1:11">
      <c r="A3710">
        <v>100003709</v>
      </c>
      <c r="B3710" t="s">
        <v>147</v>
      </c>
      <c r="C3710" t="s">
        <v>297</v>
      </c>
      <c r="D3710" t="s">
        <v>11</v>
      </c>
      <c r="E3710" s="9">
        <v>24</v>
      </c>
      <c r="F3710" t="s">
        <v>12</v>
      </c>
      <c r="G3710" t="s">
        <v>13</v>
      </c>
      <c r="H3710" s="7">
        <v>42352</v>
      </c>
      <c r="I3710">
        <v>25781.13</v>
      </c>
      <c r="K3710" s="7"/>
    </row>
    <row r="3711" spans="1:11">
      <c r="A3711">
        <v>100003710</v>
      </c>
      <c r="B3711" t="s">
        <v>200</v>
      </c>
      <c r="C3711" t="s">
        <v>43</v>
      </c>
      <c r="D3711" t="s">
        <v>16</v>
      </c>
      <c r="E3711" s="9">
        <v>25</v>
      </c>
      <c r="F3711" t="s">
        <v>12</v>
      </c>
      <c r="G3711" t="s">
        <v>33</v>
      </c>
      <c r="H3711" s="8">
        <v>42352</v>
      </c>
      <c r="I3711">
        <v>39374.75</v>
      </c>
      <c r="K3711" s="8"/>
    </row>
    <row r="3712" spans="1:11">
      <c r="A3712">
        <v>100003711</v>
      </c>
      <c r="B3712" t="s">
        <v>102</v>
      </c>
      <c r="C3712" t="s">
        <v>129</v>
      </c>
      <c r="D3712" t="s">
        <v>16</v>
      </c>
      <c r="E3712" s="9">
        <v>39</v>
      </c>
      <c r="F3712" t="s">
        <v>12</v>
      </c>
      <c r="G3712" t="s">
        <v>13</v>
      </c>
      <c r="H3712" s="7">
        <v>42352</v>
      </c>
      <c r="I3712">
        <v>27715.599999999999</v>
      </c>
      <c r="K3712" s="7"/>
    </row>
    <row r="3713" spans="1:11">
      <c r="A3713">
        <v>100003712</v>
      </c>
      <c r="B3713" t="s">
        <v>262</v>
      </c>
      <c r="C3713" t="s">
        <v>216</v>
      </c>
      <c r="D3713" t="s">
        <v>16</v>
      </c>
      <c r="E3713" s="9">
        <v>41</v>
      </c>
      <c r="F3713" t="s">
        <v>12</v>
      </c>
      <c r="G3713" t="s">
        <v>13</v>
      </c>
      <c r="H3713" s="8">
        <v>42352</v>
      </c>
      <c r="I3713">
        <v>916.89</v>
      </c>
      <c r="K3713" s="8"/>
    </row>
    <row r="3714" spans="1:11">
      <c r="A3714">
        <v>100003713</v>
      </c>
      <c r="B3714" t="s">
        <v>83</v>
      </c>
      <c r="C3714" t="s">
        <v>136</v>
      </c>
      <c r="D3714" t="s">
        <v>16</v>
      </c>
      <c r="E3714" s="9">
        <v>35</v>
      </c>
      <c r="F3714" t="s">
        <v>12</v>
      </c>
      <c r="G3714" t="s">
        <v>13</v>
      </c>
      <c r="H3714" s="7">
        <v>42352</v>
      </c>
      <c r="I3714">
        <v>19857.59</v>
      </c>
      <c r="K3714" s="7"/>
    </row>
    <row r="3715" spans="1:11">
      <c r="A3715">
        <v>100003714</v>
      </c>
      <c r="B3715" t="s">
        <v>51</v>
      </c>
      <c r="C3715" t="s">
        <v>313</v>
      </c>
      <c r="D3715" t="s">
        <v>11</v>
      </c>
      <c r="E3715" s="9">
        <v>28</v>
      </c>
      <c r="F3715" t="s">
        <v>12</v>
      </c>
      <c r="G3715" t="s">
        <v>13</v>
      </c>
      <c r="H3715" s="8">
        <v>42352</v>
      </c>
      <c r="I3715">
        <v>51953.67</v>
      </c>
      <c r="K3715" s="8"/>
    </row>
    <row r="3716" spans="1:11">
      <c r="A3716">
        <v>100003715</v>
      </c>
      <c r="B3716" t="s">
        <v>300</v>
      </c>
      <c r="C3716" t="s">
        <v>238</v>
      </c>
      <c r="D3716" t="s">
        <v>16</v>
      </c>
      <c r="E3716" s="9">
        <v>36</v>
      </c>
      <c r="F3716" t="s">
        <v>12</v>
      </c>
      <c r="G3716" t="s">
        <v>13</v>
      </c>
      <c r="H3716" s="7">
        <v>42352</v>
      </c>
      <c r="I3716">
        <v>125690.43</v>
      </c>
      <c r="K3716" s="7"/>
    </row>
    <row r="3717" spans="1:11">
      <c r="A3717">
        <v>100003716</v>
      </c>
      <c r="B3717" t="s">
        <v>208</v>
      </c>
      <c r="C3717" t="s">
        <v>22</v>
      </c>
      <c r="D3717" t="s">
        <v>11</v>
      </c>
      <c r="E3717" s="9">
        <v>36</v>
      </c>
      <c r="F3717" t="s">
        <v>12</v>
      </c>
      <c r="G3717" t="s">
        <v>18</v>
      </c>
      <c r="H3717" s="8">
        <v>42352</v>
      </c>
      <c r="I3717">
        <v>46983.45</v>
      </c>
      <c r="K3717" s="8"/>
    </row>
    <row r="3718" spans="1:11">
      <c r="A3718">
        <v>200003717</v>
      </c>
      <c r="B3718" t="s">
        <v>234</v>
      </c>
      <c r="C3718" t="s">
        <v>152</v>
      </c>
      <c r="D3718" t="s">
        <v>11</v>
      </c>
      <c r="E3718" s="9">
        <v>38</v>
      </c>
      <c r="F3718" t="s">
        <v>32</v>
      </c>
      <c r="G3718" t="s">
        <v>33</v>
      </c>
      <c r="H3718" s="7">
        <v>42352</v>
      </c>
      <c r="I3718">
        <v>7218.79</v>
      </c>
      <c r="K3718" s="7"/>
    </row>
    <row r="3719" spans="1:11">
      <c r="A3719">
        <v>200003718</v>
      </c>
      <c r="B3719" t="s">
        <v>55</v>
      </c>
      <c r="C3719" t="s">
        <v>205</v>
      </c>
      <c r="D3719" t="s">
        <v>11</v>
      </c>
      <c r="E3719" s="9">
        <v>38</v>
      </c>
      <c r="F3719" t="s">
        <v>32</v>
      </c>
      <c r="G3719" t="s">
        <v>33</v>
      </c>
      <c r="H3719" s="8">
        <v>42352</v>
      </c>
      <c r="I3719">
        <v>54828.36</v>
      </c>
      <c r="K3719" s="8"/>
    </row>
    <row r="3720" spans="1:11">
      <c r="A3720">
        <v>200003719</v>
      </c>
      <c r="B3720" t="s">
        <v>133</v>
      </c>
      <c r="C3720" t="s">
        <v>269</v>
      </c>
      <c r="D3720" t="s">
        <v>11</v>
      </c>
      <c r="E3720" s="9">
        <v>48</v>
      </c>
      <c r="F3720" t="s">
        <v>32</v>
      </c>
      <c r="G3720" t="s">
        <v>18</v>
      </c>
      <c r="H3720" s="7">
        <v>42352</v>
      </c>
      <c r="I3720">
        <v>32412.76</v>
      </c>
      <c r="K3720" s="7"/>
    </row>
    <row r="3721" spans="1:11">
      <c r="A3721">
        <v>200003720</v>
      </c>
      <c r="B3721" t="s">
        <v>197</v>
      </c>
      <c r="C3721" t="s">
        <v>160</v>
      </c>
      <c r="D3721" t="s">
        <v>11</v>
      </c>
      <c r="E3721" s="9">
        <v>49</v>
      </c>
      <c r="F3721" t="s">
        <v>32</v>
      </c>
      <c r="G3721" t="s">
        <v>33</v>
      </c>
      <c r="H3721" s="8">
        <v>42352</v>
      </c>
      <c r="I3721">
        <v>19921.89</v>
      </c>
      <c r="K3721" s="8"/>
    </row>
    <row r="3722" spans="1:11">
      <c r="A3722">
        <v>200003721</v>
      </c>
      <c r="B3722" t="s">
        <v>273</v>
      </c>
      <c r="C3722" t="s">
        <v>216</v>
      </c>
      <c r="D3722" t="s">
        <v>11</v>
      </c>
      <c r="E3722" s="9">
        <v>57</v>
      </c>
      <c r="F3722" t="s">
        <v>32</v>
      </c>
      <c r="G3722" t="s">
        <v>18</v>
      </c>
      <c r="H3722" s="7">
        <v>42352</v>
      </c>
      <c r="I3722">
        <v>12857.71</v>
      </c>
      <c r="K3722" s="7"/>
    </row>
    <row r="3723" spans="1:11">
      <c r="A3723">
        <v>200003722</v>
      </c>
      <c r="B3723" t="s">
        <v>280</v>
      </c>
      <c r="C3723" t="s">
        <v>233</v>
      </c>
      <c r="D3723" t="s">
        <v>11</v>
      </c>
      <c r="E3723" s="9">
        <v>37</v>
      </c>
      <c r="F3723" t="s">
        <v>32</v>
      </c>
      <c r="G3723" t="s">
        <v>18</v>
      </c>
      <c r="H3723" s="8">
        <v>42352</v>
      </c>
      <c r="I3723">
        <v>9217.66</v>
      </c>
      <c r="K3723" s="8"/>
    </row>
    <row r="3724" spans="1:11">
      <c r="A3724">
        <v>200003723</v>
      </c>
      <c r="B3724" t="s">
        <v>152</v>
      </c>
      <c r="C3724" t="s">
        <v>233</v>
      </c>
      <c r="D3724" t="s">
        <v>11</v>
      </c>
      <c r="E3724" s="9">
        <v>61</v>
      </c>
      <c r="F3724" t="s">
        <v>32</v>
      </c>
      <c r="G3724" t="s">
        <v>18</v>
      </c>
      <c r="H3724" s="7">
        <v>42352</v>
      </c>
      <c r="I3724">
        <v>42052.1</v>
      </c>
      <c r="K3724" s="7"/>
    </row>
    <row r="3725" spans="1:11">
      <c r="A3725">
        <v>300003724</v>
      </c>
      <c r="B3725" t="s">
        <v>296</v>
      </c>
      <c r="C3725" t="s">
        <v>114</v>
      </c>
      <c r="D3725" t="s">
        <v>11</v>
      </c>
      <c r="E3725" s="9">
        <v>46</v>
      </c>
      <c r="F3725" t="s">
        <v>23</v>
      </c>
      <c r="G3725" t="s">
        <v>18</v>
      </c>
      <c r="H3725" s="8">
        <v>42352</v>
      </c>
      <c r="I3725">
        <v>3002.2</v>
      </c>
      <c r="K3725" s="8"/>
    </row>
    <row r="3726" spans="1:11">
      <c r="A3726">
        <v>300003725</v>
      </c>
      <c r="B3726" t="s">
        <v>268</v>
      </c>
      <c r="C3726" t="s">
        <v>274</v>
      </c>
      <c r="D3726" t="s">
        <v>16</v>
      </c>
      <c r="E3726" s="9">
        <v>36</v>
      </c>
      <c r="F3726" t="s">
        <v>23</v>
      </c>
      <c r="G3726" t="s">
        <v>13</v>
      </c>
      <c r="H3726" s="7">
        <v>42352</v>
      </c>
      <c r="I3726">
        <v>24781.08</v>
      </c>
      <c r="K3726" s="7"/>
    </row>
    <row r="3727" spans="1:11">
      <c r="A3727">
        <v>300003726</v>
      </c>
      <c r="B3727" t="s">
        <v>110</v>
      </c>
      <c r="C3727" t="s">
        <v>248</v>
      </c>
      <c r="D3727" t="s">
        <v>16</v>
      </c>
      <c r="E3727" s="9">
        <v>38</v>
      </c>
      <c r="F3727" t="s">
        <v>23</v>
      </c>
      <c r="G3727" t="s">
        <v>13</v>
      </c>
      <c r="H3727" s="8">
        <v>42352</v>
      </c>
      <c r="I3727">
        <v>30894.97</v>
      </c>
      <c r="K3727" s="8"/>
    </row>
    <row r="3728" spans="1:11">
      <c r="A3728">
        <v>100003727</v>
      </c>
      <c r="B3728" t="s">
        <v>177</v>
      </c>
      <c r="C3728" t="s">
        <v>230</v>
      </c>
      <c r="D3728" t="s">
        <v>11</v>
      </c>
      <c r="E3728" s="9">
        <v>31</v>
      </c>
      <c r="F3728" t="s">
        <v>12</v>
      </c>
      <c r="G3728" t="s">
        <v>13</v>
      </c>
      <c r="H3728" s="7">
        <v>42353</v>
      </c>
      <c r="I3728">
        <v>42049.89</v>
      </c>
      <c r="K3728" s="7"/>
    </row>
    <row r="3729" spans="1:11">
      <c r="A3729">
        <v>100003728</v>
      </c>
      <c r="B3729" t="s">
        <v>133</v>
      </c>
      <c r="C3729" t="s">
        <v>270</v>
      </c>
      <c r="D3729" t="s">
        <v>11</v>
      </c>
      <c r="E3729" s="9">
        <v>35</v>
      </c>
      <c r="F3729" t="s">
        <v>12</v>
      </c>
      <c r="G3729" t="s">
        <v>33</v>
      </c>
      <c r="H3729" s="8">
        <v>42353</v>
      </c>
      <c r="I3729">
        <v>26728</v>
      </c>
      <c r="K3729" s="8"/>
    </row>
    <row r="3730" spans="1:11">
      <c r="A3730">
        <v>100003729</v>
      </c>
      <c r="B3730" t="s">
        <v>159</v>
      </c>
      <c r="C3730" t="s">
        <v>248</v>
      </c>
      <c r="D3730" t="s">
        <v>11</v>
      </c>
      <c r="E3730" s="9">
        <v>33</v>
      </c>
      <c r="F3730" t="s">
        <v>12</v>
      </c>
      <c r="G3730" t="s">
        <v>13</v>
      </c>
      <c r="H3730" s="7">
        <v>42353</v>
      </c>
      <c r="I3730">
        <v>22448.82</v>
      </c>
      <c r="K3730" s="7"/>
    </row>
    <row r="3731" spans="1:11">
      <c r="A3731">
        <v>100003730</v>
      </c>
      <c r="B3731" t="s">
        <v>194</v>
      </c>
      <c r="C3731" t="s">
        <v>96</v>
      </c>
      <c r="D3731" t="s">
        <v>16</v>
      </c>
      <c r="E3731" s="9">
        <v>40</v>
      </c>
      <c r="F3731" t="s">
        <v>12</v>
      </c>
      <c r="G3731" t="s">
        <v>13</v>
      </c>
      <c r="H3731" s="8">
        <v>42353</v>
      </c>
      <c r="I3731">
        <v>30815.39</v>
      </c>
      <c r="K3731" s="8"/>
    </row>
    <row r="3732" spans="1:11">
      <c r="A3732">
        <v>100003731</v>
      </c>
      <c r="B3732" t="s">
        <v>194</v>
      </c>
      <c r="C3732" t="s">
        <v>59</v>
      </c>
      <c r="D3732" t="s">
        <v>16</v>
      </c>
      <c r="E3732" s="9">
        <v>42</v>
      </c>
      <c r="F3732" t="s">
        <v>12</v>
      </c>
      <c r="G3732" t="s">
        <v>13</v>
      </c>
      <c r="H3732" s="7">
        <v>42353</v>
      </c>
      <c r="I3732">
        <v>85207.93</v>
      </c>
      <c r="K3732" s="7"/>
    </row>
    <row r="3733" spans="1:11">
      <c r="A3733">
        <v>100003732</v>
      </c>
      <c r="B3733" t="s">
        <v>244</v>
      </c>
      <c r="C3733" t="s">
        <v>52</v>
      </c>
      <c r="D3733" t="s">
        <v>16</v>
      </c>
      <c r="E3733" s="9">
        <v>34</v>
      </c>
      <c r="F3733" t="s">
        <v>12</v>
      </c>
      <c r="G3733" t="s">
        <v>13</v>
      </c>
      <c r="H3733" s="8">
        <v>42353</v>
      </c>
      <c r="I3733">
        <v>143879.62</v>
      </c>
      <c r="K3733" s="8"/>
    </row>
    <row r="3734" spans="1:11">
      <c r="A3734">
        <v>100003733</v>
      </c>
      <c r="B3734" t="s">
        <v>229</v>
      </c>
      <c r="C3734" t="s">
        <v>222</v>
      </c>
      <c r="D3734" t="s">
        <v>16</v>
      </c>
      <c r="E3734" s="9">
        <v>28</v>
      </c>
      <c r="F3734" t="s">
        <v>12</v>
      </c>
      <c r="G3734" t="s">
        <v>18</v>
      </c>
      <c r="H3734" s="7">
        <v>42353</v>
      </c>
      <c r="I3734">
        <v>13618.72</v>
      </c>
      <c r="K3734" s="7"/>
    </row>
    <row r="3735" spans="1:11">
      <c r="A3735">
        <v>100003734</v>
      </c>
      <c r="B3735" t="s">
        <v>280</v>
      </c>
      <c r="C3735" t="s">
        <v>107</v>
      </c>
      <c r="D3735" t="s">
        <v>11</v>
      </c>
      <c r="E3735" s="9">
        <v>43</v>
      </c>
      <c r="F3735" t="s">
        <v>12</v>
      </c>
      <c r="G3735" t="s">
        <v>13</v>
      </c>
      <c r="H3735" s="8">
        <v>42353</v>
      </c>
      <c r="I3735">
        <v>91470.56</v>
      </c>
      <c r="K3735" s="8"/>
    </row>
    <row r="3736" spans="1:11">
      <c r="A3736">
        <v>100003735</v>
      </c>
      <c r="B3736" t="s">
        <v>103</v>
      </c>
      <c r="C3736" t="s">
        <v>281</v>
      </c>
      <c r="D3736" t="s">
        <v>11</v>
      </c>
      <c r="E3736" s="9">
        <v>32</v>
      </c>
      <c r="F3736" t="s">
        <v>12</v>
      </c>
      <c r="G3736" t="s">
        <v>13</v>
      </c>
      <c r="H3736" s="7">
        <v>42353</v>
      </c>
      <c r="I3736">
        <v>63106.43</v>
      </c>
      <c r="K3736" s="7"/>
    </row>
    <row r="3737" spans="1:11">
      <c r="A3737">
        <v>100003736</v>
      </c>
      <c r="B3737" t="s">
        <v>111</v>
      </c>
      <c r="C3737" t="s">
        <v>305</v>
      </c>
      <c r="D3737" t="s">
        <v>11</v>
      </c>
      <c r="E3737" s="9">
        <v>33</v>
      </c>
      <c r="F3737" t="s">
        <v>12</v>
      </c>
      <c r="G3737" t="s">
        <v>13</v>
      </c>
      <c r="H3737" s="8">
        <v>42353</v>
      </c>
      <c r="I3737">
        <v>66452.639999999999</v>
      </c>
      <c r="K3737" s="8"/>
    </row>
    <row r="3738" spans="1:11">
      <c r="A3738">
        <v>100003737</v>
      </c>
      <c r="B3738" t="s">
        <v>206</v>
      </c>
      <c r="C3738" t="s">
        <v>209</v>
      </c>
      <c r="D3738" t="s">
        <v>11</v>
      </c>
      <c r="E3738" s="9">
        <v>34</v>
      </c>
      <c r="F3738" t="s">
        <v>12</v>
      </c>
      <c r="G3738" t="s">
        <v>13</v>
      </c>
      <c r="H3738" s="7">
        <v>42353</v>
      </c>
      <c r="I3738">
        <v>3531.34</v>
      </c>
      <c r="K3738" s="7"/>
    </row>
    <row r="3739" spans="1:11">
      <c r="A3739">
        <v>100003738</v>
      </c>
      <c r="B3739" t="s">
        <v>137</v>
      </c>
      <c r="C3739" t="s">
        <v>326</v>
      </c>
      <c r="D3739" t="s">
        <v>11</v>
      </c>
      <c r="E3739" s="9">
        <v>24</v>
      </c>
      <c r="F3739" t="s">
        <v>12</v>
      </c>
      <c r="G3739" t="s">
        <v>13</v>
      </c>
      <c r="H3739" s="8">
        <v>42353</v>
      </c>
      <c r="I3739">
        <v>65072.93</v>
      </c>
      <c r="K3739" s="8"/>
    </row>
    <row r="3740" spans="1:11">
      <c r="A3740">
        <v>200003739</v>
      </c>
      <c r="B3740" t="s">
        <v>273</v>
      </c>
      <c r="C3740" t="s">
        <v>142</v>
      </c>
      <c r="D3740" t="s">
        <v>11</v>
      </c>
      <c r="E3740" s="9">
        <v>57</v>
      </c>
      <c r="F3740" t="s">
        <v>32</v>
      </c>
      <c r="G3740" t="s">
        <v>18</v>
      </c>
      <c r="H3740" s="7">
        <v>42353</v>
      </c>
      <c r="I3740">
        <v>63027.96</v>
      </c>
      <c r="K3740" s="7"/>
    </row>
    <row r="3741" spans="1:11">
      <c r="A3741">
        <v>200003740</v>
      </c>
      <c r="B3741" t="s">
        <v>316</v>
      </c>
      <c r="C3741" t="s">
        <v>142</v>
      </c>
      <c r="D3741" t="s">
        <v>16</v>
      </c>
      <c r="E3741" s="9">
        <v>42</v>
      </c>
      <c r="F3741" t="s">
        <v>32</v>
      </c>
      <c r="G3741" t="s">
        <v>18</v>
      </c>
      <c r="H3741" s="8">
        <v>42353</v>
      </c>
      <c r="I3741">
        <v>15178.11</v>
      </c>
      <c r="K3741" s="8"/>
    </row>
    <row r="3742" spans="1:11">
      <c r="A3742">
        <v>200003741</v>
      </c>
      <c r="B3742" t="s">
        <v>103</v>
      </c>
      <c r="C3742" t="s">
        <v>153</v>
      </c>
      <c r="D3742" t="s">
        <v>11</v>
      </c>
      <c r="E3742" s="9">
        <v>49</v>
      </c>
      <c r="F3742" t="s">
        <v>32</v>
      </c>
      <c r="G3742" t="s">
        <v>33</v>
      </c>
      <c r="H3742" s="7">
        <v>42353</v>
      </c>
      <c r="I3742">
        <v>85903.66</v>
      </c>
      <c r="K3742" s="7"/>
    </row>
    <row r="3743" spans="1:11">
      <c r="A3743">
        <v>300003742</v>
      </c>
      <c r="B3743" t="s">
        <v>141</v>
      </c>
      <c r="C3743" t="s">
        <v>45</v>
      </c>
      <c r="D3743" t="s">
        <v>11</v>
      </c>
      <c r="E3743" s="9">
        <v>22</v>
      </c>
      <c r="F3743" t="s">
        <v>23</v>
      </c>
      <c r="G3743" t="s">
        <v>13</v>
      </c>
      <c r="H3743" s="8">
        <v>42353</v>
      </c>
      <c r="I3743">
        <v>40668.9</v>
      </c>
      <c r="K3743" s="8"/>
    </row>
    <row r="3744" spans="1:11">
      <c r="A3744">
        <v>400003743</v>
      </c>
      <c r="B3744" t="s">
        <v>202</v>
      </c>
      <c r="C3744" t="s">
        <v>157</v>
      </c>
      <c r="D3744" t="s">
        <v>11</v>
      </c>
      <c r="E3744" s="9">
        <v>19</v>
      </c>
      <c r="F3744" t="s">
        <v>17</v>
      </c>
      <c r="G3744" t="s">
        <v>33</v>
      </c>
      <c r="H3744" s="7">
        <v>42353</v>
      </c>
      <c r="I3744">
        <v>50562.98</v>
      </c>
      <c r="K3744" s="7"/>
    </row>
    <row r="3745" spans="1:11">
      <c r="A3745">
        <v>100003744</v>
      </c>
      <c r="B3745" t="s">
        <v>235</v>
      </c>
      <c r="C3745" t="s">
        <v>20</v>
      </c>
      <c r="D3745" t="s">
        <v>11</v>
      </c>
      <c r="E3745" s="9">
        <v>36</v>
      </c>
      <c r="F3745" t="s">
        <v>12</v>
      </c>
      <c r="G3745" t="s">
        <v>13</v>
      </c>
      <c r="H3745" s="8">
        <v>42354</v>
      </c>
      <c r="I3745">
        <v>61027.02</v>
      </c>
      <c r="K3745" s="8"/>
    </row>
    <row r="3746" spans="1:11">
      <c r="A3746">
        <v>100003745</v>
      </c>
      <c r="B3746" t="s">
        <v>323</v>
      </c>
      <c r="C3746" t="s">
        <v>290</v>
      </c>
      <c r="D3746" t="s">
        <v>16</v>
      </c>
      <c r="E3746" s="9">
        <v>26</v>
      </c>
      <c r="F3746" t="s">
        <v>12</v>
      </c>
      <c r="G3746" t="s">
        <v>13</v>
      </c>
      <c r="H3746" s="7">
        <v>42354</v>
      </c>
      <c r="I3746">
        <v>3974.04</v>
      </c>
      <c r="K3746" s="7"/>
    </row>
    <row r="3747" spans="1:11">
      <c r="A3747">
        <v>100003746</v>
      </c>
      <c r="B3747" t="s">
        <v>115</v>
      </c>
      <c r="C3747" t="s">
        <v>78</v>
      </c>
      <c r="D3747" t="s">
        <v>16</v>
      </c>
      <c r="E3747" s="9">
        <v>35</v>
      </c>
      <c r="F3747" t="s">
        <v>12</v>
      </c>
      <c r="G3747" t="s">
        <v>13</v>
      </c>
      <c r="H3747" s="8">
        <v>42354</v>
      </c>
      <c r="I3747">
        <v>28148.92</v>
      </c>
      <c r="K3747" s="8"/>
    </row>
    <row r="3748" spans="1:11">
      <c r="A3748">
        <v>100003747</v>
      </c>
      <c r="B3748" t="s">
        <v>184</v>
      </c>
      <c r="C3748" t="s">
        <v>116</v>
      </c>
      <c r="D3748" t="s">
        <v>16</v>
      </c>
      <c r="E3748" s="9">
        <v>37</v>
      </c>
      <c r="F3748" t="s">
        <v>12</v>
      </c>
      <c r="G3748" t="s">
        <v>18</v>
      </c>
      <c r="H3748" s="7">
        <v>42354</v>
      </c>
      <c r="I3748">
        <v>61138.64</v>
      </c>
      <c r="K3748" s="7"/>
    </row>
    <row r="3749" spans="1:11">
      <c r="A3749">
        <v>100003748</v>
      </c>
      <c r="B3749" t="s">
        <v>89</v>
      </c>
      <c r="C3749" t="s">
        <v>237</v>
      </c>
      <c r="D3749" t="s">
        <v>11</v>
      </c>
      <c r="E3749" s="9">
        <v>38</v>
      </c>
      <c r="F3749" t="s">
        <v>12</v>
      </c>
      <c r="G3749" t="s">
        <v>33</v>
      </c>
      <c r="H3749" s="8">
        <v>42354</v>
      </c>
      <c r="I3749">
        <v>56516.639999999999</v>
      </c>
      <c r="K3749" s="8"/>
    </row>
    <row r="3750" spans="1:11">
      <c r="A3750">
        <v>100003749</v>
      </c>
      <c r="B3750" t="s">
        <v>308</v>
      </c>
      <c r="C3750" t="s">
        <v>167</v>
      </c>
      <c r="D3750" t="s">
        <v>16</v>
      </c>
      <c r="E3750" s="9">
        <v>45</v>
      </c>
      <c r="F3750" t="s">
        <v>12</v>
      </c>
      <c r="G3750" t="s">
        <v>33</v>
      </c>
      <c r="H3750" s="7">
        <v>42354</v>
      </c>
      <c r="I3750">
        <v>62529.53</v>
      </c>
      <c r="K3750" s="7"/>
    </row>
    <row r="3751" spans="1:11">
      <c r="A3751">
        <v>100003750</v>
      </c>
      <c r="B3751" t="s">
        <v>70</v>
      </c>
      <c r="C3751" t="s">
        <v>144</v>
      </c>
      <c r="D3751" t="s">
        <v>11</v>
      </c>
      <c r="E3751" s="9">
        <v>29</v>
      </c>
      <c r="F3751" t="s">
        <v>12</v>
      </c>
      <c r="G3751" t="s">
        <v>13</v>
      </c>
      <c r="H3751" s="8">
        <v>42354</v>
      </c>
      <c r="I3751">
        <v>27985.16</v>
      </c>
      <c r="K3751" s="8"/>
    </row>
    <row r="3752" spans="1:11">
      <c r="A3752">
        <v>100003751</v>
      </c>
      <c r="B3752" t="s">
        <v>161</v>
      </c>
      <c r="C3752" t="s">
        <v>274</v>
      </c>
      <c r="D3752" t="s">
        <v>16</v>
      </c>
      <c r="E3752" s="9">
        <v>37</v>
      </c>
      <c r="F3752" t="s">
        <v>12</v>
      </c>
      <c r="G3752" t="s">
        <v>13</v>
      </c>
      <c r="H3752" s="7">
        <v>42354</v>
      </c>
      <c r="I3752">
        <v>81383.210000000006</v>
      </c>
      <c r="K3752" s="7"/>
    </row>
    <row r="3753" spans="1:11">
      <c r="A3753">
        <v>100003752</v>
      </c>
      <c r="B3753" t="s">
        <v>53</v>
      </c>
      <c r="C3753" t="s">
        <v>43</v>
      </c>
      <c r="D3753" t="s">
        <v>16</v>
      </c>
      <c r="E3753" s="9">
        <v>33</v>
      </c>
      <c r="F3753" t="s">
        <v>12</v>
      </c>
      <c r="G3753" t="s">
        <v>13</v>
      </c>
      <c r="H3753" s="8">
        <v>42354</v>
      </c>
      <c r="I3753">
        <v>48715.23</v>
      </c>
      <c r="K3753" s="8"/>
    </row>
    <row r="3754" spans="1:11">
      <c r="A3754">
        <v>100003753</v>
      </c>
      <c r="B3754" t="s">
        <v>264</v>
      </c>
      <c r="C3754" t="s">
        <v>222</v>
      </c>
      <c r="D3754" t="s">
        <v>11</v>
      </c>
      <c r="E3754" s="9">
        <v>30</v>
      </c>
      <c r="F3754" t="s">
        <v>12</v>
      </c>
      <c r="G3754" t="s">
        <v>18</v>
      </c>
      <c r="H3754" s="7">
        <v>42354</v>
      </c>
      <c r="I3754">
        <v>6983.32</v>
      </c>
      <c r="K3754" s="7"/>
    </row>
    <row r="3755" spans="1:11">
      <c r="A3755">
        <v>100003754</v>
      </c>
      <c r="B3755" t="s">
        <v>51</v>
      </c>
      <c r="C3755" t="s">
        <v>132</v>
      </c>
      <c r="D3755" t="s">
        <v>11</v>
      </c>
      <c r="E3755" s="9">
        <v>36</v>
      </c>
      <c r="F3755" t="s">
        <v>12</v>
      </c>
      <c r="G3755" t="s">
        <v>13</v>
      </c>
      <c r="H3755" s="8">
        <v>42354</v>
      </c>
      <c r="I3755">
        <v>66519.95</v>
      </c>
      <c r="K3755" s="8"/>
    </row>
    <row r="3756" spans="1:11">
      <c r="A3756">
        <v>100003755</v>
      </c>
      <c r="B3756" t="s">
        <v>256</v>
      </c>
      <c r="C3756" t="s">
        <v>151</v>
      </c>
      <c r="D3756" t="s">
        <v>16</v>
      </c>
      <c r="E3756" s="9">
        <v>45</v>
      </c>
      <c r="F3756" t="s">
        <v>12</v>
      </c>
      <c r="G3756" t="s">
        <v>13</v>
      </c>
      <c r="H3756" s="7">
        <v>42354</v>
      </c>
      <c r="I3756">
        <v>69805.45</v>
      </c>
      <c r="K3756" s="7"/>
    </row>
    <row r="3757" spans="1:11">
      <c r="A3757">
        <v>100003756</v>
      </c>
      <c r="B3757" t="s">
        <v>321</v>
      </c>
      <c r="C3757" t="s">
        <v>93</v>
      </c>
      <c r="D3757" t="s">
        <v>16</v>
      </c>
      <c r="E3757" s="9">
        <v>45</v>
      </c>
      <c r="F3757" t="s">
        <v>12</v>
      </c>
      <c r="G3757" t="s">
        <v>13</v>
      </c>
      <c r="H3757" s="8">
        <v>42354</v>
      </c>
      <c r="I3757">
        <v>1439.15</v>
      </c>
      <c r="K3757" s="8"/>
    </row>
    <row r="3758" spans="1:11">
      <c r="A3758">
        <v>100003757</v>
      </c>
      <c r="B3758" t="s">
        <v>115</v>
      </c>
      <c r="C3758" t="s">
        <v>167</v>
      </c>
      <c r="D3758" t="s">
        <v>16</v>
      </c>
      <c r="E3758" s="9">
        <v>38</v>
      </c>
      <c r="F3758" t="s">
        <v>12</v>
      </c>
      <c r="G3758" t="s">
        <v>13</v>
      </c>
      <c r="H3758" s="7">
        <v>42354</v>
      </c>
      <c r="I3758">
        <v>3876.27</v>
      </c>
      <c r="K3758" s="7"/>
    </row>
    <row r="3759" spans="1:11">
      <c r="A3759">
        <v>100003758</v>
      </c>
      <c r="B3759" t="s">
        <v>159</v>
      </c>
      <c r="C3759" t="s">
        <v>156</v>
      </c>
      <c r="D3759" t="s">
        <v>11</v>
      </c>
      <c r="E3759" s="9">
        <v>30</v>
      </c>
      <c r="F3759" t="s">
        <v>12</v>
      </c>
      <c r="G3759" t="s">
        <v>13</v>
      </c>
      <c r="H3759" s="8">
        <v>42354</v>
      </c>
      <c r="I3759">
        <v>29433.64</v>
      </c>
      <c r="K3759" s="8"/>
    </row>
    <row r="3760" spans="1:11">
      <c r="A3760">
        <v>100003759</v>
      </c>
      <c r="B3760" t="s">
        <v>68</v>
      </c>
      <c r="C3760" t="s">
        <v>285</v>
      </c>
      <c r="D3760" t="s">
        <v>16</v>
      </c>
      <c r="E3760" s="9">
        <v>34</v>
      </c>
      <c r="F3760" t="s">
        <v>12</v>
      </c>
      <c r="G3760" t="s">
        <v>18</v>
      </c>
      <c r="H3760" s="7">
        <v>42354</v>
      </c>
      <c r="I3760">
        <v>91324.46</v>
      </c>
      <c r="K3760" s="7"/>
    </row>
    <row r="3761" spans="1:11">
      <c r="A3761">
        <v>100003760</v>
      </c>
      <c r="B3761" t="s">
        <v>131</v>
      </c>
      <c r="C3761" t="s">
        <v>272</v>
      </c>
      <c r="D3761" t="s">
        <v>16</v>
      </c>
      <c r="E3761" s="9">
        <v>27</v>
      </c>
      <c r="F3761" t="s">
        <v>12</v>
      </c>
      <c r="G3761" t="s">
        <v>13</v>
      </c>
      <c r="H3761" s="8">
        <v>42354</v>
      </c>
      <c r="I3761">
        <v>42901.77</v>
      </c>
      <c r="K3761" s="8"/>
    </row>
    <row r="3762" spans="1:11">
      <c r="A3762">
        <v>100003761</v>
      </c>
      <c r="B3762" t="s">
        <v>118</v>
      </c>
      <c r="C3762" t="s">
        <v>325</v>
      </c>
      <c r="D3762" t="s">
        <v>11</v>
      </c>
      <c r="E3762" s="9">
        <v>33</v>
      </c>
      <c r="F3762" t="s">
        <v>12</v>
      </c>
      <c r="G3762" t="s">
        <v>13</v>
      </c>
      <c r="H3762" s="7">
        <v>42354</v>
      </c>
      <c r="I3762">
        <v>116577.61</v>
      </c>
      <c r="K3762" s="7"/>
    </row>
    <row r="3763" spans="1:11">
      <c r="A3763">
        <v>100003762</v>
      </c>
      <c r="B3763" t="s">
        <v>40</v>
      </c>
      <c r="C3763" t="s">
        <v>307</v>
      </c>
      <c r="D3763" t="s">
        <v>11</v>
      </c>
      <c r="E3763" s="9">
        <v>35</v>
      </c>
      <c r="F3763" t="s">
        <v>12</v>
      </c>
      <c r="G3763" t="s">
        <v>13</v>
      </c>
      <c r="H3763" s="8">
        <v>42354</v>
      </c>
      <c r="I3763">
        <v>34377.4</v>
      </c>
      <c r="K3763" s="8"/>
    </row>
    <row r="3764" spans="1:11">
      <c r="A3764">
        <v>100003763</v>
      </c>
      <c r="B3764" t="s">
        <v>324</v>
      </c>
      <c r="C3764" t="s">
        <v>49</v>
      </c>
      <c r="D3764" t="s">
        <v>16</v>
      </c>
      <c r="E3764" s="9">
        <v>44</v>
      </c>
      <c r="F3764" t="s">
        <v>12</v>
      </c>
      <c r="G3764" t="s">
        <v>33</v>
      </c>
      <c r="H3764" s="7">
        <v>42354</v>
      </c>
      <c r="I3764">
        <v>14563.87</v>
      </c>
      <c r="K3764" s="7"/>
    </row>
    <row r="3765" spans="1:11">
      <c r="A3765">
        <v>100003764</v>
      </c>
      <c r="B3765" t="s">
        <v>194</v>
      </c>
      <c r="C3765" t="s">
        <v>127</v>
      </c>
      <c r="D3765" t="s">
        <v>16</v>
      </c>
      <c r="E3765" s="9">
        <v>34</v>
      </c>
      <c r="F3765" t="s">
        <v>12</v>
      </c>
      <c r="G3765" t="s">
        <v>18</v>
      </c>
      <c r="H3765" s="8">
        <v>42354</v>
      </c>
      <c r="I3765">
        <v>41064.35</v>
      </c>
      <c r="K3765" s="8"/>
    </row>
    <row r="3766" spans="1:11">
      <c r="A3766">
        <v>100003765</v>
      </c>
      <c r="B3766" t="s">
        <v>327</v>
      </c>
      <c r="C3766" t="s">
        <v>136</v>
      </c>
      <c r="D3766" t="s">
        <v>11</v>
      </c>
      <c r="E3766" s="9">
        <v>33</v>
      </c>
      <c r="F3766" t="s">
        <v>12</v>
      </c>
      <c r="G3766" t="s">
        <v>13</v>
      </c>
      <c r="H3766" s="7">
        <v>42354</v>
      </c>
      <c r="I3766">
        <v>69416.179999999993</v>
      </c>
      <c r="K3766" s="7"/>
    </row>
    <row r="3767" spans="1:11">
      <c r="A3767">
        <v>200003766</v>
      </c>
      <c r="B3767" t="s">
        <v>131</v>
      </c>
      <c r="C3767" t="s">
        <v>144</v>
      </c>
      <c r="D3767" t="s">
        <v>16</v>
      </c>
      <c r="E3767" s="9">
        <v>60</v>
      </c>
      <c r="F3767" t="s">
        <v>32</v>
      </c>
      <c r="G3767" t="s">
        <v>33</v>
      </c>
      <c r="H3767" s="8">
        <v>42354</v>
      </c>
      <c r="I3767">
        <v>67913.86</v>
      </c>
      <c r="K3767" s="8"/>
    </row>
    <row r="3768" spans="1:11">
      <c r="A3768">
        <v>200003767</v>
      </c>
      <c r="B3768" t="s">
        <v>324</v>
      </c>
      <c r="C3768" t="s">
        <v>167</v>
      </c>
      <c r="D3768" t="s">
        <v>16</v>
      </c>
      <c r="E3768" s="9">
        <v>40</v>
      </c>
      <c r="F3768" t="s">
        <v>32</v>
      </c>
      <c r="G3768" t="s">
        <v>33</v>
      </c>
      <c r="H3768" s="7">
        <v>42354</v>
      </c>
      <c r="I3768">
        <v>16469.27</v>
      </c>
      <c r="K3768" s="7"/>
    </row>
    <row r="3769" spans="1:11">
      <c r="A3769">
        <v>200003768</v>
      </c>
      <c r="B3769" t="s">
        <v>293</v>
      </c>
      <c r="C3769" t="s">
        <v>67</v>
      </c>
      <c r="D3769" t="s">
        <v>11</v>
      </c>
      <c r="E3769" s="9">
        <v>56</v>
      </c>
      <c r="F3769" t="s">
        <v>32</v>
      </c>
      <c r="G3769" t="s">
        <v>18</v>
      </c>
      <c r="H3769" s="8">
        <v>42354</v>
      </c>
      <c r="I3769">
        <v>93164.29</v>
      </c>
      <c r="K3769" s="8"/>
    </row>
    <row r="3770" spans="1:11">
      <c r="A3770">
        <v>200003769</v>
      </c>
      <c r="B3770" t="s">
        <v>303</v>
      </c>
      <c r="C3770" t="s">
        <v>286</v>
      </c>
      <c r="D3770" t="s">
        <v>11</v>
      </c>
      <c r="E3770" s="9">
        <v>61</v>
      </c>
      <c r="F3770" t="s">
        <v>32</v>
      </c>
      <c r="G3770" t="s">
        <v>33</v>
      </c>
      <c r="H3770" s="7">
        <v>42354</v>
      </c>
      <c r="I3770">
        <v>55421.45</v>
      </c>
      <c r="K3770" s="7"/>
    </row>
    <row r="3771" spans="1:11">
      <c r="A3771">
        <v>200003770</v>
      </c>
      <c r="B3771" t="s">
        <v>102</v>
      </c>
      <c r="C3771" t="s">
        <v>29</v>
      </c>
      <c r="D3771" t="s">
        <v>16</v>
      </c>
      <c r="E3771" s="9">
        <v>55</v>
      </c>
      <c r="F3771" t="s">
        <v>32</v>
      </c>
      <c r="G3771" t="s">
        <v>18</v>
      </c>
      <c r="H3771" s="8">
        <v>42354</v>
      </c>
      <c r="I3771">
        <v>33460.57</v>
      </c>
      <c r="K3771" s="8"/>
    </row>
    <row r="3772" spans="1:11">
      <c r="A3772">
        <v>200003771</v>
      </c>
      <c r="B3772" t="s">
        <v>145</v>
      </c>
      <c r="C3772" t="s">
        <v>212</v>
      </c>
      <c r="D3772" t="s">
        <v>11</v>
      </c>
      <c r="E3772" s="9">
        <v>25</v>
      </c>
      <c r="F3772" t="s">
        <v>32</v>
      </c>
      <c r="G3772" t="s">
        <v>18</v>
      </c>
      <c r="H3772" s="7">
        <v>42354</v>
      </c>
      <c r="I3772">
        <v>12294.54</v>
      </c>
      <c r="K3772" s="7"/>
    </row>
    <row r="3773" spans="1:11">
      <c r="A3773">
        <v>200003772</v>
      </c>
      <c r="B3773" t="s">
        <v>303</v>
      </c>
      <c r="C3773" t="s">
        <v>15</v>
      </c>
      <c r="D3773" t="s">
        <v>11</v>
      </c>
      <c r="E3773" s="9">
        <v>53</v>
      </c>
      <c r="F3773" t="s">
        <v>32</v>
      </c>
      <c r="G3773" t="s">
        <v>18</v>
      </c>
      <c r="H3773" s="8">
        <v>42354</v>
      </c>
      <c r="I3773">
        <v>114059.89</v>
      </c>
      <c r="K3773" s="8"/>
    </row>
    <row r="3774" spans="1:11">
      <c r="A3774">
        <v>200003773</v>
      </c>
      <c r="B3774" t="s">
        <v>21</v>
      </c>
      <c r="C3774" t="s">
        <v>288</v>
      </c>
      <c r="D3774" t="s">
        <v>11</v>
      </c>
      <c r="E3774" s="9">
        <v>43</v>
      </c>
      <c r="F3774" t="s">
        <v>32</v>
      </c>
      <c r="G3774" t="s">
        <v>18</v>
      </c>
      <c r="H3774" s="7">
        <v>42354</v>
      </c>
      <c r="I3774">
        <v>44371.75</v>
      </c>
      <c r="K3774" s="7"/>
    </row>
    <row r="3775" spans="1:11">
      <c r="A3775">
        <v>200003774</v>
      </c>
      <c r="B3775" t="s">
        <v>145</v>
      </c>
      <c r="C3775" t="s">
        <v>219</v>
      </c>
      <c r="D3775" t="s">
        <v>11</v>
      </c>
      <c r="E3775" s="9">
        <v>51</v>
      </c>
      <c r="F3775" t="s">
        <v>32</v>
      </c>
      <c r="G3775" t="s">
        <v>18</v>
      </c>
      <c r="H3775" s="8">
        <v>42354</v>
      </c>
      <c r="I3775">
        <v>54174.879999999997</v>
      </c>
      <c r="K3775" s="8"/>
    </row>
    <row r="3776" spans="1:11">
      <c r="A3776">
        <v>300003775</v>
      </c>
      <c r="B3776" t="s">
        <v>206</v>
      </c>
      <c r="C3776" t="s">
        <v>270</v>
      </c>
      <c r="D3776" t="s">
        <v>11</v>
      </c>
      <c r="E3776" s="9">
        <v>29</v>
      </c>
      <c r="F3776" t="s">
        <v>23</v>
      </c>
      <c r="G3776" t="s">
        <v>18</v>
      </c>
      <c r="H3776" s="7">
        <v>42354</v>
      </c>
      <c r="I3776">
        <v>29909.03</v>
      </c>
      <c r="K3776" s="7"/>
    </row>
    <row r="3777" spans="1:11">
      <c r="A3777">
        <v>300003776</v>
      </c>
      <c r="B3777" t="s">
        <v>131</v>
      </c>
      <c r="C3777" t="s">
        <v>233</v>
      </c>
      <c r="D3777" t="s">
        <v>16</v>
      </c>
      <c r="E3777" s="9">
        <v>37</v>
      </c>
      <c r="F3777" t="s">
        <v>23</v>
      </c>
      <c r="G3777" t="s">
        <v>13</v>
      </c>
      <c r="H3777" s="8">
        <v>42354</v>
      </c>
      <c r="I3777">
        <v>92953.31</v>
      </c>
      <c r="K3777" s="8"/>
    </row>
    <row r="3778" spans="1:11">
      <c r="A3778">
        <v>300003777</v>
      </c>
      <c r="B3778" t="s">
        <v>66</v>
      </c>
      <c r="C3778" t="s">
        <v>185</v>
      </c>
      <c r="D3778" t="s">
        <v>16</v>
      </c>
      <c r="E3778" s="9">
        <v>36</v>
      </c>
      <c r="F3778" t="s">
        <v>23</v>
      </c>
      <c r="G3778" t="s">
        <v>33</v>
      </c>
      <c r="H3778" s="7">
        <v>42354</v>
      </c>
      <c r="I3778">
        <v>60441.82</v>
      </c>
      <c r="K3778" s="7"/>
    </row>
    <row r="3779" spans="1:11">
      <c r="A3779">
        <v>300003778</v>
      </c>
      <c r="B3779" t="s">
        <v>321</v>
      </c>
      <c r="C3779" t="s">
        <v>205</v>
      </c>
      <c r="D3779" t="s">
        <v>16</v>
      </c>
      <c r="E3779" s="9">
        <v>45</v>
      </c>
      <c r="F3779" t="s">
        <v>23</v>
      </c>
      <c r="G3779" t="s">
        <v>33</v>
      </c>
      <c r="H3779" s="8">
        <v>42354</v>
      </c>
      <c r="I3779">
        <v>86475.8</v>
      </c>
      <c r="K3779" s="8"/>
    </row>
    <row r="3780" spans="1:11">
      <c r="A3780">
        <v>300003779</v>
      </c>
      <c r="B3780" t="s">
        <v>30</v>
      </c>
      <c r="C3780" t="s">
        <v>144</v>
      </c>
      <c r="D3780" t="s">
        <v>16</v>
      </c>
      <c r="E3780" s="9">
        <v>32</v>
      </c>
      <c r="F3780" t="s">
        <v>23</v>
      </c>
      <c r="G3780" t="s">
        <v>13</v>
      </c>
      <c r="H3780" s="7">
        <v>42354</v>
      </c>
      <c r="I3780">
        <v>27274.97</v>
      </c>
      <c r="K3780" s="7"/>
    </row>
    <row r="3781" spans="1:11">
      <c r="A3781">
        <v>100003780</v>
      </c>
      <c r="B3781" t="s">
        <v>112</v>
      </c>
      <c r="C3781" t="s">
        <v>225</v>
      </c>
      <c r="D3781" t="s">
        <v>11</v>
      </c>
      <c r="E3781" s="9">
        <v>36</v>
      </c>
      <c r="F3781" t="s">
        <v>12</v>
      </c>
      <c r="G3781" t="s">
        <v>18</v>
      </c>
      <c r="H3781" s="8">
        <v>42355</v>
      </c>
      <c r="I3781">
        <v>40728.660000000003</v>
      </c>
      <c r="K3781" s="8"/>
    </row>
    <row r="3782" spans="1:11">
      <c r="A3782">
        <v>100003781</v>
      </c>
      <c r="B3782" t="s">
        <v>57</v>
      </c>
      <c r="C3782" t="s">
        <v>41</v>
      </c>
      <c r="D3782" t="s">
        <v>11</v>
      </c>
      <c r="E3782" s="9">
        <v>32</v>
      </c>
      <c r="F3782" t="s">
        <v>12</v>
      </c>
      <c r="G3782" t="s">
        <v>13</v>
      </c>
      <c r="H3782" s="7">
        <v>42355</v>
      </c>
      <c r="I3782">
        <v>42956.77</v>
      </c>
      <c r="K3782" s="7"/>
    </row>
    <row r="3783" spans="1:11">
      <c r="A3783">
        <v>100003782</v>
      </c>
      <c r="B3783" t="s">
        <v>276</v>
      </c>
      <c r="C3783" t="s">
        <v>155</v>
      </c>
      <c r="D3783" t="s">
        <v>16</v>
      </c>
      <c r="E3783" s="9">
        <v>32</v>
      </c>
      <c r="F3783" t="s">
        <v>12</v>
      </c>
      <c r="G3783" t="s">
        <v>13</v>
      </c>
      <c r="H3783" s="8">
        <v>42355</v>
      </c>
      <c r="I3783">
        <v>51475.16</v>
      </c>
      <c r="K3783" s="8"/>
    </row>
    <row r="3784" spans="1:11">
      <c r="A3784">
        <v>100003783</v>
      </c>
      <c r="B3784" t="s">
        <v>199</v>
      </c>
      <c r="C3784" t="s">
        <v>201</v>
      </c>
      <c r="D3784" t="s">
        <v>11</v>
      </c>
      <c r="E3784" s="9">
        <v>32</v>
      </c>
      <c r="F3784" t="s">
        <v>12</v>
      </c>
      <c r="G3784" t="s">
        <v>13</v>
      </c>
      <c r="H3784" s="7">
        <v>42355</v>
      </c>
      <c r="I3784">
        <v>36780.870000000003</v>
      </c>
      <c r="K3784" s="7"/>
    </row>
    <row r="3785" spans="1:11">
      <c r="A3785">
        <v>100003784</v>
      </c>
      <c r="B3785" t="s">
        <v>273</v>
      </c>
      <c r="C3785" t="s">
        <v>198</v>
      </c>
      <c r="D3785" t="s">
        <v>11</v>
      </c>
      <c r="E3785" s="9">
        <v>40</v>
      </c>
      <c r="F3785" t="s">
        <v>12</v>
      </c>
      <c r="G3785" t="s">
        <v>13</v>
      </c>
      <c r="H3785" s="8">
        <v>42355</v>
      </c>
      <c r="I3785">
        <v>3890.53</v>
      </c>
      <c r="K3785" s="8"/>
    </row>
    <row r="3786" spans="1:11">
      <c r="A3786">
        <v>100003785</v>
      </c>
      <c r="B3786" t="s">
        <v>314</v>
      </c>
      <c r="C3786" t="s">
        <v>47</v>
      </c>
      <c r="D3786" t="s">
        <v>16</v>
      </c>
      <c r="E3786" s="9">
        <v>26</v>
      </c>
      <c r="F3786" t="s">
        <v>12</v>
      </c>
      <c r="G3786" t="s">
        <v>13</v>
      </c>
      <c r="H3786" s="7">
        <v>42355</v>
      </c>
      <c r="I3786">
        <v>83372.36</v>
      </c>
      <c r="K3786" s="7"/>
    </row>
    <row r="3787" spans="1:11">
      <c r="A3787">
        <v>100003786</v>
      </c>
      <c r="B3787" t="s">
        <v>89</v>
      </c>
      <c r="C3787" t="s">
        <v>248</v>
      </c>
      <c r="D3787" t="s">
        <v>11</v>
      </c>
      <c r="E3787" s="9">
        <v>35</v>
      </c>
      <c r="F3787" t="s">
        <v>12</v>
      </c>
      <c r="G3787" t="s">
        <v>13</v>
      </c>
      <c r="H3787" s="8">
        <v>42355</v>
      </c>
      <c r="I3787">
        <v>137981.62</v>
      </c>
      <c r="K3787" s="8"/>
    </row>
    <row r="3788" spans="1:11">
      <c r="A3788">
        <v>100003787</v>
      </c>
      <c r="B3788" t="s">
        <v>191</v>
      </c>
      <c r="C3788" t="s">
        <v>315</v>
      </c>
      <c r="D3788" t="s">
        <v>11</v>
      </c>
      <c r="E3788" s="9">
        <v>32</v>
      </c>
      <c r="F3788" t="s">
        <v>12</v>
      </c>
      <c r="G3788" t="s">
        <v>18</v>
      </c>
      <c r="H3788" s="7">
        <v>42355</v>
      </c>
      <c r="I3788">
        <v>17056.8</v>
      </c>
      <c r="K3788" s="7"/>
    </row>
    <row r="3789" spans="1:11">
      <c r="A3789">
        <v>100003788</v>
      </c>
      <c r="B3789" t="s">
        <v>154</v>
      </c>
      <c r="C3789" t="s">
        <v>189</v>
      </c>
      <c r="D3789" t="s">
        <v>16</v>
      </c>
      <c r="E3789" s="9">
        <v>29</v>
      </c>
      <c r="F3789" t="s">
        <v>12</v>
      </c>
      <c r="G3789" t="s">
        <v>13</v>
      </c>
      <c r="H3789" s="8">
        <v>42355</v>
      </c>
      <c r="I3789">
        <v>5312.07</v>
      </c>
      <c r="K3789" s="8"/>
    </row>
    <row r="3790" spans="1:11">
      <c r="A3790">
        <v>100003789</v>
      </c>
      <c r="B3790" t="s">
        <v>327</v>
      </c>
      <c r="C3790" t="s">
        <v>252</v>
      </c>
      <c r="D3790" t="s">
        <v>11</v>
      </c>
      <c r="E3790" s="9">
        <v>25</v>
      </c>
      <c r="F3790" t="s">
        <v>12</v>
      </c>
      <c r="G3790" t="s">
        <v>33</v>
      </c>
      <c r="H3790" s="7">
        <v>42355</v>
      </c>
      <c r="I3790">
        <v>44515.32</v>
      </c>
      <c r="K3790" s="7"/>
    </row>
    <row r="3791" spans="1:11">
      <c r="A3791">
        <v>200003790</v>
      </c>
      <c r="B3791" t="s">
        <v>232</v>
      </c>
      <c r="C3791" t="s">
        <v>114</v>
      </c>
      <c r="D3791" t="s">
        <v>16</v>
      </c>
      <c r="E3791" s="9">
        <v>49</v>
      </c>
      <c r="F3791" t="s">
        <v>32</v>
      </c>
      <c r="G3791" t="s">
        <v>33</v>
      </c>
      <c r="H3791" s="8">
        <v>42355</v>
      </c>
      <c r="I3791">
        <v>7873.92</v>
      </c>
      <c r="K3791" s="8"/>
    </row>
    <row r="3792" spans="1:11">
      <c r="A3792">
        <v>200003791</v>
      </c>
      <c r="B3792" t="s">
        <v>119</v>
      </c>
      <c r="C3792" t="s">
        <v>322</v>
      </c>
      <c r="D3792" t="s">
        <v>16</v>
      </c>
      <c r="E3792" s="9">
        <v>49</v>
      </c>
      <c r="F3792" t="s">
        <v>32</v>
      </c>
      <c r="G3792" t="s">
        <v>33</v>
      </c>
      <c r="H3792" s="7">
        <v>42355</v>
      </c>
      <c r="I3792">
        <v>5981.41</v>
      </c>
      <c r="K3792" s="7"/>
    </row>
    <row r="3793" spans="1:11">
      <c r="A3793">
        <v>200003792</v>
      </c>
      <c r="B3793" t="s">
        <v>133</v>
      </c>
      <c r="C3793" t="s">
        <v>155</v>
      </c>
      <c r="D3793" t="s">
        <v>11</v>
      </c>
      <c r="E3793" s="9">
        <v>54</v>
      </c>
      <c r="F3793" t="s">
        <v>32</v>
      </c>
      <c r="G3793" t="s">
        <v>18</v>
      </c>
      <c r="H3793" s="8">
        <v>42355</v>
      </c>
      <c r="I3793">
        <v>25766.83</v>
      </c>
      <c r="K3793" s="8"/>
    </row>
    <row r="3794" spans="1:11">
      <c r="A3794">
        <v>200003793</v>
      </c>
      <c r="B3794" t="s">
        <v>84</v>
      </c>
      <c r="C3794" t="s">
        <v>227</v>
      </c>
      <c r="D3794" t="s">
        <v>16</v>
      </c>
      <c r="E3794" s="9">
        <v>55</v>
      </c>
      <c r="F3794" t="s">
        <v>32</v>
      </c>
      <c r="G3794" t="s">
        <v>33</v>
      </c>
      <c r="H3794" s="7">
        <v>42355</v>
      </c>
      <c r="I3794">
        <v>100995.05</v>
      </c>
      <c r="K3794" s="7"/>
    </row>
    <row r="3795" spans="1:11">
      <c r="A3795">
        <v>200003794</v>
      </c>
      <c r="B3795" t="s">
        <v>60</v>
      </c>
      <c r="C3795" t="s">
        <v>295</v>
      </c>
      <c r="D3795" t="s">
        <v>11</v>
      </c>
      <c r="E3795" s="9">
        <v>60</v>
      </c>
      <c r="F3795" t="s">
        <v>32</v>
      </c>
      <c r="G3795" t="s">
        <v>18</v>
      </c>
      <c r="H3795" s="8">
        <v>42355</v>
      </c>
      <c r="I3795">
        <v>22118.93</v>
      </c>
      <c r="K3795" s="8"/>
    </row>
    <row r="3796" spans="1:11">
      <c r="A3796">
        <v>200003795</v>
      </c>
      <c r="B3796" t="s">
        <v>64</v>
      </c>
      <c r="C3796" t="s">
        <v>125</v>
      </c>
      <c r="D3796" t="s">
        <v>11</v>
      </c>
      <c r="E3796" s="9">
        <v>48</v>
      </c>
      <c r="F3796" t="s">
        <v>32</v>
      </c>
      <c r="G3796" t="s">
        <v>18</v>
      </c>
      <c r="H3796" s="7">
        <v>42355</v>
      </c>
      <c r="I3796">
        <v>2840.77</v>
      </c>
      <c r="K3796" s="7"/>
    </row>
    <row r="3797" spans="1:11">
      <c r="A3797">
        <v>200003796</v>
      </c>
      <c r="B3797" t="s">
        <v>217</v>
      </c>
      <c r="C3797" t="s">
        <v>291</v>
      </c>
      <c r="D3797" t="s">
        <v>11</v>
      </c>
      <c r="E3797" s="9">
        <v>48</v>
      </c>
      <c r="F3797" t="s">
        <v>32</v>
      </c>
      <c r="G3797" t="s">
        <v>33</v>
      </c>
      <c r="H3797" s="8">
        <v>42355</v>
      </c>
      <c r="I3797">
        <v>54607.76</v>
      </c>
      <c r="K3797" s="8"/>
    </row>
    <row r="3798" spans="1:11">
      <c r="A3798">
        <v>100003797</v>
      </c>
      <c r="B3798" t="s">
        <v>181</v>
      </c>
      <c r="C3798" t="s">
        <v>151</v>
      </c>
      <c r="D3798" t="s">
        <v>11</v>
      </c>
      <c r="E3798" s="9">
        <v>39</v>
      </c>
      <c r="F3798" t="s">
        <v>12</v>
      </c>
      <c r="G3798" t="s">
        <v>13</v>
      </c>
      <c r="H3798" s="7">
        <v>42356</v>
      </c>
      <c r="I3798">
        <v>55454.96</v>
      </c>
      <c r="K3798" s="7"/>
    </row>
    <row r="3799" spans="1:11">
      <c r="A3799">
        <v>100003798</v>
      </c>
      <c r="B3799" t="s">
        <v>273</v>
      </c>
      <c r="C3799" t="s">
        <v>114</v>
      </c>
      <c r="D3799" t="s">
        <v>11</v>
      </c>
      <c r="E3799" s="9">
        <v>31</v>
      </c>
      <c r="F3799" t="s">
        <v>12</v>
      </c>
      <c r="G3799" t="s">
        <v>13</v>
      </c>
      <c r="H3799" s="8">
        <v>42356</v>
      </c>
      <c r="I3799">
        <v>32293.11</v>
      </c>
      <c r="K3799" s="8"/>
    </row>
    <row r="3800" spans="1:11">
      <c r="A3800">
        <v>100003799</v>
      </c>
      <c r="B3800" t="s">
        <v>301</v>
      </c>
      <c r="C3800" t="s">
        <v>209</v>
      </c>
      <c r="D3800" t="s">
        <v>16</v>
      </c>
      <c r="E3800" s="9">
        <v>36</v>
      </c>
      <c r="F3800" t="s">
        <v>12</v>
      </c>
      <c r="G3800" t="s">
        <v>13</v>
      </c>
      <c r="H3800" s="7">
        <v>42356</v>
      </c>
      <c r="I3800">
        <v>20254.46</v>
      </c>
      <c r="K3800" s="7"/>
    </row>
    <row r="3801" spans="1:11">
      <c r="A3801">
        <v>100003800</v>
      </c>
      <c r="B3801" t="s">
        <v>328</v>
      </c>
      <c r="C3801" t="s">
        <v>290</v>
      </c>
      <c r="D3801" t="s">
        <v>11</v>
      </c>
      <c r="E3801" s="9">
        <v>32</v>
      </c>
      <c r="F3801" t="s">
        <v>12</v>
      </c>
      <c r="G3801" t="s">
        <v>33</v>
      </c>
      <c r="H3801" s="8">
        <v>42356</v>
      </c>
      <c r="I3801">
        <v>4983.93</v>
      </c>
      <c r="K3801" s="8"/>
    </row>
    <row r="3802" spans="1:11">
      <c r="A3802">
        <v>200003801</v>
      </c>
      <c r="B3802" t="s">
        <v>14</v>
      </c>
      <c r="C3802" t="s">
        <v>157</v>
      </c>
      <c r="D3802" t="s">
        <v>16</v>
      </c>
      <c r="E3802" s="9">
        <v>54</v>
      </c>
      <c r="F3802" t="s">
        <v>32</v>
      </c>
      <c r="G3802" t="s">
        <v>33</v>
      </c>
      <c r="H3802" s="7">
        <v>42356</v>
      </c>
      <c r="I3802">
        <v>61439.56</v>
      </c>
      <c r="K3802" s="7"/>
    </row>
    <row r="3803" spans="1:11">
      <c r="A3803">
        <v>200003802</v>
      </c>
      <c r="B3803" t="s">
        <v>271</v>
      </c>
      <c r="C3803" t="s">
        <v>67</v>
      </c>
      <c r="D3803" t="s">
        <v>16</v>
      </c>
      <c r="E3803" s="9">
        <v>46</v>
      </c>
      <c r="F3803" t="s">
        <v>32</v>
      </c>
      <c r="G3803" t="s">
        <v>13</v>
      </c>
      <c r="H3803" s="8">
        <v>42356</v>
      </c>
      <c r="I3803">
        <v>10394.280000000001</v>
      </c>
      <c r="K3803" s="8"/>
    </row>
    <row r="3804" spans="1:11">
      <c r="A3804">
        <v>200003803</v>
      </c>
      <c r="B3804" t="s">
        <v>229</v>
      </c>
      <c r="C3804" t="s">
        <v>275</v>
      </c>
      <c r="D3804" t="s">
        <v>16</v>
      </c>
      <c r="E3804" s="9">
        <v>44</v>
      </c>
      <c r="F3804" t="s">
        <v>32</v>
      </c>
      <c r="G3804" t="s">
        <v>33</v>
      </c>
      <c r="H3804" s="7">
        <v>42356</v>
      </c>
      <c r="I3804">
        <v>60444.7</v>
      </c>
      <c r="K3804" s="7"/>
    </row>
    <row r="3805" spans="1:11">
      <c r="A3805">
        <v>300003804</v>
      </c>
      <c r="B3805" t="s">
        <v>137</v>
      </c>
      <c r="C3805" t="s">
        <v>291</v>
      </c>
      <c r="D3805" t="s">
        <v>11</v>
      </c>
      <c r="E3805" s="9">
        <v>34</v>
      </c>
      <c r="F3805" t="s">
        <v>23</v>
      </c>
      <c r="G3805" t="s">
        <v>13</v>
      </c>
      <c r="H3805" s="8">
        <v>42356</v>
      </c>
      <c r="I3805">
        <v>40380.07</v>
      </c>
      <c r="K3805" s="8"/>
    </row>
    <row r="3806" spans="1:11">
      <c r="A3806">
        <v>100003805</v>
      </c>
      <c r="B3806" t="s">
        <v>232</v>
      </c>
      <c r="C3806" t="s">
        <v>41</v>
      </c>
      <c r="D3806" t="s">
        <v>16</v>
      </c>
      <c r="E3806" s="9">
        <v>36</v>
      </c>
      <c r="F3806" t="s">
        <v>12</v>
      </c>
      <c r="G3806" t="s">
        <v>18</v>
      </c>
      <c r="H3806" s="7">
        <v>42357</v>
      </c>
      <c r="I3806">
        <v>88957.46</v>
      </c>
      <c r="K3806" s="7"/>
    </row>
    <row r="3807" spans="1:11">
      <c r="A3807">
        <v>100003806</v>
      </c>
      <c r="B3807" t="s">
        <v>236</v>
      </c>
      <c r="C3807" t="s">
        <v>259</v>
      </c>
      <c r="D3807" t="s">
        <v>16</v>
      </c>
      <c r="E3807" s="9">
        <v>22</v>
      </c>
      <c r="F3807" t="s">
        <v>12</v>
      </c>
      <c r="G3807" t="s">
        <v>13</v>
      </c>
      <c r="H3807" s="8">
        <v>42357</v>
      </c>
      <c r="I3807">
        <v>15613.06</v>
      </c>
      <c r="K3807" s="8"/>
    </row>
    <row r="3808" spans="1:11">
      <c r="A3808">
        <v>100003807</v>
      </c>
      <c r="B3808" t="s">
        <v>55</v>
      </c>
      <c r="C3808" t="s">
        <v>297</v>
      </c>
      <c r="D3808" t="s">
        <v>11</v>
      </c>
      <c r="E3808" s="9">
        <v>23</v>
      </c>
      <c r="F3808" t="s">
        <v>12</v>
      </c>
      <c r="G3808" t="s">
        <v>13</v>
      </c>
      <c r="H3808" s="7">
        <v>42357</v>
      </c>
      <c r="I3808">
        <v>68508.87</v>
      </c>
      <c r="K3808" s="7"/>
    </row>
    <row r="3809" spans="1:11">
      <c r="A3809">
        <v>100003808</v>
      </c>
      <c r="B3809" t="s">
        <v>296</v>
      </c>
      <c r="C3809" t="s">
        <v>142</v>
      </c>
      <c r="D3809" t="s">
        <v>11</v>
      </c>
      <c r="E3809" s="9">
        <v>35</v>
      </c>
      <c r="F3809" t="s">
        <v>12</v>
      </c>
      <c r="G3809" t="s">
        <v>13</v>
      </c>
      <c r="H3809" s="8">
        <v>42357</v>
      </c>
      <c r="I3809">
        <v>40309.870000000003</v>
      </c>
      <c r="K3809" s="8"/>
    </row>
    <row r="3810" spans="1:11">
      <c r="A3810">
        <v>100003809</v>
      </c>
      <c r="B3810" t="s">
        <v>271</v>
      </c>
      <c r="C3810" t="s">
        <v>27</v>
      </c>
      <c r="D3810" t="s">
        <v>16</v>
      </c>
      <c r="E3810" s="9">
        <v>37</v>
      </c>
      <c r="F3810" t="s">
        <v>12</v>
      </c>
      <c r="G3810" t="s">
        <v>13</v>
      </c>
      <c r="H3810" s="7">
        <v>42357</v>
      </c>
      <c r="I3810">
        <v>32132.560000000001</v>
      </c>
      <c r="K3810" s="7"/>
    </row>
    <row r="3811" spans="1:11">
      <c r="A3811">
        <v>100003810</v>
      </c>
      <c r="B3811" t="s">
        <v>324</v>
      </c>
      <c r="C3811" t="s">
        <v>322</v>
      </c>
      <c r="D3811" t="s">
        <v>16</v>
      </c>
      <c r="E3811" s="9">
        <v>23</v>
      </c>
      <c r="F3811" t="s">
        <v>12</v>
      </c>
      <c r="G3811" t="s">
        <v>13</v>
      </c>
      <c r="H3811" s="8">
        <v>42357</v>
      </c>
      <c r="I3811">
        <v>47114.15</v>
      </c>
      <c r="K3811" s="8"/>
    </row>
    <row r="3812" spans="1:11">
      <c r="A3812">
        <v>100003811</v>
      </c>
      <c r="B3812" t="s">
        <v>300</v>
      </c>
      <c r="C3812" t="s">
        <v>27</v>
      </c>
      <c r="D3812" t="s">
        <v>16</v>
      </c>
      <c r="E3812" s="9">
        <v>30</v>
      </c>
      <c r="F3812" t="s">
        <v>12</v>
      </c>
      <c r="G3812" t="s">
        <v>13</v>
      </c>
      <c r="H3812" s="7">
        <v>42357</v>
      </c>
      <c r="I3812">
        <v>16703.14</v>
      </c>
      <c r="K3812" s="7"/>
    </row>
    <row r="3813" spans="1:11">
      <c r="A3813">
        <v>100003812</v>
      </c>
      <c r="B3813" t="s">
        <v>218</v>
      </c>
      <c r="C3813" t="s">
        <v>277</v>
      </c>
      <c r="D3813" t="s">
        <v>11</v>
      </c>
      <c r="E3813" s="9">
        <v>32</v>
      </c>
      <c r="F3813" t="s">
        <v>12</v>
      </c>
      <c r="G3813" t="s">
        <v>13</v>
      </c>
      <c r="H3813" s="8">
        <v>42357</v>
      </c>
      <c r="I3813">
        <v>56233.65</v>
      </c>
      <c r="K3813" s="8"/>
    </row>
    <row r="3814" spans="1:11">
      <c r="A3814">
        <v>100003813</v>
      </c>
      <c r="B3814" t="s">
        <v>226</v>
      </c>
      <c r="C3814" t="s">
        <v>91</v>
      </c>
      <c r="D3814" t="s">
        <v>16</v>
      </c>
      <c r="E3814" s="9">
        <v>48</v>
      </c>
      <c r="F3814" t="s">
        <v>12</v>
      </c>
      <c r="G3814" t="s">
        <v>13</v>
      </c>
      <c r="H3814" s="7">
        <v>42357</v>
      </c>
      <c r="I3814">
        <v>45166.76</v>
      </c>
      <c r="K3814" s="7"/>
    </row>
    <row r="3815" spans="1:11">
      <c r="A3815">
        <v>100003814</v>
      </c>
      <c r="B3815" t="s">
        <v>70</v>
      </c>
      <c r="C3815" t="s">
        <v>259</v>
      </c>
      <c r="D3815" t="s">
        <v>11</v>
      </c>
      <c r="E3815" s="9">
        <v>29</v>
      </c>
      <c r="F3815" t="s">
        <v>12</v>
      </c>
      <c r="G3815" t="s">
        <v>13</v>
      </c>
      <c r="H3815" s="8">
        <v>42357</v>
      </c>
      <c r="I3815">
        <v>25665.759999999998</v>
      </c>
      <c r="K3815" s="8"/>
    </row>
    <row r="3816" spans="1:11">
      <c r="A3816">
        <v>100003815</v>
      </c>
      <c r="B3816" t="s">
        <v>320</v>
      </c>
      <c r="C3816" t="s">
        <v>305</v>
      </c>
      <c r="D3816" t="s">
        <v>16</v>
      </c>
      <c r="E3816" s="9">
        <v>36</v>
      </c>
      <c r="F3816" t="s">
        <v>12</v>
      </c>
      <c r="G3816" t="s">
        <v>13</v>
      </c>
      <c r="H3816" s="7">
        <v>42357</v>
      </c>
      <c r="I3816">
        <v>30604.28</v>
      </c>
      <c r="K3816" s="7"/>
    </row>
    <row r="3817" spans="1:11">
      <c r="A3817">
        <v>100003816</v>
      </c>
      <c r="B3817" t="s">
        <v>168</v>
      </c>
      <c r="C3817" t="s">
        <v>187</v>
      </c>
      <c r="D3817" t="s">
        <v>16</v>
      </c>
      <c r="E3817" s="9">
        <v>37</v>
      </c>
      <c r="F3817" t="s">
        <v>12</v>
      </c>
      <c r="G3817" t="s">
        <v>13</v>
      </c>
      <c r="H3817" s="8">
        <v>42357</v>
      </c>
      <c r="I3817">
        <v>27959.65</v>
      </c>
      <c r="K3817" s="8"/>
    </row>
    <row r="3818" spans="1:11">
      <c r="A3818">
        <v>100003817</v>
      </c>
      <c r="B3818" t="s">
        <v>261</v>
      </c>
      <c r="C3818" t="s">
        <v>37</v>
      </c>
      <c r="D3818" t="s">
        <v>11</v>
      </c>
      <c r="E3818" s="9">
        <v>29</v>
      </c>
      <c r="F3818" t="s">
        <v>12</v>
      </c>
      <c r="G3818" t="s">
        <v>13</v>
      </c>
      <c r="H3818" s="7">
        <v>42357</v>
      </c>
      <c r="I3818">
        <v>51239.25</v>
      </c>
      <c r="K3818" s="7"/>
    </row>
    <row r="3819" spans="1:11">
      <c r="A3819">
        <v>100003818</v>
      </c>
      <c r="B3819" t="s">
        <v>139</v>
      </c>
      <c r="C3819" t="s">
        <v>227</v>
      </c>
      <c r="D3819" t="s">
        <v>16</v>
      </c>
      <c r="E3819" s="9">
        <v>46</v>
      </c>
      <c r="F3819" t="s">
        <v>12</v>
      </c>
      <c r="G3819" t="s">
        <v>33</v>
      </c>
      <c r="H3819" s="8">
        <v>42357</v>
      </c>
      <c r="I3819">
        <v>71257.039999999994</v>
      </c>
      <c r="K3819" s="8"/>
    </row>
    <row r="3820" spans="1:11">
      <c r="A3820">
        <v>100003819</v>
      </c>
      <c r="B3820" t="s">
        <v>190</v>
      </c>
      <c r="C3820" t="s">
        <v>270</v>
      </c>
      <c r="D3820" t="s">
        <v>11</v>
      </c>
      <c r="E3820" s="9">
        <v>40</v>
      </c>
      <c r="F3820" t="s">
        <v>12</v>
      </c>
      <c r="G3820" t="s">
        <v>13</v>
      </c>
      <c r="H3820" s="7">
        <v>42357</v>
      </c>
      <c r="I3820">
        <v>9785.44</v>
      </c>
      <c r="K3820" s="7"/>
    </row>
    <row r="3821" spans="1:11">
      <c r="A3821">
        <v>100003820</v>
      </c>
      <c r="B3821" t="s">
        <v>329</v>
      </c>
      <c r="C3821" t="s">
        <v>185</v>
      </c>
      <c r="D3821" t="s">
        <v>11</v>
      </c>
      <c r="E3821" s="9">
        <v>39</v>
      </c>
      <c r="F3821" t="s">
        <v>12</v>
      </c>
      <c r="G3821" t="s">
        <v>13</v>
      </c>
      <c r="H3821" s="8">
        <v>42357</v>
      </c>
      <c r="I3821">
        <v>11024.75</v>
      </c>
      <c r="K3821" s="8"/>
    </row>
    <row r="3822" spans="1:11">
      <c r="A3822">
        <v>200003821</v>
      </c>
      <c r="B3822" t="s">
        <v>107</v>
      </c>
      <c r="C3822" t="s">
        <v>277</v>
      </c>
      <c r="D3822" t="s">
        <v>11</v>
      </c>
      <c r="E3822" s="9">
        <v>45</v>
      </c>
      <c r="F3822" t="s">
        <v>32</v>
      </c>
      <c r="G3822" t="s">
        <v>18</v>
      </c>
      <c r="H3822" s="7">
        <v>42357</v>
      </c>
      <c r="I3822">
        <v>2583.75</v>
      </c>
      <c r="K3822" s="7"/>
    </row>
    <row r="3823" spans="1:11">
      <c r="A3823">
        <v>200003822</v>
      </c>
      <c r="B3823" t="s">
        <v>147</v>
      </c>
      <c r="C3823" t="s">
        <v>246</v>
      </c>
      <c r="D3823" t="s">
        <v>11</v>
      </c>
      <c r="E3823" s="9">
        <v>53</v>
      </c>
      <c r="F3823" t="s">
        <v>32</v>
      </c>
      <c r="G3823" t="s">
        <v>13</v>
      </c>
      <c r="H3823" s="8">
        <v>42357</v>
      </c>
      <c r="I3823">
        <v>43361.73</v>
      </c>
      <c r="K3823" s="8"/>
    </row>
    <row r="3824" spans="1:11">
      <c r="A3824">
        <v>200003823</v>
      </c>
      <c r="B3824" t="s">
        <v>57</v>
      </c>
      <c r="C3824" t="s">
        <v>109</v>
      </c>
      <c r="D3824" t="s">
        <v>11</v>
      </c>
      <c r="E3824" s="9">
        <v>42</v>
      </c>
      <c r="F3824" t="s">
        <v>32</v>
      </c>
      <c r="G3824" t="s">
        <v>33</v>
      </c>
      <c r="H3824" s="7">
        <v>42357</v>
      </c>
      <c r="I3824">
        <v>30923.4</v>
      </c>
      <c r="K3824" s="7"/>
    </row>
    <row r="3825" spans="1:11">
      <c r="A3825">
        <v>200003824</v>
      </c>
      <c r="B3825" t="s">
        <v>276</v>
      </c>
      <c r="C3825" t="s">
        <v>130</v>
      </c>
      <c r="D3825" t="s">
        <v>16</v>
      </c>
      <c r="E3825" s="9">
        <v>42</v>
      </c>
      <c r="F3825" t="s">
        <v>32</v>
      </c>
      <c r="G3825" t="s">
        <v>33</v>
      </c>
      <c r="H3825" s="8">
        <v>42357</v>
      </c>
      <c r="I3825">
        <v>56135.18</v>
      </c>
      <c r="K3825" s="8"/>
    </row>
    <row r="3826" spans="1:11">
      <c r="A3826">
        <v>200003825</v>
      </c>
      <c r="B3826" t="s">
        <v>188</v>
      </c>
      <c r="C3826" t="s">
        <v>98</v>
      </c>
      <c r="D3826" t="s">
        <v>11</v>
      </c>
      <c r="E3826" s="9">
        <v>58</v>
      </c>
      <c r="F3826" t="s">
        <v>32</v>
      </c>
      <c r="G3826" t="s">
        <v>18</v>
      </c>
      <c r="H3826" s="7">
        <v>42357</v>
      </c>
      <c r="I3826">
        <v>10235.19</v>
      </c>
      <c r="K3826" s="7"/>
    </row>
    <row r="3827" spans="1:11">
      <c r="A3827">
        <v>300003826</v>
      </c>
      <c r="B3827" t="s">
        <v>180</v>
      </c>
      <c r="C3827" t="s">
        <v>162</v>
      </c>
      <c r="D3827" t="s">
        <v>16</v>
      </c>
      <c r="E3827" s="9">
        <v>33</v>
      </c>
      <c r="F3827" t="s">
        <v>23</v>
      </c>
      <c r="G3827" t="s">
        <v>13</v>
      </c>
      <c r="H3827" s="8">
        <v>42357</v>
      </c>
      <c r="I3827">
        <v>76628.679999999993</v>
      </c>
      <c r="K3827" s="8"/>
    </row>
    <row r="3828" spans="1:11">
      <c r="A3828">
        <v>300003827</v>
      </c>
      <c r="B3828" t="s">
        <v>131</v>
      </c>
      <c r="C3828" t="s">
        <v>151</v>
      </c>
      <c r="D3828" t="s">
        <v>16</v>
      </c>
      <c r="E3828" s="9">
        <v>28</v>
      </c>
      <c r="F3828" t="s">
        <v>23</v>
      </c>
      <c r="G3828" t="s">
        <v>13</v>
      </c>
      <c r="H3828" s="7">
        <v>42357</v>
      </c>
      <c r="I3828">
        <v>49068.58</v>
      </c>
      <c r="K3828" s="7"/>
    </row>
    <row r="3829" spans="1:11">
      <c r="A3829">
        <v>100003828</v>
      </c>
      <c r="B3829" t="s">
        <v>320</v>
      </c>
      <c r="C3829" t="s">
        <v>95</v>
      </c>
      <c r="D3829" t="s">
        <v>16</v>
      </c>
      <c r="E3829" s="9">
        <v>42</v>
      </c>
      <c r="F3829" t="s">
        <v>12</v>
      </c>
      <c r="G3829" t="s">
        <v>33</v>
      </c>
      <c r="H3829" s="8">
        <v>42358</v>
      </c>
      <c r="I3829">
        <v>61434.51</v>
      </c>
      <c r="K3829" s="8"/>
    </row>
    <row r="3830" spans="1:11">
      <c r="A3830">
        <v>100003829</v>
      </c>
      <c r="B3830" t="s">
        <v>323</v>
      </c>
      <c r="C3830" t="s">
        <v>272</v>
      </c>
      <c r="D3830" t="s">
        <v>16</v>
      </c>
      <c r="E3830" s="9">
        <v>34</v>
      </c>
      <c r="F3830" t="s">
        <v>12</v>
      </c>
      <c r="G3830" t="s">
        <v>13</v>
      </c>
      <c r="H3830" s="7">
        <v>42358</v>
      </c>
      <c r="I3830">
        <v>3682.9</v>
      </c>
      <c r="K3830" s="7"/>
    </row>
    <row r="3831" spans="1:11">
      <c r="A3831">
        <v>100003830</v>
      </c>
      <c r="B3831" t="s">
        <v>244</v>
      </c>
      <c r="C3831" t="s">
        <v>305</v>
      </c>
      <c r="D3831" t="s">
        <v>16</v>
      </c>
      <c r="E3831" s="9">
        <v>24</v>
      </c>
      <c r="F3831" t="s">
        <v>12</v>
      </c>
      <c r="G3831" t="s">
        <v>13</v>
      </c>
      <c r="H3831" s="8">
        <v>42358</v>
      </c>
      <c r="I3831">
        <v>59597.09</v>
      </c>
      <c r="K3831" s="8"/>
    </row>
    <row r="3832" spans="1:11">
      <c r="A3832">
        <v>100003831</v>
      </c>
      <c r="B3832" t="s">
        <v>268</v>
      </c>
      <c r="C3832" t="s">
        <v>153</v>
      </c>
      <c r="D3832" t="s">
        <v>16</v>
      </c>
      <c r="E3832" s="9">
        <v>36</v>
      </c>
      <c r="F3832" t="s">
        <v>12</v>
      </c>
      <c r="G3832" t="s">
        <v>13</v>
      </c>
      <c r="H3832" s="7">
        <v>42358</v>
      </c>
      <c r="I3832">
        <v>15805.36</v>
      </c>
      <c r="K3832" s="7"/>
    </row>
    <row r="3833" spans="1:11">
      <c r="A3833">
        <v>100003832</v>
      </c>
      <c r="B3833" t="s">
        <v>296</v>
      </c>
      <c r="C3833" t="s">
        <v>216</v>
      </c>
      <c r="D3833" t="s">
        <v>11</v>
      </c>
      <c r="E3833" s="9">
        <v>44</v>
      </c>
      <c r="F3833" t="s">
        <v>12</v>
      </c>
      <c r="G3833" t="s">
        <v>18</v>
      </c>
      <c r="H3833" s="8">
        <v>42358</v>
      </c>
      <c r="I3833">
        <v>161517.82</v>
      </c>
      <c r="K3833" s="8"/>
    </row>
    <row r="3834" spans="1:11">
      <c r="A3834">
        <v>100003833</v>
      </c>
      <c r="B3834" t="s">
        <v>243</v>
      </c>
      <c r="C3834" t="s">
        <v>179</v>
      </c>
      <c r="D3834" t="s">
        <v>16</v>
      </c>
      <c r="E3834" s="9">
        <v>34</v>
      </c>
      <c r="F3834" t="s">
        <v>12</v>
      </c>
      <c r="G3834" t="s">
        <v>13</v>
      </c>
      <c r="H3834" s="7">
        <v>42358</v>
      </c>
      <c r="I3834">
        <v>4300.9399999999996</v>
      </c>
      <c r="K3834" s="7"/>
    </row>
    <row r="3835" spans="1:11">
      <c r="A3835">
        <v>100003834</v>
      </c>
      <c r="B3835" t="s">
        <v>120</v>
      </c>
      <c r="C3835" t="s">
        <v>49</v>
      </c>
      <c r="D3835" t="s">
        <v>16</v>
      </c>
      <c r="E3835" s="9">
        <v>28</v>
      </c>
      <c r="F3835" t="s">
        <v>12</v>
      </c>
      <c r="G3835" t="s">
        <v>33</v>
      </c>
      <c r="H3835" s="8">
        <v>42358</v>
      </c>
      <c r="I3835">
        <v>68799.11</v>
      </c>
      <c r="K3835" s="8"/>
    </row>
    <row r="3836" spans="1:11">
      <c r="A3836">
        <v>100003835</v>
      </c>
      <c r="B3836" t="s">
        <v>48</v>
      </c>
      <c r="C3836" t="s">
        <v>170</v>
      </c>
      <c r="D3836" t="s">
        <v>16</v>
      </c>
      <c r="E3836" s="9">
        <v>27</v>
      </c>
      <c r="F3836" t="s">
        <v>12</v>
      </c>
      <c r="G3836" t="s">
        <v>13</v>
      </c>
      <c r="H3836" s="7">
        <v>42358</v>
      </c>
      <c r="I3836">
        <v>55631.78</v>
      </c>
      <c r="K3836" s="7"/>
    </row>
    <row r="3837" spans="1:11">
      <c r="A3837">
        <v>100003836</v>
      </c>
      <c r="B3837" t="s">
        <v>317</v>
      </c>
      <c r="C3837" t="s">
        <v>216</v>
      </c>
      <c r="D3837" t="s">
        <v>16</v>
      </c>
      <c r="E3837" s="9">
        <v>34</v>
      </c>
      <c r="F3837" t="s">
        <v>12</v>
      </c>
      <c r="G3837" t="s">
        <v>18</v>
      </c>
      <c r="H3837" s="8">
        <v>42358</v>
      </c>
      <c r="I3837">
        <v>15667.57</v>
      </c>
      <c r="K3837" s="8"/>
    </row>
    <row r="3838" spans="1:11">
      <c r="A3838">
        <v>100003837</v>
      </c>
      <c r="B3838" t="s">
        <v>34</v>
      </c>
      <c r="C3838" t="s">
        <v>230</v>
      </c>
      <c r="D3838" t="s">
        <v>16</v>
      </c>
      <c r="E3838" s="9">
        <v>31</v>
      </c>
      <c r="F3838" t="s">
        <v>12</v>
      </c>
      <c r="G3838" t="s">
        <v>13</v>
      </c>
      <c r="H3838" s="7">
        <v>42358</v>
      </c>
      <c r="I3838">
        <v>48927.48</v>
      </c>
      <c r="K3838" s="7"/>
    </row>
    <row r="3839" spans="1:11">
      <c r="A3839">
        <v>100003838</v>
      </c>
      <c r="B3839" t="s">
        <v>330</v>
      </c>
      <c r="C3839" t="s">
        <v>253</v>
      </c>
      <c r="D3839" t="s">
        <v>11</v>
      </c>
      <c r="E3839" s="9">
        <v>36</v>
      </c>
      <c r="F3839" t="s">
        <v>12</v>
      </c>
      <c r="G3839" t="s">
        <v>13</v>
      </c>
      <c r="H3839" s="8">
        <v>42358</v>
      </c>
      <c r="I3839">
        <v>42161.49</v>
      </c>
      <c r="K3839" s="8"/>
    </row>
    <row r="3840" spans="1:11">
      <c r="A3840">
        <v>200003839</v>
      </c>
      <c r="B3840" t="s">
        <v>51</v>
      </c>
      <c r="C3840" t="s">
        <v>37</v>
      </c>
      <c r="D3840" t="s">
        <v>11</v>
      </c>
      <c r="E3840" s="9">
        <v>49</v>
      </c>
      <c r="F3840" t="s">
        <v>32</v>
      </c>
      <c r="G3840" t="s">
        <v>33</v>
      </c>
      <c r="H3840" s="7">
        <v>42358</v>
      </c>
      <c r="I3840">
        <v>44251.15</v>
      </c>
      <c r="K3840" s="7"/>
    </row>
    <row r="3841" spans="1:11">
      <c r="A3841">
        <v>200003840</v>
      </c>
      <c r="B3841" t="s">
        <v>68</v>
      </c>
      <c r="C3841" t="s">
        <v>315</v>
      </c>
      <c r="D3841" t="s">
        <v>16</v>
      </c>
      <c r="E3841" s="9">
        <v>46</v>
      </c>
      <c r="F3841" t="s">
        <v>32</v>
      </c>
      <c r="G3841" t="s">
        <v>33</v>
      </c>
      <c r="H3841" s="8">
        <v>42358</v>
      </c>
      <c r="I3841">
        <v>15479.42</v>
      </c>
      <c r="K3841" s="8"/>
    </row>
    <row r="3842" spans="1:11">
      <c r="A3842">
        <v>200003841</v>
      </c>
      <c r="B3842" t="s">
        <v>21</v>
      </c>
      <c r="C3842" t="s">
        <v>237</v>
      </c>
      <c r="D3842" t="s">
        <v>11</v>
      </c>
      <c r="E3842" s="9">
        <v>46</v>
      </c>
      <c r="F3842" t="s">
        <v>32</v>
      </c>
      <c r="G3842" t="s">
        <v>18</v>
      </c>
      <c r="H3842" s="7">
        <v>42358</v>
      </c>
      <c r="I3842">
        <v>87484.96</v>
      </c>
      <c r="K3842" s="7"/>
    </row>
    <row r="3843" spans="1:11">
      <c r="A3843">
        <v>200003842</v>
      </c>
      <c r="B3843" t="s">
        <v>199</v>
      </c>
      <c r="C3843" t="s">
        <v>248</v>
      </c>
      <c r="D3843" t="s">
        <v>11</v>
      </c>
      <c r="E3843" s="9">
        <v>54</v>
      </c>
      <c r="F3843" t="s">
        <v>32</v>
      </c>
      <c r="G3843" t="s">
        <v>18</v>
      </c>
      <c r="H3843" s="8">
        <v>42358</v>
      </c>
      <c r="I3843">
        <v>8216.23</v>
      </c>
      <c r="K3843" s="8"/>
    </row>
    <row r="3844" spans="1:11">
      <c r="A3844">
        <v>200003843</v>
      </c>
      <c r="B3844" t="s">
        <v>311</v>
      </c>
      <c r="C3844" t="s">
        <v>71</v>
      </c>
      <c r="D3844" t="s">
        <v>11</v>
      </c>
      <c r="E3844" s="9">
        <v>39</v>
      </c>
      <c r="F3844" t="s">
        <v>32</v>
      </c>
      <c r="G3844" t="s">
        <v>18</v>
      </c>
      <c r="H3844" s="7">
        <v>42358</v>
      </c>
      <c r="I3844">
        <v>177.28</v>
      </c>
      <c r="K3844" s="7"/>
    </row>
    <row r="3845" spans="1:11">
      <c r="A3845">
        <v>200003844</v>
      </c>
      <c r="B3845" t="s">
        <v>226</v>
      </c>
      <c r="C3845" t="s">
        <v>252</v>
      </c>
      <c r="D3845" t="s">
        <v>16</v>
      </c>
      <c r="E3845" s="9">
        <v>42</v>
      </c>
      <c r="F3845" t="s">
        <v>32</v>
      </c>
      <c r="G3845" t="s">
        <v>33</v>
      </c>
      <c r="H3845" s="8">
        <v>42358</v>
      </c>
      <c r="I3845">
        <v>1063.2</v>
      </c>
      <c r="K3845" s="8"/>
    </row>
    <row r="3846" spans="1:11">
      <c r="A3846">
        <v>300003845</v>
      </c>
      <c r="B3846" t="s">
        <v>191</v>
      </c>
      <c r="C3846" t="s">
        <v>106</v>
      </c>
      <c r="D3846" t="s">
        <v>11</v>
      </c>
      <c r="E3846" s="9">
        <v>34</v>
      </c>
      <c r="F3846" t="s">
        <v>23</v>
      </c>
      <c r="G3846" t="s">
        <v>13</v>
      </c>
      <c r="H3846" s="7">
        <v>42358</v>
      </c>
      <c r="I3846">
        <v>62326.7</v>
      </c>
      <c r="K3846" s="7"/>
    </row>
    <row r="3847" spans="1:11">
      <c r="A3847">
        <v>300003846</v>
      </c>
      <c r="B3847" t="s">
        <v>215</v>
      </c>
      <c r="C3847" t="s">
        <v>187</v>
      </c>
      <c r="D3847" t="s">
        <v>16</v>
      </c>
      <c r="E3847" s="9">
        <v>35</v>
      </c>
      <c r="F3847" t="s">
        <v>23</v>
      </c>
      <c r="G3847" t="s">
        <v>33</v>
      </c>
      <c r="H3847" s="8">
        <v>42358</v>
      </c>
      <c r="I3847">
        <v>42743</v>
      </c>
      <c r="K3847" s="8"/>
    </row>
    <row r="3848" spans="1:11">
      <c r="A3848">
        <v>400003847</v>
      </c>
      <c r="B3848" t="s">
        <v>110</v>
      </c>
      <c r="C3848" t="s">
        <v>279</v>
      </c>
      <c r="D3848" t="s">
        <v>16</v>
      </c>
      <c r="E3848" s="9">
        <v>34</v>
      </c>
      <c r="F3848" t="s">
        <v>17</v>
      </c>
      <c r="G3848" t="s">
        <v>13</v>
      </c>
      <c r="H3848" s="7">
        <v>42358</v>
      </c>
      <c r="I3848">
        <v>87664.15</v>
      </c>
      <c r="K3848" s="7"/>
    </row>
    <row r="3849" spans="1:11">
      <c r="A3849">
        <v>400003848</v>
      </c>
      <c r="B3849" t="s">
        <v>99</v>
      </c>
      <c r="C3849" t="s">
        <v>132</v>
      </c>
      <c r="D3849" t="s">
        <v>16</v>
      </c>
      <c r="E3849" s="9">
        <v>52</v>
      </c>
      <c r="F3849" t="s">
        <v>17</v>
      </c>
      <c r="G3849" t="s">
        <v>33</v>
      </c>
      <c r="H3849" s="8">
        <v>42358</v>
      </c>
      <c r="I3849">
        <v>118676.95</v>
      </c>
      <c r="K3849" s="8"/>
    </row>
    <row r="3850" spans="1:11">
      <c r="A3850">
        <v>100003849</v>
      </c>
      <c r="B3850" t="s">
        <v>298</v>
      </c>
      <c r="C3850" t="s">
        <v>237</v>
      </c>
      <c r="D3850" t="s">
        <v>16</v>
      </c>
      <c r="E3850" s="9">
        <v>32</v>
      </c>
      <c r="F3850" t="s">
        <v>12</v>
      </c>
      <c r="G3850" t="s">
        <v>18</v>
      </c>
      <c r="H3850" s="7">
        <v>42359</v>
      </c>
      <c r="I3850">
        <v>10488.42</v>
      </c>
      <c r="K3850" s="7"/>
    </row>
    <row r="3851" spans="1:11">
      <c r="A3851">
        <v>100003850</v>
      </c>
      <c r="B3851" t="s">
        <v>126</v>
      </c>
      <c r="C3851" t="s">
        <v>172</v>
      </c>
      <c r="D3851" t="s">
        <v>16</v>
      </c>
      <c r="E3851" s="9">
        <v>38</v>
      </c>
      <c r="F3851" t="s">
        <v>12</v>
      </c>
      <c r="G3851" t="s">
        <v>13</v>
      </c>
      <c r="H3851" s="8">
        <v>42359</v>
      </c>
      <c r="I3851">
        <v>2845.03</v>
      </c>
      <c r="K3851" s="8"/>
    </row>
    <row r="3852" spans="1:11">
      <c r="A3852">
        <v>100003851</v>
      </c>
      <c r="B3852" t="s">
        <v>53</v>
      </c>
      <c r="C3852" t="s">
        <v>121</v>
      </c>
      <c r="D3852" t="s">
        <v>16</v>
      </c>
      <c r="E3852" s="9">
        <v>26</v>
      </c>
      <c r="F3852" t="s">
        <v>12</v>
      </c>
      <c r="G3852" t="s">
        <v>13</v>
      </c>
      <c r="H3852" s="7">
        <v>42359</v>
      </c>
      <c r="I3852">
        <v>54926.14</v>
      </c>
      <c r="K3852" s="7"/>
    </row>
    <row r="3853" spans="1:11">
      <c r="A3853">
        <v>100003852</v>
      </c>
      <c r="B3853" t="s">
        <v>264</v>
      </c>
      <c r="C3853" t="s">
        <v>106</v>
      </c>
      <c r="D3853" t="s">
        <v>11</v>
      </c>
      <c r="E3853" s="9">
        <v>34</v>
      </c>
      <c r="F3853" t="s">
        <v>12</v>
      </c>
      <c r="G3853" t="s">
        <v>18</v>
      </c>
      <c r="H3853" s="8">
        <v>42359</v>
      </c>
      <c r="I3853">
        <v>36020.519999999997</v>
      </c>
      <c r="K3853" s="8"/>
    </row>
    <row r="3854" spans="1:11">
      <c r="A3854">
        <v>100003853</v>
      </c>
      <c r="B3854" t="s">
        <v>148</v>
      </c>
      <c r="C3854" t="s">
        <v>315</v>
      </c>
      <c r="D3854" t="s">
        <v>11</v>
      </c>
      <c r="E3854" s="9">
        <v>28</v>
      </c>
      <c r="F3854" t="s">
        <v>12</v>
      </c>
      <c r="G3854" t="s">
        <v>18</v>
      </c>
      <c r="H3854" s="7">
        <v>42359</v>
      </c>
      <c r="I3854">
        <v>54458.54</v>
      </c>
      <c r="K3854" s="7"/>
    </row>
    <row r="3855" spans="1:11">
      <c r="A3855">
        <v>100003854</v>
      </c>
      <c r="B3855" t="s">
        <v>150</v>
      </c>
      <c r="C3855" t="s">
        <v>116</v>
      </c>
      <c r="D3855" t="s">
        <v>16</v>
      </c>
      <c r="E3855" s="9">
        <v>22</v>
      </c>
      <c r="F3855" t="s">
        <v>12</v>
      </c>
      <c r="G3855" t="s">
        <v>13</v>
      </c>
      <c r="H3855" s="8">
        <v>42359</v>
      </c>
      <c r="I3855">
        <v>80667.649999999994</v>
      </c>
      <c r="K3855" s="8"/>
    </row>
    <row r="3856" spans="1:11">
      <c r="A3856">
        <v>100003855</v>
      </c>
      <c r="B3856" t="s">
        <v>135</v>
      </c>
      <c r="C3856" t="s">
        <v>130</v>
      </c>
      <c r="D3856" t="s">
        <v>11</v>
      </c>
      <c r="E3856" s="9">
        <v>27</v>
      </c>
      <c r="F3856" t="s">
        <v>12</v>
      </c>
      <c r="G3856" t="s">
        <v>13</v>
      </c>
      <c r="H3856" s="7">
        <v>42359</v>
      </c>
      <c r="I3856">
        <v>22525.46</v>
      </c>
      <c r="K3856" s="7"/>
    </row>
    <row r="3857" spans="1:11">
      <c r="A3857">
        <v>100003856</v>
      </c>
      <c r="B3857" t="s">
        <v>331</v>
      </c>
      <c r="C3857" t="s">
        <v>103</v>
      </c>
      <c r="D3857" t="s">
        <v>11</v>
      </c>
      <c r="E3857" s="9">
        <v>37</v>
      </c>
      <c r="F3857" t="s">
        <v>12</v>
      </c>
      <c r="G3857" t="s">
        <v>18</v>
      </c>
      <c r="H3857" s="8">
        <v>42359</v>
      </c>
      <c r="I3857">
        <v>23108.880000000001</v>
      </c>
      <c r="K3857" s="8"/>
    </row>
    <row r="3858" spans="1:11">
      <c r="A3858">
        <v>200003857</v>
      </c>
      <c r="B3858" t="s">
        <v>159</v>
      </c>
      <c r="C3858" t="s">
        <v>224</v>
      </c>
      <c r="D3858" t="s">
        <v>11</v>
      </c>
      <c r="E3858" s="9">
        <v>50</v>
      </c>
      <c r="F3858" t="s">
        <v>32</v>
      </c>
      <c r="G3858" t="s">
        <v>18</v>
      </c>
      <c r="H3858" s="7">
        <v>42359</v>
      </c>
      <c r="I3858">
        <v>37788.14</v>
      </c>
      <c r="K3858" s="7"/>
    </row>
    <row r="3859" spans="1:11">
      <c r="A3859">
        <v>200003858</v>
      </c>
      <c r="B3859" t="s">
        <v>34</v>
      </c>
      <c r="C3859" t="s">
        <v>286</v>
      </c>
      <c r="D3859" t="s">
        <v>16</v>
      </c>
      <c r="E3859" s="9">
        <v>43</v>
      </c>
      <c r="F3859" t="s">
        <v>32</v>
      </c>
      <c r="G3859" t="s">
        <v>33</v>
      </c>
      <c r="H3859" s="8">
        <v>42359</v>
      </c>
      <c r="I3859">
        <v>3297.32</v>
      </c>
      <c r="K3859" s="8"/>
    </row>
    <row r="3860" spans="1:11">
      <c r="A3860">
        <v>200003859</v>
      </c>
      <c r="B3860" t="s">
        <v>191</v>
      </c>
      <c r="C3860" t="s">
        <v>87</v>
      </c>
      <c r="D3860" t="s">
        <v>11</v>
      </c>
      <c r="E3860" s="9">
        <v>33</v>
      </c>
      <c r="F3860" t="s">
        <v>32</v>
      </c>
      <c r="G3860" t="s">
        <v>13</v>
      </c>
      <c r="H3860" s="7">
        <v>42359</v>
      </c>
      <c r="I3860">
        <v>655.36</v>
      </c>
      <c r="K3860" s="7"/>
    </row>
    <row r="3861" spans="1:11">
      <c r="A3861">
        <v>200003860</v>
      </c>
      <c r="B3861" t="s">
        <v>174</v>
      </c>
      <c r="C3861" t="s">
        <v>258</v>
      </c>
      <c r="D3861" t="s">
        <v>11</v>
      </c>
      <c r="E3861" s="9">
        <v>61</v>
      </c>
      <c r="F3861" t="s">
        <v>32</v>
      </c>
      <c r="G3861" t="s">
        <v>18</v>
      </c>
      <c r="H3861" s="8">
        <v>42359</v>
      </c>
      <c r="I3861">
        <v>36149.33</v>
      </c>
      <c r="K3861" s="8"/>
    </row>
    <row r="3862" spans="1:11">
      <c r="A3862">
        <v>200003861</v>
      </c>
      <c r="B3862" t="s">
        <v>231</v>
      </c>
      <c r="C3862" t="s">
        <v>297</v>
      </c>
      <c r="D3862" t="s">
        <v>11</v>
      </c>
      <c r="E3862" s="9">
        <v>56</v>
      </c>
      <c r="F3862" t="s">
        <v>32</v>
      </c>
      <c r="G3862" t="s">
        <v>18</v>
      </c>
      <c r="H3862" s="7">
        <v>42359</v>
      </c>
      <c r="I3862">
        <v>740.2</v>
      </c>
      <c r="K3862" s="7"/>
    </row>
    <row r="3863" spans="1:11">
      <c r="A3863">
        <v>200003862</v>
      </c>
      <c r="B3863" t="s">
        <v>177</v>
      </c>
      <c r="C3863" t="s">
        <v>247</v>
      </c>
      <c r="D3863" t="s">
        <v>11</v>
      </c>
      <c r="E3863" s="9">
        <v>42</v>
      </c>
      <c r="F3863" t="s">
        <v>32</v>
      </c>
      <c r="G3863" t="s">
        <v>18</v>
      </c>
      <c r="H3863" s="8">
        <v>42359</v>
      </c>
      <c r="I3863">
        <v>41989.440000000002</v>
      </c>
      <c r="K3863" s="8"/>
    </row>
    <row r="3864" spans="1:11">
      <c r="A3864">
        <v>200003863</v>
      </c>
      <c r="B3864" t="s">
        <v>197</v>
      </c>
      <c r="C3864" t="s">
        <v>100</v>
      </c>
      <c r="D3864" t="s">
        <v>11</v>
      </c>
      <c r="E3864" s="9">
        <v>54</v>
      </c>
      <c r="F3864" t="s">
        <v>32</v>
      </c>
      <c r="G3864" t="s">
        <v>18</v>
      </c>
      <c r="H3864" s="7">
        <v>42359</v>
      </c>
      <c r="I3864">
        <v>29769.98</v>
      </c>
      <c r="K3864" s="7"/>
    </row>
    <row r="3865" spans="1:11">
      <c r="A3865">
        <v>300003864</v>
      </c>
      <c r="B3865" t="s">
        <v>119</v>
      </c>
      <c r="C3865" t="s">
        <v>63</v>
      </c>
      <c r="D3865" t="s">
        <v>16</v>
      </c>
      <c r="E3865" s="9">
        <v>37</v>
      </c>
      <c r="F3865" t="s">
        <v>23</v>
      </c>
      <c r="G3865" t="s">
        <v>18</v>
      </c>
      <c r="H3865" s="8">
        <v>42359</v>
      </c>
      <c r="I3865">
        <v>101532.72</v>
      </c>
      <c r="K3865" s="8"/>
    </row>
    <row r="3866" spans="1:11">
      <c r="A3866">
        <v>100003865</v>
      </c>
      <c r="B3866" t="s">
        <v>60</v>
      </c>
      <c r="C3866" t="s">
        <v>134</v>
      </c>
      <c r="D3866" t="s">
        <v>11</v>
      </c>
      <c r="E3866" s="9">
        <v>36</v>
      </c>
      <c r="F3866" t="s">
        <v>12</v>
      </c>
      <c r="G3866" t="s">
        <v>13</v>
      </c>
      <c r="H3866" s="7">
        <v>42360</v>
      </c>
      <c r="I3866">
        <v>7729.82</v>
      </c>
      <c r="K3866" s="7"/>
    </row>
    <row r="3867" spans="1:11">
      <c r="A3867">
        <v>100003866</v>
      </c>
      <c r="B3867" t="s">
        <v>250</v>
      </c>
      <c r="C3867" t="s">
        <v>35</v>
      </c>
      <c r="D3867" t="s">
        <v>16</v>
      </c>
      <c r="E3867" s="9">
        <v>38</v>
      </c>
      <c r="F3867" t="s">
        <v>12</v>
      </c>
      <c r="G3867" t="s">
        <v>18</v>
      </c>
      <c r="H3867" s="8">
        <v>42360</v>
      </c>
      <c r="I3867">
        <v>94159.679999999993</v>
      </c>
      <c r="K3867" s="8"/>
    </row>
    <row r="3868" spans="1:11">
      <c r="A3868">
        <v>100003867</v>
      </c>
      <c r="B3868" t="s">
        <v>191</v>
      </c>
      <c r="C3868" t="s">
        <v>138</v>
      </c>
      <c r="D3868" t="s">
        <v>11</v>
      </c>
      <c r="E3868" s="9">
        <v>30</v>
      </c>
      <c r="F3868" t="s">
        <v>12</v>
      </c>
      <c r="G3868" t="s">
        <v>18</v>
      </c>
      <c r="H3868" s="7">
        <v>42360</v>
      </c>
      <c r="I3868">
        <v>108224.88</v>
      </c>
      <c r="K3868" s="7"/>
    </row>
    <row r="3869" spans="1:11">
      <c r="A3869">
        <v>100003868</v>
      </c>
      <c r="B3869" t="s">
        <v>159</v>
      </c>
      <c r="C3869" t="s">
        <v>164</v>
      </c>
      <c r="D3869" t="s">
        <v>11</v>
      </c>
      <c r="E3869" s="9">
        <v>37</v>
      </c>
      <c r="F3869" t="s">
        <v>12</v>
      </c>
      <c r="G3869" t="s">
        <v>18</v>
      </c>
      <c r="H3869" s="8">
        <v>42360</v>
      </c>
      <c r="I3869">
        <v>17331.37</v>
      </c>
      <c r="K3869" s="8"/>
    </row>
    <row r="3870" spans="1:11">
      <c r="A3870">
        <v>100003869</v>
      </c>
      <c r="B3870" t="s">
        <v>332</v>
      </c>
      <c r="C3870" t="s">
        <v>108</v>
      </c>
      <c r="D3870" t="s">
        <v>11</v>
      </c>
      <c r="E3870" s="9">
        <v>27</v>
      </c>
      <c r="F3870" t="s">
        <v>12</v>
      </c>
      <c r="G3870" t="s">
        <v>13</v>
      </c>
      <c r="H3870" s="7">
        <v>42360</v>
      </c>
      <c r="I3870">
        <v>35451.370000000003</v>
      </c>
      <c r="K3870" s="7"/>
    </row>
    <row r="3871" spans="1:11">
      <c r="A3871">
        <v>200003870</v>
      </c>
      <c r="B3871" t="s">
        <v>168</v>
      </c>
      <c r="C3871" t="s">
        <v>106</v>
      </c>
      <c r="D3871" t="s">
        <v>16</v>
      </c>
      <c r="E3871" s="9">
        <v>60</v>
      </c>
      <c r="F3871" t="s">
        <v>32</v>
      </c>
      <c r="G3871" t="s">
        <v>33</v>
      </c>
      <c r="H3871" s="8">
        <v>42360</v>
      </c>
      <c r="I3871">
        <v>28541.14</v>
      </c>
      <c r="K3871" s="8"/>
    </row>
    <row r="3872" spans="1:11">
      <c r="A3872">
        <v>200003871</v>
      </c>
      <c r="B3872" t="s">
        <v>232</v>
      </c>
      <c r="C3872" t="s">
        <v>142</v>
      </c>
      <c r="D3872" t="s">
        <v>16</v>
      </c>
      <c r="E3872" s="9">
        <v>44</v>
      </c>
      <c r="F3872" t="s">
        <v>32</v>
      </c>
      <c r="G3872" t="s">
        <v>33</v>
      </c>
      <c r="H3872" s="7">
        <v>42360</v>
      </c>
      <c r="I3872">
        <v>14635.36</v>
      </c>
      <c r="K3872" s="7"/>
    </row>
    <row r="3873" spans="1:11">
      <c r="A3873">
        <v>300003872</v>
      </c>
      <c r="B3873" t="s">
        <v>89</v>
      </c>
      <c r="C3873" t="s">
        <v>238</v>
      </c>
      <c r="D3873" t="s">
        <v>11</v>
      </c>
      <c r="E3873" s="9">
        <v>45</v>
      </c>
      <c r="F3873" t="s">
        <v>23</v>
      </c>
      <c r="G3873" t="s">
        <v>13</v>
      </c>
      <c r="H3873" s="8">
        <v>42360</v>
      </c>
      <c r="I3873">
        <v>28483.25</v>
      </c>
      <c r="K3873" s="8"/>
    </row>
    <row r="3874" spans="1:11">
      <c r="A3874">
        <v>100003873</v>
      </c>
      <c r="B3874" t="s">
        <v>273</v>
      </c>
      <c r="C3874" t="s">
        <v>164</v>
      </c>
      <c r="D3874" t="s">
        <v>11</v>
      </c>
      <c r="E3874" s="9">
        <v>38</v>
      </c>
      <c r="F3874" t="s">
        <v>12</v>
      </c>
      <c r="G3874" t="s">
        <v>13</v>
      </c>
      <c r="H3874" s="7">
        <v>42361</v>
      </c>
      <c r="I3874">
        <v>72352.009999999995</v>
      </c>
      <c r="K3874" s="7"/>
    </row>
    <row r="3875" spans="1:11">
      <c r="A3875">
        <v>100003874</v>
      </c>
      <c r="B3875" t="s">
        <v>83</v>
      </c>
      <c r="C3875" t="s">
        <v>130</v>
      </c>
      <c r="D3875" t="s">
        <v>16</v>
      </c>
      <c r="E3875" s="9">
        <v>34</v>
      </c>
      <c r="F3875" t="s">
        <v>12</v>
      </c>
      <c r="G3875" t="s">
        <v>18</v>
      </c>
      <c r="H3875" s="8">
        <v>42361</v>
      </c>
      <c r="I3875">
        <v>32700.03</v>
      </c>
      <c r="K3875" s="8"/>
    </row>
    <row r="3876" spans="1:11">
      <c r="A3876">
        <v>100003875</v>
      </c>
      <c r="B3876" t="s">
        <v>50</v>
      </c>
      <c r="C3876" t="s">
        <v>198</v>
      </c>
      <c r="D3876" t="s">
        <v>16</v>
      </c>
      <c r="E3876" s="9">
        <v>37</v>
      </c>
      <c r="F3876" t="s">
        <v>12</v>
      </c>
      <c r="G3876" t="s">
        <v>13</v>
      </c>
      <c r="H3876" s="7">
        <v>42361</v>
      </c>
      <c r="I3876">
        <v>6110.25</v>
      </c>
      <c r="K3876" s="7"/>
    </row>
    <row r="3877" spans="1:11">
      <c r="A3877">
        <v>100003876</v>
      </c>
      <c r="B3877" t="s">
        <v>21</v>
      </c>
      <c r="C3877" t="s">
        <v>233</v>
      </c>
      <c r="D3877" t="s">
        <v>11</v>
      </c>
      <c r="E3877" s="9">
        <v>26</v>
      </c>
      <c r="F3877" t="s">
        <v>12</v>
      </c>
      <c r="G3877" t="s">
        <v>33</v>
      </c>
      <c r="H3877" s="8">
        <v>42361</v>
      </c>
      <c r="I3877">
        <v>99642.13</v>
      </c>
      <c r="K3877" s="8"/>
    </row>
    <row r="3878" spans="1:11">
      <c r="A3878">
        <v>100003877</v>
      </c>
      <c r="B3878" t="s">
        <v>296</v>
      </c>
      <c r="C3878" t="s">
        <v>225</v>
      </c>
      <c r="D3878" t="s">
        <v>11</v>
      </c>
      <c r="E3878" s="9">
        <v>29</v>
      </c>
      <c r="F3878" t="s">
        <v>12</v>
      </c>
      <c r="G3878" t="s">
        <v>13</v>
      </c>
      <c r="H3878" s="7">
        <v>42361</v>
      </c>
      <c r="I3878">
        <v>23963.27</v>
      </c>
      <c r="K3878" s="7"/>
    </row>
    <row r="3879" spans="1:11">
      <c r="A3879">
        <v>100003878</v>
      </c>
      <c r="B3879" t="s">
        <v>263</v>
      </c>
      <c r="C3879" t="s">
        <v>95</v>
      </c>
      <c r="D3879" t="s">
        <v>16</v>
      </c>
      <c r="E3879" s="9">
        <v>25</v>
      </c>
      <c r="F3879" t="s">
        <v>12</v>
      </c>
      <c r="G3879" t="s">
        <v>13</v>
      </c>
      <c r="H3879" s="8">
        <v>42361</v>
      </c>
      <c r="I3879">
        <v>5121.17</v>
      </c>
      <c r="K3879" s="8"/>
    </row>
    <row r="3880" spans="1:11">
      <c r="A3880">
        <v>100003879</v>
      </c>
      <c r="B3880" t="s">
        <v>229</v>
      </c>
      <c r="C3880" t="s">
        <v>164</v>
      </c>
      <c r="D3880" t="s">
        <v>16</v>
      </c>
      <c r="E3880" s="9">
        <v>36</v>
      </c>
      <c r="F3880" t="s">
        <v>12</v>
      </c>
      <c r="G3880" t="s">
        <v>13</v>
      </c>
      <c r="H3880" s="7">
        <v>42361</v>
      </c>
      <c r="I3880">
        <v>37684.71</v>
      </c>
      <c r="K3880" s="7"/>
    </row>
    <row r="3881" spans="1:11">
      <c r="A3881">
        <v>100003880</v>
      </c>
      <c r="B3881" t="s">
        <v>55</v>
      </c>
      <c r="C3881" t="s">
        <v>259</v>
      </c>
      <c r="D3881" t="s">
        <v>11</v>
      </c>
      <c r="E3881" s="9">
        <v>21</v>
      </c>
      <c r="F3881" t="s">
        <v>12</v>
      </c>
      <c r="G3881" t="s">
        <v>13</v>
      </c>
      <c r="H3881" s="8">
        <v>42361</v>
      </c>
      <c r="I3881">
        <v>18508.11</v>
      </c>
      <c r="K3881" s="8"/>
    </row>
    <row r="3882" spans="1:11">
      <c r="A3882">
        <v>100003881</v>
      </c>
      <c r="B3882" t="s">
        <v>309</v>
      </c>
      <c r="C3882" t="s">
        <v>140</v>
      </c>
      <c r="D3882" t="s">
        <v>16</v>
      </c>
      <c r="E3882" s="9">
        <v>36</v>
      </c>
      <c r="F3882" t="s">
        <v>12</v>
      </c>
      <c r="G3882" t="s">
        <v>13</v>
      </c>
      <c r="H3882" s="7">
        <v>42361</v>
      </c>
      <c r="I3882">
        <v>47392.56</v>
      </c>
      <c r="K3882" s="7"/>
    </row>
    <row r="3883" spans="1:11">
      <c r="A3883">
        <v>100003882</v>
      </c>
      <c r="B3883" t="s">
        <v>263</v>
      </c>
      <c r="C3883" t="s">
        <v>160</v>
      </c>
      <c r="D3883" t="s">
        <v>16</v>
      </c>
      <c r="E3883" s="9">
        <v>35</v>
      </c>
      <c r="F3883" t="s">
        <v>12</v>
      </c>
      <c r="G3883" t="s">
        <v>18</v>
      </c>
      <c r="H3883" s="8">
        <v>42361</v>
      </c>
      <c r="I3883">
        <v>168.18</v>
      </c>
      <c r="K3883" s="8"/>
    </row>
    <row r="3884" spans="1:11">
      <c r="A3884">
        <v>100003883</v>
      </c>
      <c r="B3884" t="s">
        <v>280</v>
      </c>
      <c r="C3884" t="s">
        <v>125</v>
      </c>
      <c r="D3884" t="s">
        <v>11</v>
      </c>
      <c r="E3884" s="9">
        <v>38</v>
      </c>
      <c r="F3884" t="s">
        <v>12</v>
      </c>
      <c r="G3884" t="s">
        <v>13</v>
      </c>
      <c r="H3884" s="7">
        <v>42361</v>
      </c>
      <c r="I3884">
        <v>27984.32</v>
      </c>
      <c r="K3884" s="7"/>
    </row>
    <row r="3885" spans="1:11">
      <c r="A3885">
        <v>100003884</v>
      </c>
      <c r="B3885" t="s">
        <v>221</v>
      </c>
      <c r="C3885" t="s">
        <v>295</v>
      </c>
      <c r="D3885" t="s">
        <v>16</v>
      </c>
      <c r="E3885" s="9">
        <v>30</v>
      </c>
      <c r="F3885" t="s">
        <v>12</v>
      </c>
      <c r="G3885" t="s">
        <v>13</v>
      </c>
      <c r="H3885" s="8">
        <v>42361</v>
      </c>
      <c r="I3885">
        <v>17188.21</v>
      </c>
      <c r="K3885" s="8"/>
    </row>
    <row r="3886" spans="1:11">
      <c r="A3886">
        <v>100003885</v>
      </c>
      <c r="B3886" t="s">
        <v>309</v>
      </c>
      <c r="C3886" t="s">
        <v>125</v>
      </c>
      <c r="D3886" t="s">
        <v>16</v>
      </c>
      <c r="E3886" s="9">
        <v>29</v>
      </c>
      <c r="F3886" t="s">
        <v>12</v>
      </c>
      <c r="G3886" t="s">
        <v>13</v>
      </c>
      <c r="H3886" s="7">
        <v>42361</v>
      </c>
      <c r="I3886">
        <v>98.68</v>
      </c>
      <c r="K3886" s="7"/>
    </row>
    <row r="3887" spans="1:11">
      <c r="A3887">
        <v>100003886</v>
      </c>
      <c r="B3887" t="s">
        <v>249</v>
      </c>
      <c r="C3887" t="s">
        <v>104</v>
      </c>
      <c r="D3887" t="s">
        <v>16</v>
      </c>
      <c r="E3887" s="9">
        <v>33</v>
      </c>
      <c r="F3887" t="s">
        <v>12</v>
      </c>
      <c r="G3887" t="s">
        <v>18</v>
      </c>
      <c r="H3887" s="8">
        <v>42361</v>
      </c>
      <c r="I3887">
        <v>45536.82</v>
      </c>
      <c r="K3887" s="8"/>
    </row>
    <row r="3888" spans="1:11">
      <c r="A3888">
        <v>100003887</v>
      </c>
      <c r="B3888" t="s">
        <v>105</v>
      </c>
      <c r="C3888" t="s">
        <v>123</v>
      </c>
      <c r="D3888" t="s">
        <v>16</v>
      </c>
      <c r="E3888" s="9">
        <v>38</v>
      </c>
      <c r="F3888" t="s">
        <v>12</v>
      </c>
      <c r="G3888" t="s">
        <v>13</v>
      </c>
      <c r="H3888" s="7">
        <v>42361</v>
      </c>
      <c r="I3888">
        <v>30701.78</v>
      </c>
      <c r="K3888" s="7"/>
    </row>
    <row r="3889" spans="1:11">
      <c r="A3889">
        <v>100003888</v>
      </c>
      <c r="B3889" t="s">
        <v>60</v>
      </c>
      <c r="C3889" t="s">
        <v>257</v>
      </c>
      <c r="D3889" t="s">
        <v>11</v>
      </c>
      <c r="E3889" s="9">
        <v>31</v>
      </c>
      <c r="F3889" t="s">
        <v>12</v>
      </c>
      <c r="G3889" t="s">
        <v>13</v>
      </c>
      <c r="H3889" s="8">
        <v>42361</v>
      </c>
      <c r="I3889">
        <v>48932.49</v>
      </c>
      <c r="K3889" s="8"/>
    </row>
    <row r="3890" spans="1:11">
      <c r="A3890">
        <v>100003889</v>
      </c>
      <c r="B3890" t="s">
        <v>154</v>
      </c>
      <c r="C3890" t="s">
        <v>88</v>
      </c>
      <c r="D3890" t="s">
        <v>16</v>
      </c>
      <c r="E3890" s="9">
        <v>36</v>
      </c>
      <c r="F3890" t="s">
        <v>12</v>
      </c>
      <c r="G3890" t="s">
        <v>13</v>
      </c>
      <c r="H3890" s="7">
        <v>42361</v>
      </c>
      <c r="I3890">
        <v>4867.07</v>
      </c>
      <c r="K3890" s="7"/>
    </row>
    <row r="3891" spans="1:11">
      <c r="A3891">
        <v>100003890</v>
      </c>
      <c r="B3891" t="s">
        <v>293</v>
      </c>
      <c r="C3891" t="s">
        <v>96</v>
      </c>
      <c r="D3891" t="s">
        <v>11</v>
      </c>
      <c r="E3891" s="9">
        <v>40</v>
      </c>
      <c r="F3891" t="s">
        <v>12</v>
      </c>
      <c r="G3891" t="s">
        <v>13</v>
      </c>
      <c r="H3891" s="8">
        <v>42361</v>
      </c>
      <c r="I3891">
        <v>63320.75</v>
      </c>
      <c r="K3891" s="8"/>
    </row>
    <row r="3892" spans="1:11">
      <c r="A3892">
        <v>100003891</v>
      </c>
      <c r="B3892" t="s">
        <v>115</v>
      </c>
      <c r="C3892" t="s">
        <v>127</v>
      </c>
      <c r="D3892" t="s">
        <v>16</v>
      </c>
      <c r="E3892" s="9">
        <v>37</v>
      </c>
      <c r="F3892" t="s">
        <v>12</v>
      </c>
      <c r="G3892" t="s">
        <v>13</v>
      </c>
      <c r="H3892" s="7">
        <v>42361</v>
      </c>
      <c r="I3892">
        <v>39673.839999999997</v>
      </c>
      <c r="K3892" s="7"/>
    </row>
    <row r="3893" spans="1:11">
      <c r="A3893">
        <v>100003892</v>
      </c>
      <c r="B3893" t="s">
        <v>192</v>
      </c>
      <c r="C3893" t="s">
        <v>313</v>
      </c>
      <c r="D3893" t="s">
        <v>16</v>
      </c>
      <c r="E3893" s="9">
        <v>35</v>
      </c>
      <c r="F3893" t="s">
        <v>12</v>
      </c>
      <c r="G3893" t="s">
        <v>13</v>
      </c>
      <c r="H3893" s="8">
        <v>42361</v>
      </c>
      <c r="I3893">
        <v>26111.439999999999</v>
      </c>
      <c r="K3893" s="8"/>
    </row>
    <row r="3894" spans="1:11">
      <c r="A3894">
        <v>100003893</v>
      </c>
      <c r="B3894" t="s">
        <v>30</v>
      </c>
      <c r="C3894" t="s">
        <v>91</v>
      </c>
      <c r="D3894" t="s">
        <v>16</v>
      </c>
      <c r="E3894" s="9">
        <v>20</v>
      </c>
      <c r="F3894" t="s">
        <v>12</v>
      </c>
      <c r="G3894" t="s">
        <v>13</v>
      </c>
      <c r="H3894" s="7">
        <v>42361</v>
      </c>
      <c r="I3894">
        <v>34528.03</v>
      </c>
      <c r="K3894" s="7"/>
    </row>
    <row r="3895" spans="1:11">
      <c r="A3895">
        <v>100003894</v>
      </c>
      <c r="B3895" t="s">
        <v>175</v>
      </c>
      <c r="C3895" t="s">
        <v>78</v>
      </c>
      <c r="D3895" t="s">
        <v>11</v>
      </c>
      <c r="E3895" s="9">
        <v>38</v>
      </c>
      <c r="F3895" t="s">
        <v>12</v>
      </c>
      <c r="G3895" t="s">
        <v>13</v>
      </c>
      <c r="H3895" s="8">
        <v>42361</v>
      </c>
      <c r="I3895">
        <v>46663.19</v>
      </c>
      <c r="K3895" s="8"/>
    </row>
    <row r="3896" spans="1:11">
      <c r="A3896">
        <v>100003895</v>
      </c>
      <c r="B3896" t="s">
        <v>293</v>
      </c>
      <c r="C3896" t="s">
        <v>222</v>
      </c>
      <c r="D3896" t="s">
        <v>11</v>
      </c>
      <c r="E3896" s="9">
        <v>38</v>
      </c>
      <c r="F3896" t="s">
        <v>12</v>
      </c>
      <c r="G3896" t="s">
        <v>13</v>
      </c>
      <c r="H3896" s="7">
        <v>42361</v>
      </c>
      <c r="I3896">
        <v>31323.94</v>
      </c>
      <c r="K3896" s="7"/>
    </row>
    <row r="3897" spans="1:11">
      <c r="A3897">
        <v>100003896</v>
      </c>
      <c r="B3897" t="s">
        <v>328</v>
      </c>
      <c r="C3897" t="s">
        <v>170</v>
      </c>
      <c r="D3897" t="s">
        <v>11</v>
      </c>
      <c r="E3897" s="9">
        <v>31</v>
      </c>
      <c r="F3897" t="s">
        <v>12</v>
      </c>
      <c r="G3897" t="s">
        <v>13</v>
      </c>
      <c r="H3897" s="8">
        <v>42361</v>
      </c>
      <c r="I3897">
        <v>76429.81</v>
      </c>
      <c r="K3897" s="8"/>
    </row>
    <row r="3898" spans="1:11">
      <c r="A3898">
        <v>200003897</v>
      </c>
      <c r="B3898" t="s">
        <v>143</v>
      </c>
      <c r="C3898" t="s">
        <v>270</v>
      </c>
      <c r="D3898" t="s">
        <v>11</v>
      </c>
      <c r="E3898" s="9">
        <v>48</v>
      </c>
      <c r="F3898" t="s">
        <v>32</v>
      </c>
      <c r="G3898" t="s">
        <v>18</v>
      </c>
      <c r="H3898" s="7">
        <v>42361</v>
      </c>
      <c r="I3898">
        <v>2991.66</v>
      </c>
      <c r="K3898" s="7"/>
    </row>
    <row r="3899" spans="1:11">
      <c r="A3899">
        <v>200003898</v>
      </c>
      <c r="B3899" t="s">
        <v>51</v>
      </c>
      <c r="C3899" t="s">
        <v>241</v>
      </c>
      <c r="D3899" t="s">
        <v>11</v>
      </c>
      <c r="E3899" s="9">
        <v>58</v>
      </c>
      <c r="F3899" t="s">
        <v>32</v>
      </c>
      <c r="G3899" t="s">
        <v>18</v>
      </c>
      <c r="H3899" s="8">
        <v>42361</v>
      </c>
      <c r="I3899">
        <v>11925.05</v>
      </c>
      <c r="K3899" s="8"/>
    </row>
    <row r="3900" spans="1:11">
      <c r="A3900">
        <v>200003899</v>
      </c>
      <c r="B3900" t="s">
        <v>19</v>
      </c>
      <c r="C3900" t="s">
        <v>292</v>
      </c>
      <c r="D3900" t="s">
        <v>11</v>
      </c>
      <c r="E3900" s="9">
        <v>53</v>
      </c>
      <c r="F3900" t="s">
        <v>32</v>
      </c>
      <c r="G3900" t="s">
        <v>18</v>
      </c>
      <c r="H3900" s="7">
        <v>42361</v>
      </c>
      <c r="I3900">
        <v>680.55</v>
      </c>
      <c r="K3900" s="7"/>
    </row>
    <row r="3901" spans="1:11">
      <c r="A3901">
        <v>200003900</v>
      </c>
      <c r="B3901" t="s">
        <v>273</v>
      </c>
      <c r="C3901" t="s">
        <v>209</v>
      </c>
      <c r="D3901" t="s">
        <v>11</v>
      </c>
      <c r="E3901" s="9">
        <v>30</v>
      </c>
      <c r="F3901" t="s">
        <v>32</v>
      </c>
      <c r="G3901" t="s">
        <v>33</v>
      </c>
      <c r="H3901" s="8">
        <v>42361</v>
      </c>
      <c r="I3901">
        <v>26818.45</v>
      </c>
      <c r="K3901" s="8"/>
    </row>
    <row r="3902" spans="1:11">
      <c r="A3902">
        <v>200003901</v>
      </c>
      <c r="B3902" t="s">
        <v>143</v>
      </c>
      <c r="C3902" t="s">
        <v>52</v>
      </c>
      <c r="D3902" t="s">
        <v>11</v>
      </c>
      <c r="E3902" s="9">
        <v>45</v>
      </c>
      <c r="F3902" t="s">
        <v>32</v>
      </c>
      <c r="G3902" t="s">
        <v>18</v>
      </c>
      <c r="H3902" s="7">
        <v>42361</v>
      </c>
      <c r="I3902">
        <v>3052.4</v>
      </c>
      <c r="K3902" s="7"/>
    </row>
    <row r="3903" spans="1:11">
      <c r="A3903">
        <v>200003902</v>
      </c>
      <c r="B3903" t="s">
        <v>250</v>
      </c>
      <c r="C3903" t="s">
        <v>282</v>
      </c>
      <c r="D3903" t="s">
        <v>16</v>
      </c>
      <c r="E3903" s="9">
        <v>56</v>
      </c>
      <c r="F3903" t="s">
        <v>32</v>
      </c>
      <c r="G3903" t="s">
        <v>33</v>
      </c>
      <c r="H3903" s="8">
        <v>42361</v>
      </c>
      <c r="I3903">
        <v>66211.28</v>
      </c>
      <c r="K3903" s="8"/>
    </row>
    <row r="3904" spans="1:11">
      <c r="A3904">
        <v>200003903</v>
      </c>
      <c r="B3904" t="s">
        <v>268</v>
      </c>
      <c r="C3904" t="s">
        <v>144</v>
      </c>
      <c r="D3904" t="s">
        <v>16</v>
      </c>
      <c r="E3904" s="9">
        <v>37</v>
      </c>
      <c r="F3904" t="s">
        <v>32</v>
      </c>
      <c r="G3904" t="s">
        <v>33</v>
      </c>
      <c r="H3904" s="7">
        <v>42361</v>
      </c>
      <c r="I3904">
        <v>59655.79</v>
      </c>
      <c r="K3904" s="7"/>
    </row>
    <row r="3905" spans="1:11">
      <c r="A3905">
        <v>200003904</v>
      </c>
      <c r="B3905" t="s">
        <v>28</v>
      </c>
      <c r="C3905" t="s">
        <v>322</v>
      </c>
      <c r="D3905" t="s">
        <v>16</v>
      </c>
      <c r="E3905" s="9">
        <v>57</v>
      </c>
      <c r="F3905" t="s">
        <v>32</v>
      </c>
      <c r="G3905" t="s">
        <v>33</v>
      </c>
      <c r="H3905" s="8">
        <v>42361</v>
      </c>
      <c r="I3905">
        <v>38534.15</v>
      </c>
      <c r="K3905" s="8"/>
    </row>
    <row r="3906" spans="1:11">
      <c r="A3906">
        <v>200003905</v>
      </c>
      <c r="B3906" t="s">
        <v>159</v>
      </c>
      <c r="C3906" t="s">
        <v>242</v>
      </c>
      <c r="D3906" t="s">
        <v>11</v>
      </c>
      <c r="E3906" s="9">
        <v>44</v>
      </c>
      <c r="F3906" t="s">
        <v>32</v>
      </c>
      <c r="G3906" t="s">
        <v>18</v>
      </c>
      <c r="H3906" s="7">
        <v>42361</v>
      </c>
      <c r="I3906">
        <v>4611.45</v>
      </c>
      <c r="K3906" s="7"/>
    </row>
    <row r="3907" spans="1:11">
      <c r="A3907">
        <v>200003906</v>
      </c>
      <c r="B3907" t="s">
        <v>110</v>
      </c>
      <c r="C3907" t="s">
        <v>253</v>
      </c>
      <c r="D3907" t="s">
        <v>16</v>
      </c>
      <c r="E3907" s="9">
        <v>58</v>
      </c>
      <c r="F3907" t="s">
        <v>32</v>
      </c>
      <c r="G3907" t="s">
        <v>33</v>
      </c>
      <c r="H3907" s="8">
        <v>42361</v>
      </c>
      <c r="I3907">
        <v>59941.68</v>
      </c>
      <c r="K3907" s="8"/>
    </row>
    <row r="3908" spans="1:11">
      <c r="A3908">
        <v>200003907</v>
      </c>
      <c r="B3908" t="s">
        <v>312</v>
      </c>
      <c r="C3908" t="s">
        <v>258</v>
      </c>
      <c r="D3908" t="s">
        <v>11</v>
      </c>
      <c r="E3908" s="9">
        <v>56</v>
      </c>
      <c r="F3908" t="s">
        <v>32</v>
      </c>
      <c r="G3908" t="s">
        <v>33</v>
      </c>
      <c r="H3908" s="7">
        <v>42361</v>
      </c>
      <c r="I3908">
        <v>76278.37</v>
      </c>
      <c r="K3908" s="7"/>
    </row>
    <row r="3909" spans="1:11">
      <c r="A3909">
        <v>300003908</v>
      </c>
      <c r="B3909" t="s">
        <v>126</v>
      </c>
      <c r="C3909" t="s">
        <v>10</v>
      </c>
      <c r="D3909" t="s">
        <v>16</v>
      </c>
      <c r="E3909" s="9">
        <v>28</v>
      </c>
      <c r="F3909" t="s">
        <v>23</v>
      </c>
      <c r="G3909" t="s">
        <v>13</v>
      </c>
      <c r="H3909" s="8">
        <v>42361</v>
      </c>
      <c r="I3909">
        <v>35567.660000000003</v>
      </c>
      <c r="K3909" s="8"/>
    </row>
    <row r="3910" spans="1:11">
      <c r="A3910">
        <v>300003909</v>
      </c>
      <c r="B3910" t="s">
        <v>147</v>
      </c>
      <c r="C3910" t="s">
        <v>266</v>
      </c>
      <c r="D3910" t="s">
        <v>11</v>
      </c>
      <c r="E3910" s="9">
        <v>37</v>
      </c>
      <c r="F3910" t="s">
        <v>23</v>
      </c>
      <c r="G3910" t="s">
        <v>13</v>
      </c>
      <c r="H3910" s="7">
        <v>42361</v>
      </c>
      <c r="I3910">
        <v>37483.99</v>
      </c>
      <c r="K3910" s="7"/>
    </row>
    <row r="3911" spans="1:11">
      <c r="A3911">
        <v>300003910</v>
      </c>
      <c r="B3911" t="s">
        <v>174</v>
      </c>
      <c r="C3911" t="s">
        <v>109</v>
      </c>
      <c r="D3911" t="s">
        <v>11</v>
      </c>
      <c r="E3911" s="9">
        <v>24</v>
      </c>
      <c r="F3911" t="s">
        <v>23</v>
      </c>
      <c r="G3911" t="s">
        <v>33</v>
      </c>
      <c r="H3911" s="8">
        <v>42361</v>
      </c>
      <c r="I3911">
        <v>7552.5</v>
      </c>
      <c r="K3911" s="8"/>
    </row>
    <row r="3912" spans="1:11">
      <c r="A3912">
        <v>300003911</v>
      </c>
      <c r="B3912" t="s">
        <v>319</v>
      </c>
      <c r="C3912" t="s">
        <v>59</v>
      </c>
      <c r="D3912" t="s">
        <v>16</v>
      </c>
      <c r="E3912" s="9">
        <v>36</v>
      </c>
      <c r="F3912" t="s">
        <v>23</v>
      </c>
      <c r="G3912" t="s">
        <v>18</v>
      </c>
      <c r="H3912" s="7">
        <v>42361</v>
      </c>
      <c r="I3912">
        <v>54473.03</v>
      </c>
      <c r="K3912" s="7"/>
    </row>
    <row r="3913" spans="1:11">
      <c r="A3913">
        <v>300003912</v>
      </c>
      <c r="B3913" t="s">
        <v>220</v>
      </c>
      <c r="C3913" t="s">
        <v>163</v>
      </c>
      <c r="D3913" t="s">
        <v>16</v>
      </c>
      <c r="E3913" s="9">
        <v>38</v>
      </c>
      <c r="F3913" t="s">
        <v>23</v>
      </c>
      <c r="G3913" t="s">
        <v>13</v>
      </c>
      <c r="H3913" s="8">
        <v>42361</v>
      </c>
      <c r="I3913">
        <v>15436.43</v>
      </c>
      <c r="K3913" s="8"/>
    </row>
    <row r="3914" spans="1:11">
      <c r="A3914">
        <v>100003913</v>
      </c>
      <c r="B3914" t="s">
        <v>193</v>
      </c>
      <c r="C3914" t="s">
        <v>43</v>
      </c>
      <c r="D3914" t="s">
        <v>11</v>
      </c>
      <c r="E3914" s="9">
        <v>29</v>
      </c>
      <c r="F3914" t="s">
        <v>12</v>
      </c>
      <c r="G3914" t="s">
        <v>33</v>
      </c>
      <c r="H3914" s="7">
        <v>42362</v>
      </c>
      <c r="I3914">
        <v>16997.689999999999</v>
      </c>
      <c r="K3914" s="7"/>
    </row>
    <row r="3915" spans="1:11">
      <c r="A3915">
        <v>100003914</v>
      </c>
      <c r="B3915" t="s">
        <v>235</v>
      </c>
      <c r="C3915" t="s">
        <v>45</v>
      </c>
      <c r="D3915" t="s">
        <v>11</v>
      </c>
      <c r="E3915" s="9">
        <v>37</v>
      </c>
      <c r="F3915" t="s">
        <v>12</v>
      </c>
      <c r="G3915" t="s">
        <v>13</v>
      </c>
      <c r="H3915" s="8">
        <v>42362</v>
      </c>
      <c r="I3915">
        <v>74633.009999999995</v>
      </c>
      <c r="K3915" s="8"/>
    </row>
    <row r="3916" spans="1:11">
      <c r="A3916">
        <v>100003915</v>
      </c>
      <c r="B3916" t="s">
        <v>249</v>
      </c>
      <c r="C3916" t="s">
        <v>288</v>
      </c>
      <c r="D3916" t="s">
        <v>16</v>
      </c>
      <c r="E3916" s="9">
        <v>29</v>
      </c>
      <c r="F3916" t="s">
        <v>12</v>
      </c>
      <c r="G3916" t="s">
        <v>13</v>
      </c>
      <c r="H3916" s="7">
        <v>42362</v>
      </c>
      <c r="I3916">
        <v>26802.82</v>
      </c>
      <c r="K3916" s="7"/>
    </row>
    <row r="3917" spans="1:11">
      <c r="A3917">
        <v>100003916</v>
      </c>
      <c r="B3917" t="s">
        <v>50</v>
      </c>
      <c r="C3917" t="s">
        <v>266</v>
      </c>
      <c r="D3917" t="s">
        <v>16</v>
      </c>
      <c r="E3917" s="9">
        <v>39</v>
      </c>
      <c r="F3917" t="s">
        <v>12</v>
      </c>
      <c r="G3917" t="s">
        <v>18</v>
      </c>
      <c r="H3917" s="8">
        <v>42362</v>
      </c>
      <c r="I3917">
        <v>23208.75</v>
      </c>
      <c r="K3917" s="8"/>
    </row>
    <row r="3918" spans="1:11">
      <c r="A3918">
        <v>100003917</v>
      </c>
      <c r="B3918" t="s">
        <v>53</v>
      </c>
      <c r="C3918" t="s">
        <v>10</v>
      </c>
      <c r="D3918" t="s">
        <v>16</v>
      </c>
      <c r="E3918" s="9">
        <v>29</v>
      </c>
      <c r="F3918" t="s">
        <v>12</v>
      </c>
      <c r="G3918" t="s">
        <v>13</v>
      </c>
      <c r="H3918" s="7">
        <v>42362</v>
      </c>
      <c r="I3918">
        <v>37466.44</v>
      </c>
      <c r="K3918" s="7"/>
    </row>
    <row r="3919" spans="1:11">
      <c r="A3919">
        <v>100003918</v>
      </c>
      <c r="B3919" t="s">
        <v>319</v>
      </c>
      <c r="C3919" t="s">
        <v>77</v>
      </c>
      <c r="D3919" t="s">
        <v>16</v>
      </c>
      <c r="E3919" s="9">
        <v>33</v>
      </c>
      <c r="F3919" t="s">
        <v>12</v>
      </c>
      <c r="G3919" t="s">
        <v>13</v>
      </c>
      <c r="H3919" s="8">
        <v>42362</v>
      </c>
      <c r="I3919">
        <v>19092.990000000002</v>
      </c>
      <c r="K3919" s="8"/>
    </row>
    <row r="3920" spans="1:11">
      <c r="A3920">
        <v>100003919</v>
      </c>
      <c r="B3920" t="s">
        <v>133</v>
      </c>
      <c r="C3920" t="s">
        <v>27</v>
      </c>
      <c r="D3920" t="s">
        <v>11</v>
      </c>
      <c r="E3920" s="9">
        <v>33</v>
      </c>
      <c r="F3920" t="s">
        <v>12</v>
      </c>
      <c r="G3920" t="s">
        <v>18</v>
      </c>
      <c r="H3920" s="7">
        <v>42362</v>
      </c>
      <c r="I3920">
        <v>614.71</v>
      </c>
      <c r="K3920" s="7"/>
    </row>
    <row r="3921" spans="1:11">
      <c r="A3921">
        <v>100003920</v>
      </c>
      <c r="B3921" t="s">
        <v>115</v>
      </c>
      <c r="C3921" t="s">
        <v>233</v>
      </c>
      <c r="D3921" t="s">
        <v>16</v>
      </c>
      <c r="E3921" s="9">
        <v>42</v>
      </c>
      <c r="F3921" t="s">
        <v>12</v>
      </c>
      <c r="G3921" t="s">
        <v>13</v>
      </c>
      <c r="H3921" s="8">
        <v>42362</v>
      </c>
      <c r="I3921">
        <v>31581.7</v>
      </c>
      <c r="K3921" s="8"/>
    </row>
    <row r="3922" spans="1:11">
      <c r="A3922">
        <v>100003921</v>
      </c>
      <c r="B3922" t="s">
        <v>293</v>
      </c>
      <c r="C3922" t="s">
        <v>140</v>
      </c>
      <c r="D3922" t="s">
        <v>11</v>
      </c>
      <c r="E3922" s="9">
        <v>37</v>
      </c>
      <c r="F3922" t="s">
        <v>12</v>
      </c>
      <c r="G3922" t="s">
        <v>13</v>
      </c>
      <c r="H3922" s="7">
        <v>42362</v>
      </c>
      <c r="I3922">
        <v>35743.129999999997</v>
      </c>
      <c r="K3922" s="7"/>
    </row>
    <row r="3923" spans="1:11">
      <c r="A3923">
        <v>100003922</v>
      </c>
      <c r="B3923" t="s">
        <v>148</v>
      </c>
      <c r="C3923" t="s">
        <v>45</v>
      </c>
      <c r="D3923" t="s">
        <v>11</v>
      </c>
      <c r="E3923" s="9">
        <v>36</v>
      </c>
      <c r="F3923" t="s">
        <v>12</v>
      </c>
      <c r="G3923" t="s">
        <v>13</v>
      </c>
      <c r="H3923" s="8">
        <v>42362</v>
      </c>
      <c r="I3923">
        <v>43385.17</v>
      </c>
      <c r="K3923" s="8"/>
    </row>
    <row r="3924" spans="1:11">
      <c r="A3924">
        <v>200003923</v>
      </c>
      <c r="B3924" t="s">
        <v>38</v>
      </c>
      <c r="C3924" t="s">
        <v>285</v>
      </c>
      <c r="D3924" t="s">
        <v>11</v>
      </c>
      <c r="E3924" s="9">
        <v>53</v>
      </c>
      <c r="F3924" t="s">
        <v>32</v>
      </c>
      <c r="G3924" t="s">
        <v>18</v>
      </c>
      <c r="H3924" s="7">
        <v>42362</v>
      </c>
      <c r="I3924">
        <v>31253.69</v>
      </c>
      <c r="K3924" s="7"/>
    </row>
    <row r="3925" spans="1:11">
      <c r="A3925">
        <v>200003924</v>
      </c>
      <c r="B3925" t="s">
        <v>19</v>
      </c>
      <c r="C3925" t="s">
        <v>211</v>
      </c>
      <c r="D3925" t="s">
        <v>11</v>
      </c>
      <c r="E3925" s="9">
        <v>34</v>
      </c>
      <c r="F3925" t="s">
        <v>32</v>
      </c>
      <c r="G3925" t="s">
        <v>18</v>
      </c>
      <c r="H3925" s="8">
        <v>42362</v>
      </c>
      <c r="I3925">
        <v>29320.71</v>
      </c>
      <c r="K3925" s="8"/>
    </row>
    <row r="3926" spans="1:11">
      <c r="A3926">
        <v>200003925</v>
      </c>
      <c r="B3926" t="s">
        <v>298</v>
      </c>
      <c r="C3926" t="s">
        <v>278</v>
      </c>
      <c r="D3926" t="s">
        <v>16</v>
      </c>
      <c r="E3926" s="9">
        <v>54</v>
      </c>
      <c r="F3926" t="s">
        <v>32</v>
      </c>
      <c r="G3926" t="s">
        <v>33</v>
      </c>
      <c r="H3926" s="7">
        <v>42362</v>
      </c>
      <c r="I3926">
        <v>12121.66</v>
      </c>
      <c r="K3926" s="7"/>
    </row>
    <row r="3927" spans="1:11">
      <c r="A3927">
        <v>200003926</v>
      </c>
      <c r="B3927" t="s">
        <v>159</v>
      </c>
      <c r="C3927" t="s">
        <v>299</v>
      </c>
      <c r="D3927" t="s">
        <v>11</v>
      </c>
      <c r="E3927" s="9">
        <v>41</v>
      </c>
      <c r="F3927" t="s">
        <v>32</v>
      </c>
      <c r="G3927" t="s">
        <v>18</v>
      </c>
      <c r="H3927" s="8">
        <v>42362</v>
      </c>
      <c r="I3927">
        <v>87116.58</v>
      </c>
      <c r="K3927" s="8"/>
    </row>
    <row r="3928" spans="1:11">
      <c r="A3928">
        <v>100003927</v>
      </c>
      <c r="B3928" t="s">
        <v>146</v>
      </c>
      <c r="C3928" t="s">
        <v>132</v>
      </c>
      <c r="D3928" t="s">
        <v>16</v>
      </c>
      <c r="E3928" s="9">
        <v>40</v>
      </c>
      <c r="F3928" t="s">
        <v>12</v>
      </c>
      <c r="G3928" t="s">
        <v>13</v>
      </c>
      <c r="H3928" s="7">
        <v>42363</v>
      </c>
      <c r="I3928">
        <v>31436.85</v>
      </c>
      <c r="K3928" s="7"/>
    </row>
    <row r="3929" spans="1:11">
      <c r="A3929">
        <v>100003928</v>
      </c>
      <c r="B3929" t="s">
        <v>255</v>
      </c>
      <c r="C3929" t="s">
        <v>109</v>
      </c>
      <c r="D3929" t="s">
        <v>11</v>
      </c>
      <c r="E3929" s="9">
        <v>49</v>
      </c>
      <c r="F3929" t="s">
        <v>12</v>
      </c>
      <c r="G3929" t="s">
        <v>13</v>
      </c>
      <c r="H3929" s="8">
        <v>42363</v>
      </c>
      <c r="I3929">
        <v>21066.89</v>
      </c>
      <c r="K3929" s="8"/>
    </row>
    <row r="3930" spans="1:11">
      <c r="A3930">
        <v>100003929</v>
      </c>
      <c r="B3930" t="s">
        <v>38</v>
      </c>
      <c r="C3930" t="s">
        <v>216</v>
      </c>
      <c r="D3930" t="s">
        <v>11</v>
      </c>
      <c r="E3930" s="9">
        <v>32</v>
      </c>
      <c r="F3930" t="s">
        <v>12</v>
      </c>
      <c r="G3930" t="s">
        <v>13</v>
      </c>
      <c r="H3930" s="7">
        <v>42363</v>
      </c>
      <c r="I3930">
        <v>2096.64</v>
      </c>
      <c r="K3930" s="7"/>
    </row>
    <row r="3931" spans="1:11">
      <c r="A3931">
        <v>100003930</v>
      </c>
      <c r="B3931" t="s">
        <v>102</v>
      </c>
      <c r="C3931" t="s">
        <v>27</v>
      </c>
      <c r="D3931" t="s">
        <v>16</v>
      </c>
      <c r="E3931" s="9">
        <v>34</v>
      </c>
      <c r="F3931" t="s">
        <v>12</v>
      </c>
      <c r="G3931" t="s">
        <v>13</v>
      </c>
      <c r="H3931" s="8">
        <v>42363</v>
      </c>
      <c r="I3931">
        <v>21706.73</v>
      </c>
      <c r="K3931" s="8"/>
    </row>
    <row r="3932" spans="1:11">
      <c r="A3932">
        <v>100003931</v>
      </c>
      <c r="B3932" t="s">
        <v>103</v>
      </c>
      <c r="C3932" t="s">
        <v>136</v>
      </c>
      <c r="D3932" t="s">
        <v>11</v>
      </c>
      <c r="E3932" s="9">
        <v>36</v>
      </c>
      <c r="F3932" t="s">
        <v>12</v>
      </c>
      <c r="G3932" t="s">
        <v>33</v>
      </c>
      <c r="H3932" s="7">
        <v>42363</v>
      </c>
      <c r="I3932">
        <v>3890.92</v>
      </c>
      <c r="K3932" s="7"/>
    </row>
    <row r="3933" spans="1:11">
      <c r="A3933">
        <v>100003932</v>
      </c>
      <c r="B3933" t="s">
        <v>197</v>
      </c>
      <c r="C3933" t="s">
        <v>295</v>
      </c>
      <c r="D3933" t="s">
        <v>11</v>
      </c>
      <c r="E3933" s="9">
        <v>31</v>
      </c>
      <c r="F3933" t="s">
        <v>12</v>
      </c>
      <c r="G3933" t="s">
        <v>33</v>
      </c>
      <c r="H3933" s="8">
        <v>42363</v>
      </c>
      <c r="I3933">
        <v>16161.94</v>
      </c>
      <c r="K3933" s="8"/>
    </row>
    <row r="3934" spans="1:11">
      <c r="A3934">
        <v>100003933</v>
      </c>
      <c r="B3934" t="s">
        <v>321</v>
      </c>
      <c r="C3934" t="s">
        <v>87</v>
      </c>
      <c r="D3934" t="s">
        <v>16</v>
      </c>
      <c r="E3934" s="9">
        <v>34</v>
      </c>
      <c r="F3934" t="s">
        <v>12</v>
      </c>
      <c r="G3934" t="s">
        <v>13</v>
      </c>
      <c r="H3934" s="7">
        <v>42363</v>
      </c>
      <c r="I3934">
        <v>63677.23</v>
      </c>
      <c r="K3934" s="7"/>
    </row>
    <row r="3935" spans="1:11">
      <c r="A3935">
        <v>100003934</v>
      </c>
      <c r="B3935" t="s">
        <v>194</v>
      </c>
      <c r="C3935" t="s">
        <v>123</v>
      </c>
      <c r="D3935" t="s">
        <v>16</v>
      </c>
      <c r="E3935" s="9">
        <v>33</v>
      </c>
      <c r="F3935" t="s">
        <v>12</v>
      </c>
      <c r="G3935" t="s">
        <v>13</v>
      </c>
      <c r="H3935" s="8">
        <v>42363</v>
      </c>
      <c r="I3935">
        <v>30045.02</v>
      </c>
      <c r="K3935" s="8"/>
    </row>
    <row r="3936" spans="1:11">
      <c r="A3936">
        <v>100003935</v>
      </c>
      <c r="B3936" t="s">
        <v>281</v>
      </c>
      <c r="C3936" t="s">
        <v>310</v>
      </c>
      <c r="D3936" t="s">
        <v>11</v>
      </c>
      <c r="E3936" s="9">
        <v>36</v>
      </c>
      <c r="F3936" t="s">
        <v>12</v>
      </c>
      <c r="G3936" t="s">
        <v>13</v>
      </c>
      <c r="H3936" s="7">
        <v>42363</v>
      </c>
      <c r="I3936">
        <v>41423.78</v>
      </c>
      <c r="K3936" s="7"/>
    </row>
    <row r="3937" spans="1:11">
      <c r="A3937">
        <v>200003936</v>
      </c>
      <c r="B3937" t="s">
        <v>303</v>
      </c>
      <c r="C3937" t="s">
        <v>237</v>
      </c>
      <c r="D3937" t="s">
        <v>11</v>
      </c>
      <c r="E3937" s="9">
        <v>51</v>
      </c>
      <c r="F3937" t="s">
        <v>32</v>
      </c>
      <c r="G3937" t="s">
        <v>18</v>
      </c>
      <c r="H3937" s="8">
        <v>42363</v>
      </c>
      <c r="I3937">
        <v>5038.58</v>
      </c>
      <c r="K3937" s="8"/>
    </row>
    <row r="3938" spans="1:11">
      <c r="A3938">
        <v>200003937</v>
      </c>
      <c r="B3938" t="s">
        <v>79</v>
      </c>
      <c r="C3938" t="s">
        <v>69</v>
      </c>
      <c r="D3938" t="s">
        <v>11</v>
      </c>
      <c r="E3938" s="9">
        <v>49</v>
      </c>
      <c r="F3938" t="s">
        <v>32</v>
      </c>
      <c r="G3938" t="s">
        <v>18</v>
      </c>
      <c r="H3938" s="7">
        <v>42363</v>
      </c>
      <c r="I3938">
        <v>342.64</v>
      </c>
      <c r="K3938" s="7"/>
    </row>
    <row r="3939" spans="1:11">
      <c r="A3939">
        <v>200003938</v>
      </c>
      <c r="B3939" t="s">
        <v>86</v>
      </c>
      <c r="C3939" t="s">
        <v>172</v>
      </c>
      <c r="D3939" t="s">
        <v>11</v>
      </c>
      <c r="E3939" s="9">
        <v>48</v>
      </c>
      <c r="F3939" t="s">
        <v>32</v>
      </c>
      <c r="G3939" t="s">
        <v>13</v>
      </c>
      <c r="H3939" s="8">
        <v>42363</v>
      </c>
      <c r="I3939">
        <v>3678.99</v>
      </c>
      <c r="K3939" s="8"/>
    </row>
    <row r="3940" spans="1:11">
      <c r="A3940">
        <v>200003939</v>
      </c>
      <c r="B3940" t="s">
        <v>126</v>
      </c>
      <c r="C3940" t="s">
        <v>157</v>
      </c>
      <c r="D3940" t="s">
        <v>16</v>
      </c>
      <c r="E3940" s="9">
        <v>39</v>
      </c>
      <c r="F3940" t="s">
        <v>32</v>
      </c>
      <c r="G3940" t="s">
        <v>33</v>
      </c>
      <c r="H3940" s="7">
        <v>42363</v>
      </c>
      <c r="I3940">
        <v>47002.22</v>
      </c>
      <c r="K3940" s="7"/>
    </row>
    <row r="3941" spans="1:11">
      <c r="A3941">
        <v>200003940</v>
      </c>
      <c r="B3941" t="s">
        <v>57</v>
      </c>
      <c r="C3941" t="s">
        <v>80</v>
      </c>
      <c r="D3941" t="s">
        <v>11</v>
      </c>
      <c r="E3941" s="9">
        <v>59</v>
      </c>
      <c r="F3941" t="s">
        <v>32</v>
      </c>
      <c r="G3941" t="s">
        <v>18</v>
      </c>
      <c r="H3941" s="8">
        <v>42363</v>
      </c>
      <c r="I3941">
        <v>17674.349999999999</v>
      </c>
      <c r="K3941" s="8"/>
    </row>
    <row r="3942" spans="1:11">
      <c r="A3942">
        <v>200003941</v>
      </c>
      <c r="B3942" t="s">
        <v>159</v>
      </c>
      <c r="C3942" t="s">
        <v>318</v>
      </c>
      <c r="D3942" t="s">
        <v>11</v>
      </c>
      <c r="E3942" s="9">
        <v>59</v>
      </c>
      <c r="F3942" t="s">
        <v>32</v>
      </c>
      <c r="G3942" t="s">
        <v>33</v>
      </c>
      <c r="H3942" s="7">
        <v>42363</v>
      </c>
      <c r="I3942">
        <v>2114.65</v>
      </c>
      <c r="K3942" s="7"/>
    </row>
    <row r="3943" spans="1:11">
      <c r="A3943">
        <v>100003942</v>
      </c>
      <c r="B3943" t="s">
        <v>34</v>
      </c>
      <c r="C3943" t="s">
        <v>242</v>
      </c>
      <c r="D3943" t="s">
        <v>16</v>
      </c>
      <c r="E3943" s="9">
        <v>37</v>
      </c>
      <c r="F3943" t="s">
        <v>12</v>
      </c>
      <c r="G3943" t="s">
        <v>13</v>
      </c>
      <c r="H3943" s="8">
        <v>42364</v>
      </c>
      <c r="I3943">
        <v>36318.15</v>
      </c>
      <c r="K3943" s="8"/>
    </row>
    <row r="3944" spans="1:11">
      <c r="A3944">
        <v>100003943</v>
      </c>
      <c r="B3944" t="s">
        <v>314</v>
      </c>
      <c r="C3944" t="s">
        <v>167</v>
      </c>
      <c r="D3944" t="s">
        <v>16</v>
      </c>
      <c r="E3944" s="9">
        <v>50</v>
      </c>
      <c r="F3944" t="s">
        <v>12</v>
      </c>
      <c r="G3944" t="s">
        <v>13</v>
      </c>
      <c r="H3944" s="7">
        <v>42364</v>
      </c>
      <c r="I3944">
        <v>16041.11</v>
      </c>
      <c r="K3944" s="7"/>
    </row>
    <row r="3945" spans="1:11">
      <c r="A3945">
        <v>100003944</v>
      </c>
      <c r="B3945" t="s">
        <v>36</v>
      </c>
      <c r="C3945" t="s">
        <v>156</v>
      </c>
      <c r="D3945" t="s">
        <v>11</v>
      </c>
      <c r="E3945" s="9">
        <v>27</v>
      </c>
      <c r="F3945" t="s">
        <v>12</v>
      </c>
      <c r="G3945" t="s">
        <v>13</v>
      </c>
      <c r="H3945" s="8">
        <v>42364</v>
      </c>
      <c r="I3945">
        <v>33463.129999999997</v>
      </c>
      <c r="K3945" s="8"/>
    </row>
    <row r="3946" spans="1:11">
      <c r="A3946">
        <v>100003945</v>
      </c>
      <c r="B3946" t="s">
        <v>99</v>
      </c>
      <c r="C3946" t="s">
        <v>78</v>
      </c>
      <c r="D3946" t="s">
        <v>16</v>
      </c>
      <c r="E3946" s="9">
        <v>41</v>
      </c>
      <c r="F3946" t="s">
        <v>12</v>
      </c>
      <c r="G3946" t="s">
        <v>18</v>
      </c>
      <c r="H3946" s="7">
        <v>42364</v>
      </c>
      <c r="I3946">
        <v>12434.03</v>
      </c>
      <c r="K3946" s="7"/>
    </row>
    <row r="3947" spans="1:11">
      <c r="A3947">
        <v>100003946</v>
      </c>
      <c r="B3947" t="s">
        <v>207</v>
      </c>
      <c r="C3947" t="s">
        <v>285</v>
      </c>
      <c r="D3947" t="s">
        <v>11</v>
      </c>
      <c r="E3947" s="9">
        <v>43</v>
      </c>
      <c r="F3947" t="s">
        <v>12</v>
      </c>
      <c r="G3947" t="s">
        <v>33</v>
      </c>
      <c r="H3947" s="8">
        <v>42364</v>
      </c>
      <c r="I3947">
        <v>81498.880000000005</v>
      </c>
      <c r="K3947" s="8"/>
    </row>
    <row r="3948" spans="1:11">
      <c r="A3948">
        <v>100003947</v>
      </c>
      <c r="B3948" t="s">
        <v>293</v>
      </c>
      <c r="C3948" t="s">
        <v>138</v>
      </c>
      <c r="D3948" t="s">
        <v>11</v>
      </c>
      <c r="E3948" s="9">
        <v>46</v>
      </c>
      <c r="F3948" t="s">
        <v>12</v>
      </c>
      <c r="G3948" t="s">
        <v>18</v>
      </c>
      <c r="H3948" s="7">
        <v>42364</v>
      </c>
      <c r="I3948">
        <v>35219.879999999997</v>
      </c>
      <c r="K3948" s="7"/>
    </row>
    <row r="3949" spans="1:11">
      <c r="A3949">
        <v>100003948</v>
      </c>
      <c r="B3949" t="s">
        <v>197</v>
      </c>
      <c r="C3949" t="s">
        <v>253</v>
      </c>
      <c r="D3949" t="s">
        <v>11</v>
      </c>
      <c r="E3949" s="9">
        <v>18</v>
      </c>
      <c r="F3949" t="s">
        <v>12</v>
      </c>
      <c r="G3949" t="s">
        <v>18</v>
      </c>
      <c r="H3949" s="8">
        <v>42364</v>
      </c>
      <c r="I3949">
        <v>3858.9</v>
      </c>
      <c r="K3949" s="8"/>
    </row>
    <row r="3950" spans="1:11">
      <c r="A3950">
        <v>100003949</v>
      </c>
      <c r="B3950" t="s">
        <v>188</v>
      </c>
      <c r="C3950" t="s">
        <v>310</v>
      </c>
      <c r="D3950" t="s">
        <v>11</v>
      </c>
      <c r="E3950" s="9">
        <v>23</v>
      </c>
      <c r="F3950" t="s">
        <v>12</v>
      </c>
      <c r="G3950" t="s">
        <v>13</v>
      </c>
      <c r="H3950" s="7">
        <v>42364</v>
      </c>
      <c r="I3950">
        <v>117946.76</v>
      </c>
      <c r="K3950" s="7"/>
    </row>
    <row r="3951" spans="1:11">
      <c r="A3951">
        <v>100003950</v>
      </c>
      <c r="B3951" t="s">
        <v>268</v>
      </c>
      <c r="C3951" t="s">
        <v>114</v>
      </c>
      <c r="D3951" t="s">
        <v>16</v>
      </c>
      <c r="E3951" s="9">
        <v>44</v>
      </c>
      <c r="F3951" t="s">
        <v>12</v>
      </c>
      <c r="G3951" t="s">
        <v>13</v>
      </c>
      <c r="H3951" s="8">
        <v>42364</v>
      </c>
      <c r="I3951">
        <v>24243.83</v>
      </c>
      <c r="K3951" s="8"/>
    </row>
    <row r="3952" spans="1:11">
      <c r="A3952">
        <v>100003951</v>
      </c>
      <c r="B3952" t="s">
        <v>145</v>
      </c>
      <c r="C3952" t="s">
        <v>203</v>
      </c>
      <c r="D3952" t="s">
        <v>11</v>
      </c>
      <c r="E3952" s="9">
        <v>30</v>
      </c>
      <c r="F3952" t="s">
        <v>12</v>
      </c>
      <c r="G3952" t="s">
        <v>33</v>
      </c>
      <c r="H3952" s="7">
        <v>42364</v>
      </c>
      <c r="I3952">
        <v>62353.77</v>
      </c>
      <c r="K3952" s="7"/>
    </row>
    <row r="3953" spans="1:11">
      <c r="A3953">
        <v>100003952</v>
      </c>
      <c r="B3953" t="s">
        <v>46</v>
      </c>
      <c r="C3953" t="s">
        <v>227</v>
      </c>
      <c r="D3953" t="s">
        <v>11</v>
      </c>
      <c r="E3953" s="9">
        <v>36</v>
      </c>
      <c r="F3953" t="s">
        <v>12</v>
      </c>
      <c r="G3953" t="s">
        <v>18</v>
      </c>
      <c r="H3953" s="8">
        <v>42364</v>
      </c>
      <c r="I3953">
        <v>51263.69</v>
      </c>
      <c r="K3953" s="8"/>
    </row>
    <row r="3954" spans="1:11">
      <c r="A3954">
        <v>200003953</v>
      </c>
      <c r="B3954" t="s">
        <v>324</v>
      </c>
      <c r="C3954" t="s">
        <v>238</v>
      </c>
      <c r="D3954" t="s">
        <v>16</v>
      </c>
      <c r="E3954" s="9">
        <v>52</v>
      </c>
      <c r="F3954" t="s">
        <v>32</v>
      </c>
      <c r="G3954" t="s">
        <v>33</v>
      </c>
      <c r="H3954" s="7">
        <v>42364</v>
      </c>
      <c r="I3954">
        <v>94197.01</v>
      </c>
      <c r="K3954" s="7"/>
    </row>
    <row r="3955" spans="1:11">
      <c r="A3955">
        <v>200003954</v>
      </c>
      <c r="B3955" t="s">
        <v>199</v>
      </c>
      <c r="C3955" t="s">
        <v>252</v>
      </c>
      <c r="D3955" t="s">
        <v>11</v>
      </c>
      <c r="E3955" s="9">
        <v>56</v>
      </c>
      <c r="F3955" t="s">
        <v>32</v>
      </c>
      <c r="G3955" t="s">
        <v>33</v>
      </c>
      <c r="H3955" s="8">
        <v>42364</v>
      </c>
      <c r="I3955">
        <v>35180.1</v>
      </c>
      <c r="K3955" s="8"/>
    </row>
    <row r="3956" spans="1:11">
      <c r="A3956">
        <v>200003955</v>
      </c>
      <c r="B3956" t="s">
        <v>190</v>
      </c>
      <c r="C3956" t="s">
        <v>183</v>
      </c>
      <c r="D3956" t="s">
        <v>11</v>
      </c>
      <c r="E3956" s="9">
        <v>53</v>
      </c>
      <c r="F3956" t="s">
        <v>32</v>
      </c>
      <c r="G3956" t="s">
        <v>18</v>
      </c>
      <c r="H3956" s="7">
        <v>42364</v>
      </c>
      <c r="I3956">
        <v>6989.48</v>
      </c>
      <c r="K3956" s="7"/>
    </row>
    <row r="3957" spans="1:11">
      <c r="A3957">
        <v>300003956</v>
      </c>
      <c r="B3957" t="s">
        <v>154</v>
      </c>
      <c r="C3957" t="s">
        <v>292</v>
      </c>
      <c r="D3957" t="s">
        <v>16</v>
      </c>
      <c r="E3957" s="9">
        <v>34</v>
      </c>
      <c r="F3957" t="s">
        <v>23</v>
      </c>
      <c r="G3957" t="s">
        <v>18</v>
      </c>
      <c r="H3957" s="8">
        <v>42364</v>
      </c>
      <c r="I3957">
        <v>4478.46</v>
      </c>
      <c r="K3957" s="8"/>
    </row>
    <row r="3958" spans="1:11">
      <c r="A3958">
        <v>300003957</v>
      </c>
      <c r="B3958" t="s">
        <v>169</v>
      </c>
      <c r="C3958" t="s">
        <v>179</v>
      </c>
      <c r="D3958" t="s">
        <v>11</v>
      </c>
      <c r="E3958" s="9">
        <v>30</v>
      </c>
      <c r="F3958" t="s">
        <v>23</v>
      </c>
      <c r="G3958" t="s">
        <v>18</v>
      </c>
      <c r="H3958" s="7">
        <v>42364</v>
      </c>
      <c r="I3958">
        <v>15071.69</v>
      </c>
      <c r="K3958" s="7"/>
    </row>
    <row r="3959" spans="1:11">
      <c r="A3959">
        <v>100003958</v>
      </c>
      <c r="B3959" t="s">
        <v>111</v>
      </c>
      <c r="C3959" t="s">
        <v>286</v>
      </c>
      <c r="D3959" t="s">
        <v>11</v>
      </c>
      <c r="E3959" s="9">
        <v>42</v>
      </c>
      <c r="F3959" t="s">
        <v>12</v>
      </c>
      <c r="G3959" t="s">
        <v>13</v>
      </c>
      <c r="H3959" s="8">
        <v>42365</v>
      </c>
      <c r="I3959">
        <v>55687.53</v>
      </c>
      <c r="K3959" s="8"/>
    </row>
    <row r="3960" spans="1:11">
      <c r="A3960">
        <v>100003959</v>
      </c>
      <c r="B3960" t="s">
        <v>64</v>
      </c>
      <c r="C3960" t="s">
        <v>25</v>
      </c>
      <c r="D3960" t="s">
        <v>11</v>
      </c>
      <c r="E3960" s="9">
        <v>43</v>
      </c>
      <c r="F3960" t="s">
        <v>12</v>
      </c>
      <c r="G3960" t="s">
        <v>13</v>
      </c>
      <c r="H3960" s="7">
        <v>42365</v>
      </c>
      <c r="I3960">
        <v>24711.61</v>
      </c>
      <c r="K3960" s="7"/>
    </row>
    <row r="3961" spans="1:11">
      <c r="A3961">
        <v>100003960</v>
      </c>
      <c r="B3961" t="s">
        <v>133</v>
      </c>
      <c r="C3961" t="s">
        <v>310</v>
      </c>
      <c r="D3961" t="s">
        <v>11</v>
      </c>
      <c r="E3961" s="9">
        <v>33</v>
      </c>
      <c r="F3961" t="s">
        <v>12</v>
      </c>
      <c r="G3961" t="s">
        <v>13</v>
      </c>
      <c r="H3961" s="8">
        <v>42365</v>
      </c>
      <c r="I3961">
        <v>122294.27</v>
      </c>
      <c r="K3961" s="8"/>
    </row>
    <row r="3962" spans="1:11">
      <c r="A3962">
        <v>100003961</v>
      </c>
      <c r="B3962" t="s">
        <v>303</v>
      </c>
      <c r="C3962" t="s">
        <v>39</v>
      </c>
      <c r="D3962" t="s">
        <v>11</v>
      </c>
      <c r="E3962" s="9">
        <v>48</v>
      </c>
      <c r="F3962" t="s">
        <v>12</v>
      </c>
      <c r="G3962" t="s">
        <v>33</v>
      </c>
      <c r="H3962" s="7">
        <v>42365</v>
      </c>
      <c r="I3962">
        <v>72061.710000000006</v>
      </c>
      <c r="K3962" s="7"/>
    </row>
    <row r="3963" spans="1:11">
      <c r="A3963">
        <v>100003962</v>
      </c>
      <c r="B3963" t="s">
        <v>84</v>
      </c>
      <c r="C3963" t="s">
        <v>37</v>
      </c>
      <c r="D3963" t="s">
        <v>16</v>
      </c>
      <c r="E3963" s="9">
        <v>32</v>
      </c>
      <c r="F3963" t="s">
        <v>12</v>
      </c>
      <c r="G3963" t="s">
        <v>18</v>
      </c>
      <c r="H3963" s="8">
        <v>42365</v>
      </c>
      <c r="I3963">
        <v>50886.35</v>
      </c>
      <c r="K3963" s="8"/>
    </row>
    <row r="3964" spans="1:11">
      <c r="A3964">
        <v>100003963</v>
      </c>
      <c r="B3964" t="s">
        <v>324</v>
      </c>
      <c r="C3964" t="s">
        <v>242</v>
      </c>
      <c r="D3964" t="s">
        <v>16</v>
      </c>
      <c r="E3964" s="9">
        <v>40</v>
      </c>
      <c r="F3964" t="s">
        <v>12</v>
      </c>
      <c r="G3964" t="s">
        <v>13</v>
      </c>
      <c r="H3964" s="7">
        <v>42365</v>
      </c>
      <c r="I3964">
        <v>62802.400000000001</v>
      </c>
      <c r="K3964" s="7"/>
    </row>
    <row r="3965" spans="1:11">
      <c r="A3965">
        <v>100003964</v>
      </c>
      <c r="B3965" t="s">
        <v>255</v>
      </c>
      <c r="C3965" t="s">
        <v>295</v>
      </c>
      <c r="D3965" t="s">
        <v>11</v>
      </c>
      <c r="E3965" s="9">
        <v>43</v>
      </c>
      <c r="F3965" t="s">
        <v>12</v>
      </c>
      <c r="G3965" t="s">
        <v>13</v>
      </c>
      <c r="H3965" s="8">
        <v>42365</v>
      </c>
      <c r="I3965">
        <v>48270.26</v>
      </c>
      <c r="K3965" s="8"/>
    </row>
    <row r="3966" spans="1:11">
      <c r="A3966">
        <v>100003965</v>
      </c>
      <c r="B3966" t="s">
        <v>320</v>
      </c>
      <c r="C3966" t="s">
        <v>20</v>
      </c>
      <c r="D3966" t="s">
        <v>16</v>
      </c>
      <c r="E3966" s="9">
        <v>46</v>
      </c>
      <c r="F3966" t="s">
        <v>12</v>
      </c>
      <c r="G3966" t="s">
        <v>13</v>
      </c>
      <c r="H3966" s="7">
        <v>42365</v>
      </c>
      <c r="I3966">
        <v>67009.53</v>
      </c>
      <c r="K3966" s="7"/>
    </row>
    <row r="3967" spans="1:11">
      <c r="A3967">
        <v>100003966</v>
      </c>
      <c r="B3967" t="s">
        <v>68</v>
      </c>
      <c r="C3967" t="s">
        <v>85</v>
      </c>
      <c r="D3967" t="s">
        <v>16</v>
      </c>
      <c r="E3967" s="9">
        <v>21</v>
      </c>
      <c r="F3967" t="s">
        <v>12</v>
      </c>
      <c r="G3967" t="s">
        <v>18</v>
      </c>
      <c r="H3967" s="8">
        <v>42365</v>
      </c>
      <c r="I3967">
        <v>41703.21</v>
      </c>
      <c r="K3967" s="8"/>
    </row>
    <row r="3968" spans="1:11">
      <c r="A3968">
        <v>100003967</v>
      </c>
      <c r="B3968" t="s">
        <v>206</v>
      </c>
      <c r="C3968" t="s">
        <v>257</v>
      </c>
      <c r="D3968" t="s">
        <v>11</v>
      </c>
      <c r="E3968" s="9">
        <v>23</v>
      </c>
      <c r="F3968" t="s">
        <v>12</v>
      </c>
      <c r="G3968" t="s">
        <v>18</v>
      </c>
      <c r="H3968" s="7">
        <v>42365</v>
      </c>
      <c r="I3968">
        <v>7211.67</v>
      </c>
      <c r="K3968" s="7"/>
    </row>
    <row r="3969" spans="1:11">
      <c r="A3969">
        <v>200003968</v>
      </c>
      <c r="B3969" t="s">
        <v>287</v>
      </c>
      <c r="C3969" t="s">
        <v>63</v>
      </c>
      <c r="D3969" t="s">
        <v>16</v>
      </c>
      <c r="E3969" s="9">
        <v>51</v>
      </c>
      <c r="F3969" t="s">
        <v>32</v>
      </c>
      <c r="G3969" t="s">
        <v>33</v>
      </c>
      <c r="H3969" s="8">
        <v>42365</v>
      </c>
      <c r="I3969">
        <v>6555.97</v>
      </c>
      <c r="K3969" s="8"/>
    </row>
    <row r="3970" spans="1:11">
      <c r="A3970">
        <v>200003969</v>
      </c>
      <c r="B3970" t="s">
        <v>302</v>
      </c>
      <c r="C3970" t="s">
        <v>278</v>
      </c>
      <c r="D3970" t="s">
        <v>16</v>
      </c>
      <c r="E3970" s="9">
        <v>37</v>
      </c>
      <c r="F3970" t="s">
        <v>32</v>
      </c>
      <c r="G3970" t="s">
        <v>33</v>
      </c>
      <c r="H3970" s="7">
        <v>42365</v>
      </c>
      <c r="I3970">
        <v>29666.2</v>
      </c>
      <c r="K3970" s="7"/>
    </row>
    <row r="3971" spans="1:11">
      <c r="A3971">
        <v>200003970</v>
      </c>
      <c r="B3971" t="s">
        <v>186</v>
      </c>
      <c r="C3971" t="s">
        <v>39</v>
      </c>
      <c r="D3971" t="s">
        <v>11</v>
      </c>
      <c r="E3971" s="9">
        <v>58</v>
      </c>
      <c r="F3971" t="s">
        <v>32</v>
      </c>
      <c r="G3971" t="s">
        <v>33</v>
      </c>
      <c r="H3971" s="8">
        <v>42365</v>
      </c>
      <c r="I3971">
        <v>18189.63</v>
      </c>
      <c r="K3971" s="8"/>
    </row>
    <row r="3972" spans="1:11">
      <c r="A3972">
        <v>200003971</v>
      </c>
      <c r="B3972" t="s">
        <v>186</v>
      </c>
      <c r="C3972" t="s">
        <v>151</v>
      </c>
      <c r="D3972" t="s">
        <v>11</v>
      </c>
      <c r="E3972" s="9">
        <v>52</v>
      </c>
      <c r="F3972" t="s">
        <v>32</v>
      </c>
      <c r="G3972" t="s">
        <v>18</v>
      </c>
      <c r="H3972" s="7">
        <v>42365</v>
      </c>
      <c r="I3972">
        <v>83783.179999999993</v>
      </c>
      <c r="K3972" s="7"/>
    </row>
    <row r="3973" spans="1:11">
      <c r="A3973">
        <v>200003972</v>
      </c>
      <c r="B3973" t="s">
        <v>145</v>
      </c>
      <c r="C3973" t="s">
        <v>108</v>
      </c>
      <c r="D3973" t="s">
        <v>11</v>
      </c>
      <c r="E3973" s="9">
        <v>42</v>
      </c>
      <c r="F3973" t="s">
        <v>32</v>
      </c>
      <c r="G3973" t="s">
        <v>18</v>
      </c>
      <c r="H3973" s="8">
        <v>42365</v>
      </c>
      <c r="I3973">
        <v>43693.07</v>
      </c>
      <c r="K3973" s="8"/>
    </row>
    <row r="3974" spans="1:11">
      <c r="A3974">
        <v>300003973</v>
      </c>
      <c r="B3974" t="s">
        <v>111</v>
      </c>
      <c r="C3974" t="s">
        <v>170</v>
      </c>
      <c r="D3974" t="s">
        <v>11</v>
      </c>
      <c r="E3974" s="9">
        <v>29</v>
      </c>
      <c r="F3974" t="s">
        <v>23</v>
      </c>
      <c r="G3974" t="s">
        <v>33</v>
      </c>
      <c r="H3974" s="7">
        <v>42365</v>
      </c>
      <c r="I3974">
        <v>13910.24</v>
      </c>
      <c r="K3974" s="7"/>
    </row>
    <row r="3975" spans="1:11">
      <c r="A3975">
        <v>100003974</v>
      </c>
      <c r="B3975" t="s">
        <v>316</v>
      </c>
      <c r="C3975" t="s">
        <v>71</v>
      </c>
      <c r="D3975" t="s">
        <v>16</v>
      </c>
      <c r="E3975" s="9">
        <v>31</v>
      </c>
      <c r="F3975" t="s">
        <v>12</v>
      </c>
      <c r="G3975" t="s">
        <v>13</v>
      </c>
      <c r="H3975" s="8">
        <v>42366</v>
      </c>
      <c r="I3975">
        <v>27031.96</v>
      </c>
      <c r="K3975" s="8"/>
    </row>
    <row r="3976" spans="1:11">
      <c r="A3976">
        <v>100003975</v>
      </c>
      <c r="B3976" t="s">
        <v>311</v>
      </c>
      <c r="C3976" t="s">
        <v>279</v>
      </c>
      <c r="D3976" t="s">
        <v>11</v>
      </c>
      <c r="E3976" s="9">
        <v>37</v>
      </c>
      <c r="F3976" t="s">
        <v>12</v>
      </c>
      <c r="G3976" t="s">
        <v>13</v>
      </c>
      <c r="H3976" s="7">
        <v>42366</v>
      </c>
      <c r="I3976">
        <v>10887.08</v>
      </c>
      <c r="K3976" s="7"/>
    </row>
    <row r="3977" spans="1:11">
      <c r="A3977">
        <v>100003976</v>
      </c>
      <c r="B3977" t="s">
        <v>202</v>
      </c>
      <c r="C3977" t="s">
        <v>130</v>
      </c>
      <c r="D3977" t="s">
        <v>11</v>
      </c>
      <c r="E3977" s="9">
        <v>36</v>
      </c>
      <c r="F3977" t="s">
        <v>12</v>
      </c>
      <c r="G3977" t="s">
        <v>13</v>
      </c>
      <c r="H3977" s="8">
        <v>42366</v>
      </c>
      <c r="I3977">
        <v>24904.09</v>
      </c>
      <c r="K3977" s="8"/>
    </row>
    <row r="3978" spans="1:11">
      <c r="A3978">
        <v>100003977</v>
      </c>
      <c r="B3978" t="s">
        <v>255</v>
      </c>
      <c r="C3978" t="s">
        <v>325</v>
      </c>
      <c r="D3978" t="s">
        <v>11</v>
      </c>
      <c r="E3978" s="9">
        <v>35</v>
      </c>
      <c r="F3978" t="s">
        <v>12</v>
      </c>
      <c r="G3978" t="s">
        <v>13</v>
      </c>
      <c r="H3978" s="7">
        <v>42366</v>
      </c>
      <c r="I3978">
        <v>21753.37</v>
      </c>
      <c r="K3978" s="7"/>
    </row>
    <row r="3979" spans="1:11">
      <c r="A3979">
        <v>100003978</v>
      </c>
      <c r="B3979" t="s">
        <v>305</v>
      </c>
      <c r="C3979" t="s">
        <v>109</v>
      </c>
      <c r="D3979" t="s">
        <v>11</v>
      </c>
      <c r="E3979" s="9">
        <v>35</v>
      </c>
      <c r="F3979" t="s">
        <v>12</v>
      </c>
      <c r="G3979" t="s">
        <v>13</v>
      </c>
      <c r="H3979" s="8">
        <v>42366</v>
      </c>
      <c r="I3979">
        <v>18055.900000000001</v>
      </c>
      <c r="K3979" s="8"/>
    </row>
    <row r="3980" spans="1:11">
      <c r="A3980">
        <v>200003979</v>
      </c>
      <c r="B3980" t="s">
        <v>72</v>
      </c>
      <c r="C3980" t="s">
        <v>96</v>
      </c>
      <c r="D3980" t="s">
        <v>11</v>
      </c>
      <c r="E3980" s="9">
        <v>49</v>
      </c>
      <c r="F3980" t="s">
        <v>32</v>
      </c>
      <c r="G3980" t="s">
        <v>18</v>
      </c>
      <c r="H3980" s="7">
        <v>42366</v>
      </c>
      <c r="I3980">
        <v>48950</v>
      </c>
      <c r="K3980" s="7"/>
    </row>
    <row r="3981" spans="1:11">
      <c r="A3981">
        <v>200003980</v>
      </c>
      <c r="B3981" t="s">
        <v>323</v>
      </c>
      <c r="C3981" t="s">
        <v>95</v>
      </c>
      <c r="D3981" t="s">
        <v>16</v>
      </c>
      <c r="E3981" s="9">
        <v>44</v>
      </c>
      <c r="F3981" t="s">
        <v>32</v>
      </c>
      <c r="G3981" t="s">
        <v>33</v>
      </c>
      <c r="H3981" s="8">
        <v>42366</v>
      </c>
      <c r="I3981">
        <v>10268.99</v>
      </c>
      <c r="K3981" s="8"/>
    </row>
    <row r="3982" spans="1:11">
      <c r="A3982">
        <v>200003981</v>
      </c>
      <c r="B3982" t="s">
        <v>215</v>
      </c>
      <c r="C3982" t="s">
        <v>103</v>
      </c>
      <c r="D3982" t="s">
        <v>16</v>
      </c>
      <c r="E3982" s="9">
        <v>43</v>
      </c>
      <c r="F3982" t="s">
        <v>32</v>
      </c>
      <c r="G3982" t="s">
        <v>33</v>
      </c>
      <c r="H3982" s="7">
        <v>42366</v>
      </c>
      <c r="I3982">
        <v>19695.66</v>
      </c>
      <c r="K3982" s="7"/>
    </row>
    <row r="3983" spans="1:11">
      <c r="A3983">
        <v>200003982</v>
      </c>
      <c r="B3983" t="s">
        <v>206</v>
      </c>
      <c r="C3983" t="s">
        <v>59</v>
      </c>
      <c r="D3983" t="s">
        <v>11</v>
      </c>
      <c r="E3983" s="9">
        <v>54</v>
      </c>
      <c r="F3983" t="s">
        <v>32</v>
      </c>
      <c r="G3983" t="s">
        <v>33</v>
      </c>
      <c r="H3983" s="8">
        <v>42366</v>
      </c>
      <c r="I3983">
        <v>28430.19</v>
      </c>
      <c r="K3983" s="8"/>
    </row>
    <row r="3984" spans="1:11">
      <c r="A3984">
        <v>300003983</v>
      </c>
      <c r="B3984" t="s">
        <v>302</v>
      </c>
      <c r="C3984" t="s">
        <v>100</v>
      </c>
      <c r="D3984" t="s">
        <v>16</v>
      </c>
      <c r="E3984" s="9">
        <v>29</v>
      </c>
      <c r="F3984" t="s">
        <v>23</v>
      </c>
      <c r="G3984" t="s">
        <v>18</v>
      </c>
      <c r="H3984" s="7">
        <v>42366</v>
      </c>
      <c r="I3984">
        <v>25737.94</v>
      </c>
      <c r="K3984" s="7"/>
    </row>
    <row r="3985" spans="1:11">
      <c r="A3985">
        <v>100003984</v>
      </c>
      <c r="B3985" t="s">
        <v>175</v>
      </c>
      <c r="C3985" t="s">
        <v>290</v>
      </c>
      <c r="D3985" t="s">
        <v>11</v>
      </c>
      <c r="E3985" s="9">
        <v>25</v>
      </c>
      <c r="F3985" t="s">
        <v>12</v>
      </c>
      <c r="G3985" t="s">
        <v>13</v>
      </c>
      <c r="H3985" s="8">
        <v>42367</v>
      </c>
      <c r="I3985">
        <v>5280.71</v>
      </c>
      <c r="K3985" s="8"/>
    </row>
    <row r="3986" spans="1:11">
      <c r="A3986">
        <v>100003985</v>
      </c>
      <c r="B3986" t="s">
        <v>36</v>
      </c>
      <c r="C3986" t="s">
        <v>163</v>
      </c>
      <c r="D3986" t="s">
        <v>11</v>
      </c>
      <c r="E3986" s="9">
        <v>38</v>
      </c>
      <c r="F3986" t="s">
        <v>12</v>
      </c>
      <c r="G3986" t="s">
        <v>13</v>
      </c>
      <c r="H3986" s="7">
        <v>42367</v>
      </c>
      <c r="I3986">
        <v>63644.91</v>
      </c>
      <c r="K3986" s="7"/>
    </row>
    <row r="3987" spans="1:11">
      <c r="A3987">
        <v>100003986</v>
      </c>
      <c r="B3987" t="s">
        <v>280</v>
      </c>
      <c r="C3987" t="s">
        <v>189</v>
      </c>
      <c r="D3987" t="s">
        <v>11</v>
      </c>
      <c r="E3987" s="9">
        <v>44</v>
      </c>
      <c r="F3987" t="s">
        <v>12</v>
      </c>
      <c r="G3987" t="s">
        <v>18</v>
      </c>
      <c r="H3987" s="8">
        <v>42367</v>
      </c>
      <c r="I3987">
        <v>59591.3</v>
      </c>
      <c r="K3987" s="8"/>
    </row>
    <row r="3988" spans="1:11">
      <c r="A3988">
        <v>100003987</v>
      </c>
      <c r="B3988" t="s">
        <v>268</v>
      </c>
      <c r="C3988" t="s">
        <v>282</v>
      </c>
      <c r="D3988" t="s">
        <v>16</v>
      </c>
      <c r="E3988" s="9">
        <v>35</v>
      </c>
      <c r="F3988" t="s">
        <v>12</v>
      </c>
      <c r="G3988" t="s">
        <v>18</v>
      </c>
      <c r="H3988" s="7">
        <v>42367</v>
      </c>
      <c r="I3988">
        <v>21420.720000000001</v>
      </c>
      <c r="K3988" s="7"/>
    </row>
    <row r="3989" spans="1:11">
      <c r="A3989">
        <v>100003988</v>
      </c>
      <c r="B3989" t="s">
        <v>249</v>
      </c>
      <c r="C3989" t="s">
        <v>155</v>
      </c>
      <c r="D3989" t="s">
        <v>16</v>
      </c>
      <c r="E3989" s="9">
        <v>30</v>
      </c>
      <c r="F3989" t="s">
        <v>12</v>
      </c>
      <c r="G3989" t="s">
        <v>13</v>
      </c>
      <c r="H3989" s="8">
        <v>42367</v>
      </c>
      <c r="I3989">
        <v>4570.9799999999996</v>
      </c>
      <c r="K3989" s="8"/>
    </row>
    <row r="3990" spans="1:11">
      <c r="A3990">
        <v>100003989</v>
      </c>
      <c r="B3990" t="s">
        <v>175</v>
      </c>
      <c r="C3990" t="s">
        <v>96</v>
      </c>
      <c r="D3990" t="s">
        <v>11</v>
      </c>
      <c r="E3990" s="9">
        <v>26</v>
      </c>
      <c r="F3990" t="s">
        <v>12</v>
      </c>
      <c r="G3990" t="s">
        <v>13</v>
      </c>
      <c r="H3990" s="7">
        <v>42367</v>
      </c>
      <c r="I3990">
        <v>36964.26</v>
      </c>
      <c r="K3990" s="7"/>
    </row>
    <row r="3991" spans="1:11">
      <c r="A3991">
        <v>100003990</v>
      </c>
      <c r="B3991" t="s">
        <v>66</v>
      </c>
      <c r="C3991" t="s">
        <v>56</v>
      </c>
      <c r="D3991" t="s">
        <v>16</v>
      </c>
      <c r="E3991" s="9">
        <v>41</v>
      </c>
      <c r="F3991" t="s">
        <v>12</v>
      </c>
      <c r="G3991" t="s">
        <v>13</v>
      </c>
      <c r="H3991" s="8">
        <v>42367</v>
      </c>
      <c r="I3991">
        <v>83616.58</v>
      </c>
      <c r="K3991" s="8"/>
    </row>
    <row r="3992" spans="1:11">
      <c r="A3992">
        <v>100003991</v>
      </c>
      <c r="B3992" t="s">
        <v>236</v>
      </c>
      <c r="C3992" t="s">
        <v>87</v>
      </c>
      <c r="D3992" t="s">
        <v>16</v>
      </c>
      <c r="E3992" s="9">
        <v>30</v>
      </c>
      <c r="F3992" t="s">
        <v>12</v>
      </c>
      <c r="G3992" t="s">
        <v>13</v>
      </c>
      <c r="H3992" s="7">
        <v>42367</v>
      </c>
      <c r="I3992">
        <v>139784.01</v>
      </c>
      <c r="K3992" s="7"/>
    </row>
    <row r="3993" spans="1:11">
      <c r="A3993">
        <v>100003992</v>
      </c>
      <c r="B3993" t="s">
        <v>208</v>
      </c>
      <c r="C3993" t="s">
        <v>87</v>
      </c>
      <c r="D3993" t="s">
        <v>11</v>
      </c>
      <c r="E3993" s="9">
        <v>18</v>
      </c>
      <c r="F3993" t="s">
        <v>12</v>
      </c>
      <c r="G3993" t="s">
        <v>13</v>
      </c>
      <c r="H3993" s="8">
        <v>42367</v>
      </c>
      <c r="I3993">
        <v>23399.53</v>
      </c>
      <c r="K3993" s="8"/>
    </row>
    <row r="3994" spans="1:11">
      <c r="A3994">
        <v>100003993</v>
      </c>
      <c r="B3994" t="s">
        <v>174</v>
      </c>
      <c r="C3994" t="s">
        <v>91</v>
      </c>
      <c r="D3994" t="s">
        <v>11</v>
      </c>
      <c r="E3994" s="9">
        <v>29</v>
      </c>
      <c r="F3994" t="s">
        <v>12</v>
      </c>
      <c r="G3994" t="s">
        <v>13</v>
      </c>
      <c r="H3994" s="7">
        <v>42367</v>
      </c>
      <c r="I3994">
        <v>30158.03</v>
      </c>
      <c r="K3994" s="7"/>
    </row>
    <row r="3995" spans="1:11">
      <c r="A3995">
        <v>100003994</v>
      </c>
      <c r="B3995" t="s">
        <v>158</v>
      </c>
      <c r="C3995" t="s">
        <v>310</v>
      </c>
      <c r="D3995" t="s">
        <v>16</v>
      </c>
      <c r="E3995" s="9">
        <v>41</v>
      </c>
      <c r="F3995" t="s">
        <v>12</v>
      </c>
      <c r="G3995" t="s">
        <v>13</v>
      </c>
      <c r="H3995" s="8">
        <v>42367</v>
      </c>
      <c r="I3995">
        <v>28579.64</v>
      </c>
      <c r="K3995" s="8"/>
    </row>
    <row r="3996" spans="1:11">
      <c r="A3996">
        <v>100003995</v>
      </c>
      <c r="B3996" t="s">
        <v>81</v>
      </c>
      <c r="C3996" t="s">
        <v>307</v>
      </c>
      <c r="D3996" t="s">
        <v>16</v>
      </c>
      <c r="E3996" s="9">
        <v>35</v>
      </c>
      <c r="F3996" t="s">
        <v>12</v>
      </c>
      <c r="G3996" t="s">
        <v>13</v>
      </c>
      <c r="H3996" s="7">
        <v>42367</v>
      </c>
      <c r="I3996">
        <v>34046.5</v>
      </c>
      <c r="K3996" s="7"/>
    </row>
    <row r="3997" spans="1:11">
      <c r="A3997">
        <v>200003996</v>
      </c>
      <c r="B3997" t="s">
        <v>199</v>
      </c>
      <c r="C3997" t="s">
        <v>266</v>
      </c>
      <c r="D3997" t="s">
        <v>11</v>
      </c>
      <c r="E3997" s="9">
        <v>55</v>
      </c>
      <c r="F3997" t="s">
        <v>32</v>
      </c>
      <c r="G3997" t="s">
        <v>18</v>
      </c>
      <c r="H3997" s="8">
        <v>42367</v>
      </c>
      <c r="I3997">
        <v>39834.949999999997</v>
      </c>
      <c r="K3997" s="8"/>
    </row>
    <row r="3998" spans="1:11">
      <c r="A3998">
        <v>200003997</v>
      </c>
      <c r="B3998" t="s">
        <v>190</v>
      </c>
      <c r="C3998" t="s">
        <v>279</v>
      </c>
      <c r="D3998" t="s">
        <v>11</v>
      </c>
      <c r="E3998" s="9">
        <v>53</v>
      </c>
      <c r="F3998" t="s">
        <v>32</v>
      </c>
      <c r="G3998" t="s">
        <v>18</v>
      </c>
      <c r="H3998" s="7">
        <v>42367</v>
      </c>
      <c r="I3998">
        <v>48775.57</v>
      </c>
      <c r="K3998" s="7"/>
    </row>
    <row r="3999" spans="1:11">
      <c r="A3999">
        <v>200003998</v>
      </c>
      <c r="B3999" t="s">
        <v>273</v>
      </c>
      <c r="C3999" t="s">
        <v>15</v>
      </c>
      <c r="D3999" t="s">
        <v>11</v>
      </c>
      <c r="E3999" s="9">
        <v>44</v>
      </c>
      <c r="F3999" t="s">
        <v>32</v>
      </c>
      <c r="G3999" t="s">
        <v>33</v>
      </c>
      <c r="H3999" s="8">
        <v>42367</v>
      </c>
      <c r="I3999">
        <v>25358.91</v>
      </c>
      <c r="K3999" s="8"/>
    </row>
    <row r="4000" spans="1:11">
      <c r="A4000">
        <v>200003999</v>
      </c>
      <c r="B4000" t="s">
        <v>86</v>
      </c>
      <c r="C4000" t="s">
        <v>56</v>
      </c>
      <c r="D4000" t="s">
        <v>11</v>
      </c>
      <c r="E4000" s="9">
        <v>50</v>
      </c>
      <c r="F4000" t="s">
        <v>32</v>
      </c>
      <c r="G4000" t="s">
        <v>33</v>
      </c>
      <c r="H4000" s="7">
        <v>42367</v>
      </c>
      <c r="I4000">
        <v>76764.62</v>
      </c>
      <c r="K4000" s="7"/>
    </row>
    <row r="4001" spans="1:11">
      <c r="A4001">
        <v>300004000</v>
      </c>
      <c r="B4001" t="s">
        <v>38</v>
      </c>
      <c r="C4001" t="s">
        <v>104</v>
      </c>
      <c r="D4001" t="s">
        <v>11</v>
      </c>
      <c r="E4001" s="9">
        <v>40</v>
      </c>
      <c r="F4001" t="s">
        <v>23</v>
      </c>
      <c r="G4001" t="s">
        <v>13</v>
      </c>
      <c r="H4001" s="8">
        <v>42367</v>
      </c>
      <c r="I4001">
        <v>39935.980000000003</v>
      </c>
      <c r="K4001" s="8"/>
    </row>
    <row r="4002" spans="1:11">
      <c r="A4002">
        <v>300004001</v>
      </c>
      <c r="B4002" t="s">
        <v>267</v>
      </c>
      <c r="C4002" t="s">
        <v>292</v>
      </c>
      <c r="D4002" t="s">
        <v>16</v>
      </c>
      <c r="E4002" s="9">
        <v>34</v>
      </c>
      <c r="F4002" t="s">
        <v>23</v>
      </c>
      <c r="G4002" t="s">
        <v>13</v>
      </c>
      <c r="H4002" s="7">
        <v>42367</v>
      </c>
      <c r="I4002">
        <v>92083.79</v>
      </c>
      <c r="K4002" s="7"/>
    </row>
    <row r="4003" spans="1:11">
      <c r="A4003">
        <v>300004002</v>
      </c>
      <c r="B4003" t="s">
        <v>234</v>
      </c>
      <c r="C4003" t="s">
        <v>178</v>
      </c>
      <c r="D4003" t="s">
        <v>11</v>
      </c>
      <c r="E4003" s="9">
        <v>30</v>
      </c>
      <c r="F4003" t="s">
        <v>23</v>
      </c>
      <c r="G4003" t="s">
        <v>13</v>
      </c>
      <c r="H4003" s="8">
        <v>42367</v>
      </c>
      <c r="I4003">
        <v>8250.75</v>
      </c>
      <c r="K4003" s="8"/>
    </row>
    <row r="4004" spans="1:11">
      <c r="A4004">
        <v>100004003</v>
      </c>
      <c r="B4004" t="s">
        <v>143</v>
      </c>
      <c r="C4004" t="s">
        <v>237</v>
      </c>
      <c r="D4004" t="s">
        <v>11</v>
      </c>
      <c r="E4004" s="9">
        <v>46</v>
      </c>
      <c r="F4004" t="s">
        <v>12</v>
      </c>
      <c r="G4004" t="s">
        <v>13</v>
      </c>
      <c r="H4004" s="7">
        <v>42368</v>
      </c>
      <c r="I4004">
        <v>85331.69</v>
      </c>
      <c r="K4004" s="7"/>
    </row>
    <row r="4005" spans="1:11">
      <c r="A4005">
        <v>100004004</v>
      </c>
      <c r="B4005" t="s">
        <v>154</v>
      </c>
      <c r="C4005" t="s">
        <v>134</v>
      </c>
      <c r="D4005" t="s">
        <v>16</v>
      </c>
      <c r="E4005" s="9">
        <v>28</v>
      </c>
      <c r="F4005" t="s">
        <v>12</v>
      </c>
      <c r="G4005" t="s">
        <v>18</v>
      </c>
      <c r="H4005" s="8">
        <v>42368</v>
      </c>
      <c r="I4005">
        <v>68518.55</v>
      </c>
      <c r="K4005" s="8"/>
    </row>
    <row r="4006" spans="1:11">
      <c r="A4006">
        <v>100004005</v>
      </c>
      <c r="B4006" t="s">
        <v>190</v>
      </c>
      <c r="C4006" t="s">
        <v>297</v>
      </c>
      <c r="D4006" t="s">
        <v>11</v>
      </c>
      <c r="E4006" s="9">
        <v>45</v>
      </c>
      <c r="F4006" t="s">
        <v>12</v>
      </c>
      <c r="G4006" t="s">
        <v>13</v>
      </c>
      <c r="H4006" s="7">
        <v>42368</v>
      </c>
      <c r="I4006">
        <v>8435.91</v>
      </c>
      <c r="K4006" s="7"/>
    </row>
    <row r="4007" spans="1:11">
      <c r="A4007">
        <v>100004006</v>
      </c>
      <c r="B4007" t="s">
        <v>102</v>
      </c>
      <c r="C4007" t="s">
        <v>209</v>
      </c>
      <c r="D4007" t="s">
        <v>16</v>
      </c>
      <c r="E4007" s="9">
        <v>44</v>
      </c>
      <c r="F4007" t="s">
        <v>12</v>
      </c>
      <c r="G4007" t="s">
        <v>33</v>
      </c>
      <c r="H4007" s="8">
        <v>42368</v>
      </c>
      <c r="I4007">
        <v>64470.77</v>
      </c>
      <c r="K4007" s="8"/>
    </row>
    <row r="4008" spans="1:11">
      <c r="A4008">
        <v>100004007</v>
      </c>
      <c r="B4008" t="s">
        <v>66</v>
      </c>
      <c r="C4008" t="s">
        <v>157</v>
      </c>
      <c r="D4008" t="s">
        <v>16</v>
      </c>
      <c r="E4008" s="9">
        <v>34</v>
      </c>
      <c r="F4008" t="s">
        <v>12</v>
      </c>
      <c r="G4008" t="s">
        <v>18</v>
      </c>
      <c r="H4008" s="7">
        <v>42368</v>
      </c>
      <c r="I4008">
        <v>4561.22</v>
      </c>
      <c r="K4008" s="7"/>
    </row>
    <row r="4009" spans="1:11">
      <c r="A4009">
        <v>100004008</v>
      </c>
      <c r="B4009" t="s">
        <v>204</v>
      </c>
      <c r="C4009" t="s">
        <v>269</v>
      </c>
      <c r="D4009" t="s">
        <v>11</v>
      </c>
      <c r="E4009" s="9">
        <v>28</v>
      </c>
      <c r="F4009" t="s">
        <v>12</v>
      </c>
      <c r="G4009" t="s">
        <v>18</v>
      </c>
      <c r="H4009" s="8">
        <v>42368</v>
      </c>
      <c r="I4009">
        <v>42128.29</v>
      </c>
      <c r="K4009" s="8"/>
    </row>
    <row r="4010" spans="1:11">
      <c r="A4010">
        <v>200004009</v>
      </c>
      <c r="B4010" t="s">
        <v>68</v>
      </c>
      <c r="C4010" t="s">
        <v>61</v>
      </c>
      <c r="D4010" t="s">
        <v>16</v>
      </c>
      <c r="E4010" s="9">
        <v>64</v>
      </c>
      <c r="F4010" t="s">
        <v>32</v>
      </c>
      <c r="G4010" t="s">
        <v>33</v>
      </c>
      <c r="H4010" s="7">
        <v>42368</v>
      </c>
      <c r="I4010">
        <v>73503.899999999994</v>
      </c>
      <c r="K4010" s="7"/>
    </row>
    <row r="4011" spans="1:11">
      <c r="A4011">
        <v>200004010</v>
      </c>
      <c r="B4011" t="s">
        <v>204</v>
      </c>
      <c r="C4011" t="s">
        <v>37</v>
      </c>
      <c r="D4011" t="s">
        <v>11</v>
      </c>
      <c r="E4011" s="9">
        <v>64</v>
      </c>
      <c r="F4011" t="s">
        <v>32</v>
      </c>
      <c r="G4011" t="s">
        <v>33</v>
      </c>
      <c r="H4011" s="8">
        <v>42368</v>
      </c>
      <c r="I4011">
        <v>19711.66</v>
      </c>
      <c r="K4011" s="8"/>
    </row>
    <row r="4012" spans="1:11">
      <c r="A4012">
        <v>200004011</v>
      </c>
      <c r="B4012" t="s">
        <v>202</v>
      </c>
      <c r="C4012" t="s">
        <v>63</v>
      </c>
      <c r="D4012" t="s">
        <v>11</v>
      </c>
      <c r="E4012" s="9">
        <v>52</v>
      </c>
      <c r="F4012" t="s">
        <v>32</v>
      </c>
      <c r="G4012" t="s">
        <v>18</v>
      </c>
      <c r="H4012" s="7">
        <v>42368</v>
      </c>
      <c r="I4012">
        <v>56069.72</v>
      </c>
      <c r="K4012" s="7"/>
    </row>
    <row r="4013" spans="1:11">
      <c r="A4013">
        <v>200004012</v>
      </c>
      <c r="B4013" t="s">
        <v>128</v>
      </c>
      <c r="C4013" t="s">
        <v>282</v>
      </c>
      <c r="D4013" t="s">
        <v>16</v>
      </c>
      <c r="E4013" s="9">
        <v>50</v>
      </c>
      <c r="F4013" t="s">
        <v>32</v>
      </c>
      <c r="G4013" t="s">
        <v>33</v>
      </c>
      <c r="H4013" s="8">
        <v>42368</v>
      </c>
      <c r="I4013">
        <v>59477.82</v>
      </c>
      <c r="K4013" s="8"/>
    </row>
    <row r="4014" spans="1:11">
      <c r="A4014">
        <v>200004013</v>
      </c>
      <c r="B4014" t="s">
        <v>235</v>
      </c>
      <c r="C4014" t="s">
        <v>153</v>
      </c>
      <c r="D4014" t="s">
        <v>11</v>
      </c>
      <c r="E4014" s="9">
        <v>51</v>
      </c>
      <c r="F4014" t="s">
        <v>32</v>
      </c>
      <c r="G4014" t="s">
        <v>18</v>
      </c>
      <c r="H4014" s="7">
        <v>42368</v>
      </c>
      <c r="I4014">
        <v>239.45</v>
      </c>
      <c r="K4014" s="7"/>
    </row>
    <row r="4015" spans="1:11">
      <c r="A4015">
        <v>300004014</v>
      </c>
      <c r="B4015" t="s">
        <v>169</v>
      </c>
      <c r="C4015" t="s">
        <v>163</v>
      </c>
      <c r="D4015" t="s">
        <v>11</v>
      </c>
      <c r="E4015" s="9">
        <v>33</v>
      </c>
      <c r="F4015" t="s">
        <v>23</v>
      </c>
      <c r="G4015" t="s">
        <v>18</v>
      </c>
      <c r="H4015" s="8">
        <v>42368</v>
      </c>
      <c r="I4015">
        <v>30293.19</v>
      </c>
      <c r="K4015" s="8"/>
    </row>
    <row r="4016" spans="1:11">
      <c r="I4016">
        <f>SUM(Account_Data[[#Headers],[#Data],[Balance]])</f>
        <v>159622523.37000012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DashBoards</vt:lpstr>
      <vt:lpstr>Data Insights</vt:lpstr>
      <vt:lpstr>6. P1-UK-Bank-Customers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</dc:creator>
  <cp:lastModifiedBy>Saif Hany</cp:lastModifiedBy>
  <cp:lastPrinted>2025-12-23T17:01:42Z</cp:lastPrinted>
  <dcterms:created xsi:type="dcterms:W3CDTF">2025-03-07T23:06:05Z</dcterms:created>
  <dcterms:modified xsi:type="dcterms:W3CDTF">2026-03-04T19:33:51Z</dcterms:modified>
</cp:coreProperties>
</file>