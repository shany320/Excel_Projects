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drawings/drawing1.xml" ContentType="application/vnd.openxmlformats-officedocument.drawing+xml"/>
  <Override PartName="/xl/tables/table5.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tables/table6.xml" ContentType="application/vnd.openxmlformats-officedocument.spreadsheetml.table+xml"/>
  <Override PartName="/xl/drawings/drawing3.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527"/>
  <workbookPr hidePivotFieldList="1" defaultThemeVersion="166925"/>
  <mc:AlternateContent xmlns:mc="http://schemas.openxmlformats.org/markup-compatibility/2006">
    <mc:Choice Requires="x15">
      <x15ac:absPath xmlns:x15ac="http://schemas.microsoft.com/office/spreadsheetml/2010/11/ac" url="D:\Route academy\Data Analysis (Alaa Essam Academy)\Excel\Tasks\Task 7\"/>
    </mc:Choice>
  </mc:AlternateContent>
  <xr:revisionPtr revIDLastSave="0" documentId="13_ncr:1_{AC90A18E-AEB1-4964-A29C-E48FAB50ED4C}" xr6:coauthVersionLast="47" xr6:coauthVersionMax="47" xr10:uidLastSave="{00000000-0000-0000-0000-000000000000}"/>
  <bookViews>
    <workbookView xWindow="-108" yWindow="-108" windowWidth="23256" windowHeight="12576" firstSheet="2" activeTab="7" xr2:uid="{A755D0A3-AB86-432E-855F-070FD993B388}"/>
  </bookViews>
  <sheets>
    <sheet name="Facebook" sheetId="3" r:id="rId1"/>
    <sheet name="LINKEDIN" sheetId="4" r:id="rId2"/>
    <sheet name="INSTAGRAM" sheetId="5" r:id="rId3"/>
    <sheet name="X" sheetId="6" r:id="rId4"/>
    <sheet name="details" sheetId="7" r:id="rId5"/>
    <sheet name="Combined data" sheetId="8" r:id="rId6"/>
    <sheet name="Pivot tables" sheetId="9" r:id="rId7"/>
    <sheet name="Dashboard" sheetId="16" r:id="rId8"/>
  </sheets>
  <definedNames>
    <definedName name="Platform">#REF!</definedName>
    <definedName name="Slicer_Week">#N/A</definedName>
  </definedNames>
  <calcPr calcId="191029"/>
  <pivotCaches>
    <pivotCache cacheId="1208" r:id="rId9"/>
  </pivotCaches>
  <extLst>
    <ext xmlns:x14="http://schemas.microsoft.com/office/spreadsheetml/2009/9/main" uri="{BBE1A952-AA13-448e-AADC-164F8A28A991}">
      <x14:slicerCaches>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57" i="9" l="1"/>
  <c r="K56" i="9"/>
  <c r="K55" i="9"/>
  <c r="K54" i="9"/>
  <c r="J57" i="9"/>
  <c r="J56" i="9"/>
  <c r="J55" i="9"/>
  <c r="J54" i="9"/>
  <c r="I57" i="9"/>
  <c r="I56" i="9"/>
  <c r="I55" i="9"/>
  <c r="H57" i="9"/>
  <c r="H56" i="9"/>
  <c r="H55" i="9"/>
  <c r="I54" i="9"/>
  <c r="H54" i="9"/>
  <c r="M106" i="9"/>
  <c r="M124" i="9"/>
  <c r="M125" i="9"/>
  <c r="O127" i="9"/>
  <c r="O126" i="9"/>
  <c r="O125" i="9"/>
  <c r="O124" i="9"/>
  <c r="N127" i="9"/>
  <c r="N126" i="9"/>
  <c r="N125" i="9"/>
  <c r="N124" i="9"/>
  <c r="M127" i="9"/>
  <c r="M126" i="9"/>
  <c r="O121" i="9"/>
  <c r="O120" i="9"/>
  <c r="O119" i="9"/>
  <c r="O118" i="9"/>
  <c r="N121" i="9"/>
  <c r="N120" i="9"/>
  <c r="N119" i="9"/>
  <c r="N118" i="9"/>
  <c r="M121" i="9"/>
  <c r="M120" i="9"/>
  <c r="M119" i="9"/>
  <c r="M118" i="9"/>
  <c r="O115" i="9"/>
  <c r="O114" i="9"/>
  <c r="O113" i="9"/>
  <c r="O112" i="9"/>
  <c r="N115" i="9"/>
  <c r="N114" i="9"/>
  <c r="N113" i="9"/>
  <c r="N112" i="9"/>
  <c r="M115" i="9"/>
  <c r="M114" i="9"/>
  <c r="M113" i="9"/>
  <c r="M112" i="9"/>
  <c r="O109" i="9"/>
  <c r="O108" i="9"/>
  <c r="O107" i="9"/>
  <c r="O106" i="9"/>
  <c r="N106" i="9"/>
  <c r="P112" i="9" l="1"/>
  <c r="P113" i="9"/>
  <c r="P114" i="9"/>
  <c r="P115" i="9"/>
  <c r="P118" i="9"/>
  <c r="P119" i="9"/>
  <c r="P120" i="9"/>
  <c r="P121" i="9"/>
  <c r="P124" i="9"/>
  <c r="P125" i="9"/>
  <c r="P126" i="9"/>
  <c r="P127" i="9"/>
  <c r="N109" i="9"/>
  <c r="N108" i="9"/>
  <c r="N107" i="9"/>
  <c r="M109" i="9"/>
  <c r="M108" i="9"/>
  <c r="M107" i="9"/>
  <c r="D14" i="9"/>
  <c r="D13" i="9"/>
  <c r="D12" i="9"/>
  <c r="D11" i="9"/>
  <c r="G11" i="9"/>
  <c r="G12" i="9"/>
  <c r="G13" i="9"/>
  <c r="G14" i="9"/>
  <c r="E11" i="9"/>
  <c r="E12" i="9"/>
  <c r="E13" i="9"/>
  <c r="E14" i="9"/>
  <c r="B11" i="9"/>
  <c r="B12" i="9"/>
  <c r="B13" i="9"/>
  <c r="B14" i="9"/>
  <c r="H7" i="9"/>
  <c r="H6" i="9"/>
  <c r="H5" i="9"/>
  <c r="H4" i="9"/>
  <c r="A19" i="9"/>
  <c r="P106" i="9" l="1"/>
  <c r="P107" i="9"/>
  <c r="P108" i="9"/>
  <c r="P109" i="9"/>
  <c r="B19" i="9"/>
  <c r="C19" i="9" s="1"/>
  <c r="D19" i="9"/>
  <c r="E19" i="9"/>
  <c r="F19" i="9"/>
  <c r="H19" i="9"/>
  <c r="G19" i="9"/>
  <c r="K11" i="8"/>
  <c r="K10" i="8"/>
  <c r="H2" i="3"/>
  <c r="G15" i="9"/>
  <c r="F15" i="9"/>
  <c r="E15" i="9"/>
  <c r="D15" i="9"/>
  <c r="C15" i="9"/>
  <c r="B15" i="9"/>
</calcChain>
</file>

<file path=xl/sharedStrings.xml><?xml version="1.0" encoding="utf-8"?>
<sst xmlns="http://schemas.openxmlformats.org/spreadsheetml/2006/main" count="458" uniqueCount="65">
  <si>
    <t>Week</t>
  </si>
  <si>
    <t>Impressions</t>
  </si>
  <si>
    <t>Engagement Rate</t>
  </si>
  <si>
    <t>Audience Growth Rate</t>
  </si>
  <si>
    <t>Response Rate</t>
  </si>
  <si>
    <t>Post Reach</t>
  </si>
  <si>
    <t>Likes</t>
  </si>
  <si>
    <t>Description</t>
  </si>
  <si>
    <t>KPIS</t>
  </si>
  <si>
    <r>
      <rPr>
        <b/>
        <sz val="11"/>
        <color theme="1"/>
        <rFont val="Calibri"/>
        <family val="2"/>
        <scheme val="minor"/>
      </rPr>
      <t>Week</t>
    </r>
    <r>
      <rPr>
        <sz val="11"/>
        <color theme="1"/>
        <rFont val="Calibri"/>
        <family val="2"/>
        <scheme val="minor"/>
      </rPr>
      <t>: Indicates the specific week of data collection.</t>
    </r>
  </si>
  <si>
    <t>New Fans</t>
  </si>
  <si>
    <t>Total Audience Growth Rate</t>
  </si>
  <si>
    <r>
      <rPr>
        <b/>
        <sz val="11"/>
        <color theme="1"/>
        <rFont val="Calibri"/>
        <family val="2"/>
        <scheme val="minor"/>
      </rPr>
      <t>Impressions</t>
    </r>
    <r>
      <rPr>
        <sz val="11"/>
        <color theme="1"/>
        <rFont val="Calibri"/>
        <family val="2"/>
        <scheme val="minor"/>
      </rPr>
      <t>: The total number of times content was displayed to users.</t>
    </r>
  </si>
  <si>
    <t>Current Number of Fans</t>
  </si>
  <si>
    <t>New Fans + Current Number of Fans(Given)</t>
  </si>
  <si>
    <r>
      <rPr>
        <b/>
        <sz val="11"/>
        <color theme="1"/>
        <rFont val="Calibri"/>
        <family val="2"/>
        <scheme val="minor"/>
      </rPr>
      <t>Engagement Rate</t>
    </r>
    <r>
      <rPr>
        <sz val="11"/>
        <color theme="1"/>
        <rFont val="Calibri"/>
        <family val="2"/>
        <scheme val="minor"/>
      </rPr>
      <t>: A measure of user interaction, expressed as a percentage (e.g., likes, comments, shares, etc.).</t>
    </r>
  </si>
  <si>
    <t>%New Fans</t>
  </si>
  <si>
    <t>New Fans / Current Number of Fans</t>
  </si>
  <si>
    <r>
      <rPr>
        <b/>
        <sz val="11"/>
        <color theme="1"/>
        <rFont val="Calibri"/>
        <family val="2"/>
        <scheme val="minor"/>
      </rPr>
      <t>Audience Growth Rate</t>
    </r>
    <r>
      <rPr>
        <sz val="11"/>
        <color theme="1"/>
        <rFont val="Calibri"/>
        <family val="2"/>
        <scheme val="minor"/>
      </rPr>
      <t>: The rate of change in the audience size, typically reflecting new followers or subscribers.</t>
    </r>
  </si>
  <si>
    <t>Total Post Reach</t>
  </si>
  <si>
    <r>
      <rPr>
        <b/>
        <sz val="11"/>
        <color theme="1"/>
        <rFont val="Calibri"/>
        <family val="2"/>
        <scheme val="minor"/>
      </rPr>
      <t>Response Rate</t>
    </r>
    <r>
      <rPr>
        <sz val="11"/>
        <color theme="1"/>
        <rFont val="Calibri"/>
        <family val="2"/>
        <scheme val="minor"/>
      </rPr>
      <t>: The proportion of responses or replies to user queries or interactions.</t>
    </r>
  </si>
  <si>
    <t>Total Likes</t>
  </si>
  <si>
    <r>
      <rPr>
        <b/>
        <sz val="11"/>
        <color theme="1"/>
        <rFont val="Calibri"/>
        <family val="2"/>
        <scheme val="minor"/>
      </rPr>
      <t>Post Reach</t>
    </r>
    <r>
      <rPr>
        <sz val="11"/>
        <color theme="1"/>
        <rFont val="Calibri"/>
        <family val="2"/>
        <scheme val="minor"/>
      </rPr>
      <t>: The number of unique users who saw the content.</t>
    </r>
  </si>
  <si>
    <t>Average Engagement Rate</t>
  </si>
  <si>
    <r>
      <rPr>
        <b/>
        <sz val="11"/>
        <color theme="1"/>
        <rFont val="Calibri"/>
        <family val="2"/>
        <scheme val="minor"/>
      </rPr>
      <t>Likes</t>
    </r>
    <r>
      <rPr>
        <sz val="11"/>
        <color theme="1"/>
        <rFont val="Calibri"/>
        <family val="2"/>
        <scheme val="minor"/>
      </rPr>
      <t>: The number of likes received on posts during the specified week.</t>
    </r>
  </si>
  <si>
    <t>Average Response Rate</t>
  </si>
  <si>
    <t>Total Impressions</t>
  </si>
  <si>
    <t>Current Number of Fans:</t>
  </si>
  <si>
    <t>Facebook</t>
  </si>
  <si>
    <t>LinkedIN</t>
  </si>
  <si>
    <t>Instagram</t>
  </si>
  <si>
    <t>X</t>
  </si>
  <si>
    <t>Current fans</t>
  </si>
  <si>
    <t>Linkedin</t>
  </si>
  <si>
    <t>Sum of Audience Growth Rate</t>
  </si>
  <si>
    <t>Platform</t>
  </si>
  <si>
    <t>Row Labels</t>
  </si>
  <si>
    <t>Grand Total</t>
  </si>
  <si>
    <t>Total Fans</t>
  </si>
  <si>
    <t>Sum of Post Reach</t>
  </si>
  <si>
    <t>Sum of Likes</t>
  </si>
  <si>
    <t>Sum of Engagement Rate</t>
  </si>
  <si>
    <t>Average of Engagement Rate</t>
  </si>
  <si>
    <t>Average of Response Rate</t>
  </si>
  <si>
    <t>Sum of Impressions</t>
  </si>
  <si>
    <t xml:space="preserve">Average Engagement rate </t>
  </si>
  <si>
    <t>Average response rate</t>
  </si>
  <si>
    <t>1-13</t>
  </si>
  <si>
    <t>14-26</t>
  </si>
  <si>
    <t>27-39</t>
  </si>
  <si>
    <t>40-52</t>
  </si>
  <si>
    <t>Sum of fans</t>
  </si>
  <si>
    <t>Column Labels</t>
  </si>
  <si>
    <t>Sum of impressions</t>
  </si>
  <si>
    <t>Sum of Audience Growth</t>
  </si>
  <si>
    <t>Rate of success</t>
  </si>
  <si>
    <t>Week 1-13</t>
  </si>
  <si>
    <t>Week 14-26</t>
  </si>
  <si>
    <t>Week 27-39</t>
  </si>
  <si>
    <t>Week 40-52</t>
  </si>
  <si>
    <t>Week (1-13)</t>
  </si>
  <si>
    <t>Week (14-26)</t>
  </si>
  <si>
    <t>Week (27-39)</t>
  </si>
  <si>
    <t>Week (40-52)</t>
  </si>
  <si>
    <t>Time Stamp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</si>
</sst>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43" formatCode="_(* #,##0.00_);_(* \(#,##0.00\);_(* &quot;-&quot;??_);_(@_)"/>
    <numFmt numFmtId="164" formatCode="_(* #,##0_);_(* \(#,##0\);_(* &quot;-&quot;??_);_(@_)"/>
    <numFmt numFmtId="181" formatCode="0.0%"/>
    <numFmt numFmtId="182" formatCode="0.000"/>
  </numFmts>
  <fonts count="9">
    <font>
      <sz val="11"/>
      <color theme="1"/>
      <name val="Calibri"/>
      <family val="2"/>
      <scheme val="minor"/>
    </font>
    <font>
      <b/>
      <sz val="10"/>
      <color rgb="FF111111"/>
      <name val="Bahnschrift"/>
      <family val="2"/>
    </font>
    <font>
      <sz val="10"/>
      <color rgb="FF111111"/>
      <name val="Bahnschrift"/>
      <family val="2"/>
    </font>
    <font>
      <sz val="11"/>
      <color theme="1"/>
      <name val="Calibri"/>
      <family val="2"/>
      <scheme val="minor"/>
    </font>
    <font>
      <sz val="11"/>
      <color rgb="FF006100"/>
      <name val="Calibri"/>
      <family val="2"/>
      <scheme val="minor"/>
    </font>
    <font>
      <sz val="11"/>
      <color rgb="FF9C0006"/>
      <name val="Calibri"/>
      <family val="2"/>
      <scheme val="minor"/>
    </font>
    <font>
      <b/>
      <sz val="11"/>
      <color theme="1"/>
      <name val="Calibri"/>
      <family val="2"/>
      <scheme val="minor"/>
    </font>
    <font>
      <b/>
      <sz val="12"/>
      <color rgb="FF9C0006"/>
      <name val="Calibri"/>
      <family val="2"/>
      <scheme val="minor"/>
    </font>
    <font>
      <b/>
      <sz val="12"/>
      <color rgb="FF006100"/>
      <name val="Calibri"/>
      <family val="2"/>
      <scheme val="minor"/>
    </font>
  </fonts>
  <fills count="10">
    <fill>
      <patternFill patternType="none"/>
    </fill>
    <fill>
      <patternFill patternType="gray125"/>
    </fill>
    <fill>
      <patternFill patternType="solid">
        <fgColor rgb="FFC6EFCE"/>
      </patternFill>
    </fill>
    <fill>
      <patternFill patternType="solid">
        <fgColor rgb="FFFFC7CE"/>
      </patternFill>
    </fill>
    <fill>
      <patternFill patternType="solid">
        <fgColor theme="4"/>
        <bgColor theme="4"/>
      </patternFill>
    </fill>
    <fill>
      <patternFill patternType="solid">
        <fgColor theme="4" tint="0.79998168889431442"/>
        <bgColor theme="4" tint="0.79998168889431442"/>
      </patternFill>
    </fill>
    <fill>
      <patternFill patternType="solid">
        <fgColor theme="4" tint="0.79998168889431442"/>
        <bgColor indexed="64"/>
      </patternFill>
    </fill>
    <fill>
      <patternFill patternType="solid">
        <fgColor rgb="FFFFFF00"/>
        <bgColor indexed="64"/>
      </patternFill>
    </fill>
    <fill>
      <patternFill patternType="solid">
        <fgColor theme="8" tint="0.79998168889431442"/>
        <bgColor indexed="64"/>
      </patternFill>
    </fill>
    <fill>
      <patternFill patternType="solid">
        <fgColor rgb="FF00B0F0"/>
        <bgColor indexed="64"/>
      </patternFill>
    </fill>
  </fills>
  <borders count="3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right/>
      <top/>
      <bottom style="thin">
        <color theme="4" tint="0.39997558519241921"/>
      </bottom>
      <diagonal/>
    </border>
    <border>
      <left/>
      <right/>
      <top style="thin">
        <color theme="4" tint="0.39997558519241921"/>
      </top>
      <bottom/>
      <diagonal/>
    </border>
    <border>
      <left style="thin">
        <color theme="4" tint="0.39997558519241921"/>
      </left>
      <right/>
      <top style="thin">
        <color theme="4" tint="0.39997558519241921"/>
      </top>
      <bottom/>
      <diagonal/>
    </border>
    <border>
      <left/>
      <right style="thin">
        <color theme="4" tint="0.39997558519241921"/>
      </right>
      <top style="thin">
        <color theme="4" tint="0.39997558519241921"/>
      </top>
      <bottom/>
      <diagonal/>
    </border>
    <border>
      <left style="thin">
        <color theme="8"/>
      </left>
      <right style="thin">
        <color theme="8"/>
      </right>
      <top style="thin">
        <color theme="8"/>
      </top>
      <bottom style="thin">
        <color theme="8"/>
      </bottom>
      <diagonal/>
    </border>
    <border>
      <left style="thin">
        <color theme="8"/>
      </left>
      <right/>
      <top style="thin">
        <color theme="8"/>
      </top>
      <bottom style="thin">
        <color theme="8"/>
      </bottom>
      <diagonal/>
    </border>
    <border>
      <left style="thin">
        <color theme="8"/>
      </left>
      <right style="thin">
        <color theme="8"/>
      </right>
      <top style="thin">
        <color theme="8"/>
      </top>
      <bottom/>
      <diagonal/>
    </border>
    <border>
      <left style="thin">
        <color theme="8"/>
      </left>
      <right/>
      <top style="thin">
        <color theme="8"/>
      </top>
      <bottom/>
      <diagonal/>
    </border>
    <border>
      <left style="medium">
        <color theme="8"/>
      </left>
      <right style="medium">
        <color theme="8"/>
      </right>
      <top style="medium">
        <color theme="8"/>
      </top>
      <bottom style="medium">
        <color theme="8"/>
      </bottom>
      <diagonal/>
    </border>
    <border>
      <left style="medium">
        <color theme="8"/>
      </left>
      <right/>
      <top style="medium">
        <color theme="8"/>
      </top>
      <bottom/>
      <diagonal/>
    </border>
    <border>
      <left/>
      <right/>
      <top style="medium">
        <color theme="8"/>
      </top>
      <bottom/>
      <diagonal/>
    </border>
    <border>
      <left/>
      <right style="medium">
        <color theme="8"/>
      </right>
      <top style="medium">
        <color theme="8"/>
      </top>
      <bottom/>
      <diagonal/>
    </border>
    <border>
      <left style="medium">
        <color theme="8"/>
      </left>
      <right/>
      <top/>
      <bottom/>
      <diagonal/>
    </border>
    <border>
      <left/>
      <right style="medium">
        <color theme="8"/>
      </right>
      <top/>
      <bottom/>
      <diagonal/>
    </border>
    <border>
      <left style="medium">
        <color theme="8"/>
      </left>
      <right/>
      <top/>
      <bottom style="medium">
        <color theme="8"/>
      </bottom>
      <diagonal/>
    </border>
    <border>
      <left/>
      <right/>
      <top/>
      <bottom style="medium">
        <color theme="8"/>
      </bottom>
      <diagonal/>
    </border>
    <border>
      <left/>
      <right style="medium">
        <color theme="8"/>
      </right>
      <top/>
      <bottom style="medium">
        <color theme="8"/>
      </bottom>
      <diagonal/>
    </border>
    <border>
      <left style="thin">
        <color theme="8"/>
      </left>
      <right style="thin">
        <color theme="8"/>
      </right>
      <top style="thin">
        <color theme="8"/>
      </top>
      <bottom style="medium">
        <color theme="8"/>
      </bottom>
      <diagonal/>
    </border>
    <border>
      <left style="medium">
        <color theme="8"/>
      </left>
      <right style="medium">
        <color theme="8"/>
      </right>
      <top style="medium">
        <color theme="8"/>
      </top>
      <bottom/>
      <diagonal/>
    </border>
    <border>
      <left style="medium">
        <color theme="8"/>
      </left>
      <right style="medium">
        <color theme="8"/>
      </right>
      <top/>
      <bottom/>
      <diagonal/>
    </border>
    <border>
      <left style="medium">
        <color theme="8"/>
      </left>
      <right style="medium">
        <color theme="8"/>
      </right>
      <top/>
      <bottom style="medium">
        <color theme="8"/>
      </bottom>
      <diagonal/>
    </border>
    <border>
      <left style="medium">
        <color theme="8"/>
      </left>
      <right/>
      <top style="medium">
        <color theme="8"/>
      </top>
      <bottom style="medium">
        <color theme="8"/>
      </bottom>
      <diagonal/>
    </border>
    <border>
      <left/>
      <right/>
      <top style="medium">
        <color theme="8"/>
      </top>
      <bottom style="medium">
        <color theme="8"/>
      </bottom>
      <diagonal/>
    </border>
    <border>
      <left/>
      <right style="medium">
        <color theme="8"/>
      </right>
      <top style="medium">
        <color theme="8"/>
      </top>
      <bottom style="medium">
        <color theme="8"/>
      </bottom>
      <diagonal/>
    </border>
  </borders>
  <cellStyleXfs count="5">
    <xf numFmtId="0" fontId="0" fillId="0" borderId="0"/>
    <xf numFmtId="43" fontId="3" fillId="0" borderId="0" applyFont="0" applyFill="0" applyBorder="0" applyAlignment="0" applyProtection="0"/>
    <xf numFmtId="0" fontId="4" fillId="2" borderId="0" applyNumberFormat="0" applyBorder="0" applyAlignment="0" applyProtection="0"/>
    <xf numFmtId="0" fontId="5" fillId="3" borderId="0" applyNumberFormat="0" applyBorder="0" applyAlignment="0" applyProtection="0"/>
    <xf numFmtId="9" fontId="3" fillId="0" borderId="0" applyFont="0" applyFill="0" applyBorder="0" applyAlignment="0" applyProtection="0"/>
  </cellStyleXfs>
  <cellXfs count="104">
    <xf numFmtId="0" fontId="0" fillId="0" borderId="0" xfId="0"/>
    <xf numFmtId="0" fontId="1" fillId="0" borderId="0" xfId="0" applyFont="1" applyAlignment="1">
      <alignment horizontal="center" vertical="center" wrapText="1"/>
    </xf>
    <xf numFmtId="0" fontId="2" fillId="0" borderId="0" xfId="0" applyFont="1" applyAlignment="1">
      <alignment horizontal="center" vertical="center" wrapText="1"/>
    </xf>
    <xf numFmtId="3" fontId="2" fillId="0" borderId="0" xfId="0" applyNumberFormat="1" applyFont="1" applyAlignment="1">
      <alignment horizontal="center" vertical="center" wrapText="1"/>
    </xf>
    <xf numFmtId="9" fontId="2" fillId="0" borderId="0" xfId="0" applyNumberFormat="1" applyFont="1" applyAlignment="1">
      <alignment horizontal="center" vertical="center" wrapText="1"/>
    </xf>
    <xf numFmtId="10" fontId="2" fillId="0" borderId="0" xfId="0" applyNumberFormat="1" applyFont="1" applyAlignment="1">
      <alignment horizontal="center" vertical="center" wrapText="1"/>
    </xf>
    <xf numFmtId="0" fontId="7" fillId="3" borderId="1" xfId="3" applyFont="1" applyBorder="1"/>
    <xf numFmtId="0" fontId="0" fillId="0" borderId="1" xfId="0" applyBorder="1"/>
    <xf numFmtId="0" fontId="6" fillId="0" borderId="1" xfId="0" applyFont="1" applyBorder="1"/>
    <xf numFmtId="0" fontId="0" fillId="0" borderId="1" xfId="0" applyBorder="1"/>
    <xf numFmtId="164" fontId="0" fillId="0" borderId="1" xfId="1" applyNumberFormat="1" applyFont="1" applyBorder="1"/>
    <xf numFmtId="0" fontId="0" fillId="0" borderId="1" xfId="0" applyBorder="1"/>
    <xf numFmtId="0" fontId="8" fillId="2" borderId="2" xfId="2" applyFont="1" applyBorder="1" applyAlignment="1">
      <alignment horizontal="center"/>
    </xf>
    <xf numFmtId="0" fontId="8" fillId="2" borderId="3" xfId="2" applyFont="1" applyBorder="1" applyAlignment="1">
      <alignment horizontal="center"/>
    </xf>
    <xf numFmtId="0" fontId="8" fillId="2" borderId="1" xfId="2" applyFont="1" applyBorder="1" applyAlignment="1">
      <alignment horizontal="center" vertical="center"/>
    </xf>
    <xf numFmtId="0" fontId="1" fillId="4" borderId="6" xfId="0" applyFont="1" applyFill="1" applyBorder="1" applyAlignment="1">
      <alignment horizontal="center" vertical="center" wrapText="1"/>
    </xf>
    <xf numFmtId="3" fontId="2" fillId="5" borderId="6" xfId="0" applyNumberFormat="1" applyFont="1" applyFill="1" applyBorder="1" applyAlignment="1">
      <alignment horizontal="center" vertical="center" wrapText="1"/>
    </xf>
    <xf numFmtId="3" fontId="2" fillId="0" borderId="6" xfId="0" applyNumberFormat="1" applyFont="1" applyBorder="1" applyAlignment="1">
      <alignment horizontal="center" vertical="center" wrapText="1"/>
    </xf>
    <xf numFmtId="0" fontId="2" fillId="5" borderId="4" xfId="0" applyFont="1" applyFill="1" applyBorder="1" applyAlignment="1">
      <alignment horizontal="center" vertical="center" wrapText="1"/>
    </xf>
    <xf numFmtId="3" fontId="2" fillId="5" borderId="5" xfId="0" applyNumberFormat="1" applyFont="1" applyFill="1" applyBorder="1" applyAlignment="1">
      <alignment horizontal="center" vertical="center" wrapText="1"/>
    </xf>
    <xf numFmtId="10" fontId="2" fillId="5" borderId="5" xfId="0" applyNumberFormat="1" applyFont="1" applyFill="1" applyBorder="1" applyAlignment="1">
      <alignment horizontal="center" vertical="center" wrapText="1"/>
    </xf>
    <xf numFmtId="9" fontId="2" fillId="5" borderId="5" xfId="0" applyNumberFormat="1" applyFont="1" applyFill="1" applyBorder="1" applyAlignment="1">
      <alignment horizontal="center" vertical="center" wrapText="1"/>
    </xf>
    <xf numFmtId="0" fontId="2" fillId="0" borderId="4" xfId="0" applyFont="1" applyBorder="1" applyAlignment="1">
      <alignment horizontal="center" vertical="center" wrapText="1"/>
    </xf>
    <xf numFmtId="3" fontId="2" fillId="0" borderId="5" xfId="0" applyNumberFormat="1" applyFont="1" applyBorder="1" applyAlignment="1">
      <alignment horizontal="center" vertical="center" wrapText="1"/>
    </xf>
    <xf numFmtId="10" fontId="2" fillId="0" borderId="5" xfId="0" applyNumberFormat="1" applyFont="1" applyBorder="1" applyAlignment="1">
      <alignment horizontal="center" vertical="center" wrapText="1"/>
    </xf>
    <xf numFmtId="9" fontId="2" fillId="0" borderId="5" xfId="0" applyNumberFormat="1" applyFont="1" applyBorder="1" applyAlignment="1">
      <alignment horizontal="center" vertical="center" wrapText="1"/>
    </xf>
    <xf numFmtId="0" fontId="0" fillId="0" borderId="0" xfId="0" applyAlignment="1">
      <alignment horizontal="center" vertical="center"/>
    </xf>
    <xf numFmtId="0" fontId="0" fillId="0" borderId="1" xfId="0" applyBorder="1" applyAlignment="1">
      <alignment horizontal="center"/>
    </xf>
    <xf numFmtId="164" fontId="0" fillId="0" borderId="1" xfId="1" applyNumberFormat="1" applyFont="1" applyBorder="1" applyAlignment="1">
      <alignment horizontal="center"/>
    </xf>
    <xf numFmtId="0" fontId="0" fillId="0" borderId="0" xfId="0" pivotButton="1"/>
    <xf numFmtId="0" fontId="2" fillId="0" borderId="9" xfId="0" applyFont="1" applyBorder="1" applyAlignment="1">
      <alignment horizontal="center" vertical="center" wrapText="1"/>
    </xf>
    <xf numFmtId="3" fontId="2" fillId="0" borderId="8" xfId="0" applyNumberFormat="1" applyFont="1" applyBorder="1" applyAlignment="1">
      <alignment horizontal="center" vertical="center" wrapText="1"/>
    </xf>
    <xf numFmtId="10" fontId="2" fillId="0" borderId="8" xfId="0" applyNumberFormat="1" applyFont="1" applyBorder="1" applyAlignment="1">
      <alignment horizontal="center" vertical="center" wrapText="1"/>
    </xf>
    <xf numFmtId="9" fontId="2" fillId="0" borderId="8" xfId="0" applyNumberFormat="1" applyFont="1" applyBorder="1" applyAlignment="1">
      <alignment horizontal="center" vertical="center" wrapText="1"/>
    </xf>
    <xf numFmtId="3" fontId="2" fillId="0" borderId="10" xfId="0" applyNumberFormat="1" applyFont="1" applyBorder="1" applyAlignment="1">
      <alignment horizontal="center" vertical="center" wrapText="1"/>
    </xf>
    <xf numFmtId="3" fontId="0" fillId="0" borderId="0" xfId="0" applyNumberFormat="1"/>
    <xf numFmtId="9" fontId="0" fillId="0" borderId="0" xfId="4" applyFont="1" applyAlignment="1">
      <alignment horizontal="center" vertical="center"/>
    </xf>
    <xf numFmtId="0" fontId="0" fillId="0" borderId="11" xfId="0" applyBorder="1" applyAlignment="1">
      <alignment horizontal="center" vertical="center"/>
    </xf>
    <xf numFmtId="9" fontId="0" fillId="0" borderId="11" xfId="4" applyFont="1" applyBorder="1" applyAlignment="1">
      <alignment horizontal="center" vertical="center"/>
    </xf>
    <xf numFmtId="0" fontId="0" fillId="6" borderId="11" xfId="0" applyFill="1" applyBorder="1" applyAlignment="1">
      <alignment horizontal="center"/>
    </xf>
    <xf numFmtId="0" fontId="0" fillId="6" borderId="11" xfId="0" applyFill="1" applyBorder="1" applyAlignment="1">
      <alignment horizontal="center" vertical="center"/>
    </xf>
    <xf numFmtId="0" fontId="0" fillId="0" borderId="0" xfId="0" applyNumberFormat="1" applyAlignment="1">
      <alignment horizontal="center" vertical="center"/>
    </xf>
    <xf numFmtId="164" fontId="0" fillId="0" borderId="0" xfId="1" applyNumberFormat="1" applyFont="1" applyAlignment="1">
      <alignment horizontal="center" vertical="center"/>
    </xf>
    <xf numFmtId="0" fontId="0" fillId="0" borderId="0" xfId="0" applyAlignment="1">
      <alignment horizontal="left" indent="1"/>
    </xf>
    <xf numFmtId="164" fontId="0" fillId="0" borderId="0" xfId="0" applyNumberFormat="1" applyAlignment="1">
      <alignment horizontal="center" vertical="center"/>
    </xf>
    <xf numFmtId="0" fontId="0" fillId="7" borderId="0" xfId="0" applyFill="1"/>
    <xf numFmtId="0" fontId="0" fillId="7" borderId="0" xfId="0" applyNumberFormat="1" applyFill="1" applyAlignment="1">
      <alignment horizontal="center" vertical="center"/>
    </xf>
    <xf numFmtId="10" fontId="0" fillId="0" borderId="0" xfId="0" applyNumberFormat="1" applyAlignment="1">
      <alignment horizontal="center" vertical="center"/>
    </xf>
    <xf numFmtId="0" fontId="6" fillId="0" borderId="7" xfId="0" applyFont="1" applyBorder="1" applyAlignment="1">
      <alignment horizontal="left"/>
    </xf>
    <xf numFmtId="0" fontId="6" fillId="0" borderId="7" xfId="0" applyNumberFormat="1" applyFont="1" applyBorder="1" applyAlignment="1">
      <alignment horizontal="center" vertical="center"/>
    </xf>
    <xf numFmtId="10" fontId="6" fillId="0" borderId="7" xfId="0" applyNumberFormat="1" applyFont="1" applyBorder="1" applyAlignment="1">
      <alignment horizontal="center" vertical="center"/>
    </xf>
    <xf numFmtId="2" fontId="0" fillId="0" borderId="11" xfId="0" applyNumberFormat="1" applyBorder="1" applyAlignment="1">
      <alignment horizontal="center" vertical="center"/>
    </xf>
    <xf numFmtId="0" fontId="0" fillId="0" borderId="11" xfId="0" applyNumberFormat="1" applyBorder="1" applyAlignment="1">
      <alignment horizontal="center" vertical="center"/>
    </xf>
    <xf numFmtId="182" fontId="0" fillId="0" borderId="11" xfId="0" applyNumberFormat="1" applyBorder="1" applyAlignment="1">
      <alignment horizontal="center" vertical="center"/>
    </xf>
    <xf numFmtId="0" fontId="0" fillId="8" borderId="11" xfId="0" applyFill="1" applyBorder="1" applyAlignment="1">
      <alignment horizontal="center" vertical="center"/>
    </xf>
    <xf numFmtId="0" fontId="0" fillId="9" borderId="11" xfId="0" applyFill="1" applyBorder="1" applyAlignment="1">
      <alignment horizontal="center" vertical="center"/>
    </xf>
    <xf numFmtId="0" fontId="0" fillId="9" borderId="12" xfId="0" applyFill="1" applyBorder="1" applyAlignment="1">
      <alignment horizontal="center" vertical="center"/>
    </xf>
    <xf numFmtId="9" fontId="0" fillId="0" borderId="11" xfId="0" applyNumberFormat="1" applyBorder="1" applyAlignment="1">
      <alignment horizontal="center" vertical="center"/>
    </xf>
    <xf numFmtId="9" fontId="0" fillId="0" borderId="12" xfId="0" applyNumberFormat="1" applyBorder="1" applyAlignment="1">
      <alignment horizontal="center" vertical="center"/>
    </xf>
    <xf numFmtId="0" fontId="0" fillId="9" borderId="14" xfId="0" applyFill="1" applyBorder="1" applyAlignment="1">
      <alignment horizontal="center" vertical="center"/>
    </xf>
    <xf numFmtId="9" fontId="0" fillId="0" borderId="13" xfId="0" applyNumberFormat="1" applyBorder="1" applyAlignment="1">
      <alignment horizontal="center" vertical="center"/>
    </xf>
    <xf numFmtId="9" fontId="0" fillId="0" borderId="14" xfId="0" applyNumberFormat="1" applyBorder="1" applyAlignment="1">
      <alignment horizontal="center" vertical="center"/>
    </xf>
    <xf numFmtId="0" fontId="0" fillId="0" borderId="16" xfId="0" applyBorder="1"/>
    <xf numFmtId="0" fontId="0" fillId="0" borderId="17" xfId="0" applyBorder="1"/>
    <xf numFmtId="0" fontId="0" fillId="0" borderId="18" xfId="0" applyBorder="1"/>
    <xf numFmtId="0" fontId="0" fillId="0" borderId="19" xfId="0" applyBorder="1"/>
    <xf numFmtId="0" fontId="0" fillId="0" borderId="0" xfId="0" applyBorder="1"/>
    <xf numFmtId="0" fontId="0" fillId="0" borderId="20" xfId="0" applyBorder="1"/>
    <xf numFmtId="0" fontId="0" fillId="0" borderId="0" xfId="0" pivotButton="1" applyBorder="1"/>
    <xf numFmtId="0" fontId="0" fillId="0" borderId="0" xfId="0" applyBorder="1" applyAlignment="1">
      <alignment horizontal="left"/>
    </xf>
    <xf numFmtId="0" fontId="0" fillId="0" borderId="0" xfId="0" applyNumberFormat="1" applyBorder="1" applyAlignment="1">
      <alignment horizontal="center" vertical="center"/>
    </xf>
    <xf numFmtId="10" fontId="0" fillId="0" borderId="0" xfId="0" applyNumberFormat="1" applyBorder="1" applyAlignment="1">
      <alignment horizontal="center" vertical="center"/>
    </xf>
    <xf numFmtId="0" fontId="0" fillId="0" borderId="0" xfId="0" applyBorder="1" applyAlignment="1">
      <alignment horizontal="center" vertical="center"/>
    </xf>
    <xf numFmtId="0" fontId="0" fillId="0" borderId="0" xfId="0" applyBorder="1" applyAlignment="1">
      <alignment horizontal="left" indent="1"/>
    </xf>
    <xf numFmtId="181" fontId="0" fillId="0" borderId="0" xfId="0" applyNumberFormat="1" applyBorder="1" applyAlignment="1">
      <alignment horizontal="center" vertical="center"/>
    </xf>
    <xf numFmtId="0" fontId="0" fillId="0" borderId="0" xfId="0" applyBorder="1" applyAlignment="1">
      <alignment horizontal="center"/>
    </xf>
    <xf numFmtId="0" fontId="0" fillId="0" borderId="21" xfId="0" applyBorder="1"/>
    <xf numFmtId="0" fontId="0" fillId="0" borderId="22" xfId="0" applyBorder="1"/>
    <xf numFmtId="0" fontId="0" fillId="0" borderId="23" xfId="0" applyBorder="1"/>
    <xf numFmtId="0" fontId="6" fillId="0" borderId="0" xfId="0" applyFont="1" applyBorder="1" applyAlignment="1">
      <alignment horizontal="center" vertical="center"/>
    </xf>
    <xf numFmtId="9" fontId="0" fillId="0" borderId="24" xfId="4" applyFont="1" applyBorder="1" applyAlignment="1">
      <alignment horizontal="center" vertical="center"/>
    </xf>
    <xf numFmtId="0" fontId="0" fillId="0" borderId="20" xfId="0" applyNumberFormat="1" applyBorder="1" applyAlignment="1">
      <alignment horizontal="center" vertical="center"/>
    </xf>
    <xf numFmtId="10" fontId="0" fillId="0" borderId="22" xfId="0" applyNumberFormat="1" applyBorder="1" applyAlignment="1">
      <alignment horizontal="center" vertical="center"/>
    </xf>
    <xf numFmtId="0" fontId="0" fillId="0" borderId="23" xfId="0" applyNumberFormat="1" applyBorder="1" applyAlignment="1">
      <alignment horizontal="center" vertical="center"/>
    </xf>
    <xf numFmtId="0" fontId="0" fillId="0" borderId="16" xfId="0" applyNumberFormat="1" applyBorder="1" applyAlignment="1">
      <alignment horizontal="center" vertical="center"/>
    </xf>
    <xf numFmtId="0" fontId="0" fillId="0" borderId="18" xfId="0" applyNumberFormat="1" applyBorder="1" applyAlignment="1">
      <alignment horizontal="center" vertical="center"/>
    </xf>
    <xf numFmtId="0" fontId="0" fillId="0" borderId="19" xfId="0" applyNumberFormat="1" applyBorder="1" applyAlignment="1">
      <alignment horizontal="center" vertical="center"/>
    </xf>
    <xf numFmtId="0" fontId="0" fillId="0" borderId="21" xfId="0" applyNumberFormat="1" applyBorder="1" applyAlignment="1">
      <alignment horizontal="center" vertical="center"/>
    </xf>
    <xf numFmtId="0" fontId="0" fillId="0" borderId="15" xfId="0" pivotButton="1" applyBorder="1"/>
    <xf numFmtId="0" fontId="0" fillId="0" borderId="15" xfId="0" applyBorder="1" applyAlignment="1">
      <alignment horizontal="left"/>
    </xf>
    <xf numFmtId="0" fontId="0" fillId="0" borderId="15" xfId="0" applyBorder="1" applyAlignment="1">
      <alignment horizontal="center"/>
    </xf>
    <xf numFmtId="0" fontId="0" fillId="0" borderId="25" xfId="0" applyBorder="1" applyAlignment="1">
      <alignment horizontal="left" indent="1"/>
    </xf>
    <xf numFmtId="0" fontId="0" fillId="0" borderId="26" xfId="0" applyBorder="1" applyAlignment="1">
      <alignment horizontal="left" indent="1"/>
    </xf>
    <xf numFmtId="0" fontId="0" fillId="0" borderId="27" xfId="0" applyBorder="1" applyAlignment="1">
      <alignment horizontal="left" indent="1"/>
    </xf>
    <xf numFmtId="0" fontId="0" fillId="0" borderId="28" xfId="0" applyBorder="1"/>
    <xf numFmtId="0" fontId="0" fillId="0" borderId="29" xfId="0" applyBorder="1"/>
    <xf numFmtId="0" fontId="0" fillId="0" borderId="30" xfId="0" applyBorder="1"/>
    <xf numFmtId="10" fontId="0" fillId="0" borderId="20" xfId="0" applyNumberFormat="1" applyBorder="1" applyAlignment="1">
      <alignment horizontal="center" vertical="center"/>
    </xf>
    <xf numFmtId="10" fontId="0" fillId="0" borderId="23" xfId="0" applyNumberFormat="1" applyBorder="1" applyAlignment="1">
      <alignment horizontal="center" vertical="center"/>
    </xf>
    <xf numFmtId="10" fontId="0" fillId="0" borderId="16" xfId="0" applyNumberFormat="1" applyBorder="1" applyAlignment="1">
      <alignment horizontal="center" vertical="center"/>
    </xf>
    <xf numFmtId="10" fontId="0" fillId="0" borderId="18" xfId="0" applyNumberFormat="1" applyBorder="1" applyAlignment="1">
      <alignment horizontal="center" vertical="center"/>
    </xf>
    <xf numFmtId="10" fontId="0" fillId="0" borderId="19" xfId="0" applyNumberFormat="1" applyBorder="1" applyAlignment="1">
      <alignment horizontal="center" vertical="center"/>
    </xf>
    <xf numFmtId="10" fontId="0" fillId="0" borderId="21" xfId="0" applyNumberFormat="1" applyBorder="1" applyAlignment="1">
      <alignment horizontal="center" vertical="center"/>
    </xf>
    <xf numFmtId="10" fontId="0" fillId="0" borderId="17" xfId="0" applyNumberFormat="1" applyBorder="1" applyAlignment="1">
      <alignment horizontal="center" vertical="center"/>
    </xf>
  </cellXfs>
  <cellStyles count="5">
    <cellStyle name="Bad" xfId="3" builtinId="27"/>
    <cellStyle name="Comma" xfId="1" builtinId="3"/>
    <cellStyle name="Good" xfId="2" builtinId="26"/>
    <cellStyle name="Normal" xfId="0" builtinId="0"/>
    <cellStyle name="Percent" xfId="4" builtinId="5"/>
  </cellStyles>
  <dxfs count="336">
    <dxf>
      <alignment horizontal="center"/>
    </dxf>
    <dxf>
      <alignment horizontal="center"/>
    </dxf>
    <dxf>
      <alignment vertical="center"/>
    </dxf>
    <dxf>
      <numFmt numFmtId="14" formatCode="0.00%"/>
    </dxf>
    <dxf>
      <numFmt numFmtId="181" formatCode="0.0%"/>
    </dxf>
    <dxf>
      <numFmt numFmtId="181" formatCode="0.0%"/>
    </dxf>
    <dxf>
      <numFmt numFmtId="181" formatCode="0.0%"/>
    </dxf>
    <dxf>
      <numFmt numFmtId="181" formatCode="0.0%"/>
    </dxf>
    <dxf>
      <numFmt numFmtId="181" formatCode="0.0%"/>
    </dxf>
    <dxf>
      <numFmt numFmtId="181" formatCode="0.0%"/>
    </dxf>
    <dxf>
      <numFmt numFmtId="181" formatCode="0.0%"/>
    </dxf>
    <dxf>
      <numFmt numFmtId="14" formatCode="0.00%"/>
    </dxf>
    <dxf>
      <numFmt numFmtId="14" formatCode="0.00%"/>
    </dxf>
    <dxf>
      <border>
        <left style="medium">
          <color theme="8"/>
        </left>
        <right style="medium">
          <color theme="8"/>
        </right>
        <top style="medium">
          <color theme="8"/>
        </top>
        <bottom style="medium">
          <color theme="8"/>
        </bottom>
      </border>
    </dxf>
    <dxf>
      <border>
        <left style="medium">
          <color theme="8"/>
        </left>
        <right style="medium">
          <color theme="8"/>
        </right>
        <top style="medium">
          <color theme="8"/>
        </top>
        <bottom style="medium">
          <color theme="8"/>
        </bottom>
      </border>
    </dxf>
    <dxf>
      <border>
        <left style="medium">
          <color theme="8"/>
        </left>
        <right style="medium">
          <color theme="8"/>
        </right>
        <top style="medium">
          <color theme="8"/>
        </top>
        <bottom style="medium">
          <color theme="8"/>
        </bottom>
      </border>
    </dxf>
    <dxf>
      <border>
        <left style="medium">
          <color theme="8"/>
        </left>
        <right style="medium">
          <color theme="8"/>
        </right>
        <top style="medium">
          <color theme="8"/>
        </top>
        <bottom style="medium">
          <color theme="8"/>
        </bottom>
      </border>
    </dxf>
    <dxf>
      <border>
        <left style="medium">
          <color theme="8"/>
        </left>
        <right style="medium">
          <color theme="8"/>
        </right>
        <top style="medium">
          <color theme="8"/>
        </top>
        <bottom style="medium">
          <color theme="8"/>
        </bottom>
      </border>
    </dxf>
    <dxf>
      <border>
        <left style="medium">
          <color theme="8"/>
        </left>
        <right style="medium">
          <color theme="8"/>
        </right>
        <top style="medium">
          <color theme="8"/>
        </top>
        <bottom style="medium">
          <color theme="8"/>
        </bottom>
      </border>
    </dxf>
    <dxf>
      <border>
        <left style="medium">
          <color theme="8"/>
        </left>
        <right style="medium">
          <color theme="8"/>
        </right>
        <top style="medium">
          <color theme="8"/>
        </top>
        <bottom style="medium">
          <color theme="8"/>
        </bottom>
      </border>
    </dxf>
    <dxf>
      <border>
        <left style="medium">
          <color theme="8"/>
        </left>
        <right style="medium">
          <color theme="8"/>
        </right>
        <top style="medium">
          <color theme="8"/>
        </top>
        <bottom style="medium">
          <color theme="8"/>
        </bottom>
      </border>
    </dxf>
    <dxf>
      <border>
        <left style="medium">
          <color theme="8"/>
        </left>
        <right style="medium">
          <color theme="8"/>
        </right>
        <top style="medium">
          <color theme="8"/>
        </top>
        <bottom style="medium">
          <color theme="8"/>
        </bottom>
      </border>
    </dxf>
    <dxf>
      <border>
        <left style="medium">
          <color theme="8"/>
        </left>
        <right style="medium">
          <color theme="8"/>
        </right>
        <top style="medium">
          <color theme="8"/>
        </top>
        <bottom style="medium">
          <color theme="8"/>
        </bottom>
      </border>
    </dxf>
    <dxf>
      <alignment horizontal="center"/>
    </dxf>
    <dxf>
      <alignment horizontal="center"/>
    </dxf>
    <dxf>
      <alignment vertical="center"/>
    </dxf>
    <dxf>
      <numFmt numFmtId="14" formatCode="0.00%"/>
    </dxf>
    <dxf>
      <numFmt numFmtId="181" formatCode="0.0%"/>
    </dxf>
    <dxf>
      <numFmt numFmtId="181" formatCode="0.0%"/>
    </dxf>
    <dxf>
      <numFmt numFmtId="181" formatCode="0.0%"/>
    </dxf>
    <dxf>
      <numFmt numFmtId="181" formatCode="0.0%"/>
    </dxf>
    <dxf>
      <numFmt numFmtId="181" formatCode="0.0%"/>
    </dxf>
    <dxf>
      <numFmt numFmtId="181" formatCode="0.0%"/>
    </dxf>
    <dxf>
      <numFmt numFmtId="181" formatCode="0.0%"/>
    </dxf>
    <dxf>
      <border>
        <left style="medium">
          <color theme="8"/>
        </left>
        <right style="medium">
          <color theme="8"/>
        </right>
        <top style="medium">
          <color theme="8"/>
        </top>
        <bottom style="medium">
          <color theme="8"/>
        </bottom>
      </border>
    </dxf>
    <dxf>
      <border>
        <left style="medium">
          <color theme="8"/>
        </left>
        <right style="medium">
          <color theme="8"/>
        </right>
        <top style="medium">
          <color theme="8"/>
        </top>
        <bottom style="medium">
          <color theme="8"/>
        </bottom>
      </border>
    </dxf>
    <dxf>
      <border>
        <left style="medium">
          <color theme="8"/>
        </left>
        <right style="medium">
          <color theme="8"/>
        </right>
        <top style="medium">
          <color theme="8"/>
        </top>
        <bottom style="medium">
          <color theme="8"/>
        </bottom>
      </border>
    </dxf>
    <dxf>
      <border>
        <left style="medium">
          <color theme="8"/>
        </left>
        <right style="medium">
          <color theme="8"/>
        </right>
        <top style="medium">
          <color theme="8"/>
        </top>
        <bottom style="medium">
          <color theme="8"/>
        </bottom>
      </border>
    </dxf>
    <dxf>
      <border>
        <left style="medium">
          <color theme="8"/>
        </left>
        <right style="medium">
          <color theme="8"/>
        </right>
        <top style="medium">
          <color theme="8"/>
        </top>
        <bottom style="medium">
          <color theme="8"/>
        </bottom>
      </border>
    </dxf>
    <dxf>
      <border>
        <left style="medium">
          <color theme="8"/>
        </left>
        <right style="medium">
          <color theme="8"/>
        </right>
        <top style="medium">
          <color theme="8"/>
        </top>
        <bottom style="medium">
          <color theme="8"/>
        </bottom>
      </border>
    </dxf>
    <dxf>
      <border>
        <left style="medium">
          <color theme="8"/>
        </left>
        <right style="medium">
          <color theme="8"/>
        </right>
        <top style="medium">
          <color theme="8"/>
        </top>
        <bottom style="medium">
          <color theme="8"/>
        </bottom>
      </border>
    </dxf>
    <dxf>
      <border>
        <left style="medium">
          <color theme="8"/>
        </left>
        <right style="medium">
          <color theme="8"/>
        </right>
        <top style="medium">
          <color theme="8"/>
        </top>
        <bottom style="medium">
          <color theme="8"/>
        </bottom>
      </border>
    </dxf>
    <dxf>
      <border>
        <left style="medium">
          <color theme="8"/>
        </left>
        <right style="medium">
          <color theme="8"/>
        </right>
        <top style="medium">
          <color theme="8"/>
        </top>
        <bottom style="medium">
          <color theme="8"/>
        </bottom>
      </border>
    </dxf>
    <dxf>
      <border>
        <left style="medium">
          <color theme="8"/>
        </left>
        <right style="medium">
          <color theme="8"/>
        </right>
        <top style="medium">
          <color theme="8"/>
        </top>
        <bottom style="medium">
          <color theme="8"/>
        </bottom>
      </border>
    </dxf>
    <dxf>
      <alignment horizontal="center"/>
    </dxf>
    <dxf>
      <alignment horizontal="center"/>
    </dxf>
    <dxf>
      <alignment horizontal="center"/>
    </dxf>
    <dxf>
      <alignment vertical="center"/>
    </dxf>
    <dxf>
      <alignment vertical="center"/>
    </dxf>
    <dxf>
      <alignment vertical="center"/>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alignment horizontal="center"/>
    </dxf>
    <dxf>
      <alignment horizontal="center"/>
    </dxf>
    <dxf>
      <alignment vertical="center"/>
    </dxf>
    <dxf>
      <numFmt numFmtId="14" formatCode="0.00%"/>
    </dxf>
    <dxf>
      <numFmt numFmtId="181" formatCode="0.0%"/>
    </dxf>
    <dxf>
      <numFmt numFmtId="181" formatCode="0.0%"/>
    </dxf>
    <dxf>
      <numFmt numFmtId="181" formatCode="0.0%"/>
    </dxf>
    <dxf>
      <numFmt numFmtId="181" formatCode="0.0%"/>
    </dxf>
    <dxf>
      <numFmt numFmtId="181" formatCode="0.0%"/>
    </dxf>
    <dxf>
      <numFmt numFmtId="181" formatCode="0.0%"/>
    </dxf>
    <dxf>
      <numFmt numFmtId="181" formatCode="0.0%"/>
    </dxf>
    <dxf>
      <numFmt numFmtId="14" formatCode="0.00%"/>
    </dxf>
    <dxf>
      <numFmt numFmtId="14" formatCode="0.00%"/>
    </dxf>
    <dxf>
      <border>
        <left style="medium">
          <color theme="8"/>
        </left>
        <right style="medium">
          <color theme="8"/>
        </right>
        <top style="medium">
          <color theme="8"/>
        </top>
        <bottom style="medium">
          <color theme="8"/>
        </bottom>
      </border>
    </dxf>
    <dxf>
      <border>
        <left style="medium">
          <color theme="8"/>
        </left>
        <right style="medium">
          <color theme="8"/>
        </right>
        <top style="medium">
          <color theme="8"/>
        </top>
        <bottom style="medium">
          <color theme="8"/>
        </bottom>
      </border>
    </dxf>
    <dxf>
      <border>
        <left style="medium">
          <color theme="8"/>
        </left>
        <right style="medium">
          <color theme="8"/>
        </right>
        <top style="medium">
          <color theme="8"/>
        </top>
        <bottom style="medium">
          <color theme="8"/>
        </bottom>
      </border>
    </dxf>
    <dxf>
      <border>
        <left style="medium">
          <color theme="8"/>
        </left>
        <right style="medium">
          <color theme="8"/>
        </right>
        <top style="medium">
          <color theme="8"/>
        </top>
        <bottom style="medium">
          <color theme="8"/>
        </bottom>
      </border>
    </dxf>
    <dxf>
      <border>
        <left style="medium">
          <color theme="8"/>
        </left>
        <right style="medium">
          <color theme="8"/>
        </right>
        <top style="medium">
          <color theme="8"/>
        </top>
        <bottom style="medium">
          <color theme="8"/>
        </bottom>
      </border>
    </dxf>
    <dxf>
      <border>
        <left style="medium">
          <color theme="8"/>
        </left>
        <right style="medium">
          <color theme="8"/>
        </right>
        <top style="medium">
          <color theme="8"/>
        </top>
        <bottom style="medium">
          <color theme="8"/>
        </bottom>
      </border>
    </dxf>
    <dxf>
      <border>
        <left style="medium">
          <color theme="8"/>
        </left>
        <right style="medium">
          <color theme="8"/>
        </right>
        <top style="medium">
          <color theme="8"/>
        </top>
        <bottom style="medium">
          <color theme="8"/>
        </bottom>
      </border>
    </dxf>
    <dxf>
      <border>
        <left style="medium">
          <color theme="8"/>
        </left>
        <right style="medium">
          <color theme="8"/>
        </right>
        <top style="medium">
          <color theme="8"/>
        </top>
        <bottom style="medium">
          <color theme="8"/>
        </bottom>
      </border>
    </dxf>
    <dxf>
      <border>
        <left style="medium">
          <color theme="8"/>
        </left>
        <right style="medium">
          <color theme="8"/>
        </right>
        <top style="medium">
          <color theme="8"/>
        </top>
        <bottom style="medium">
          <color theme="8"/>
        </bottom>
      </border>
    </dxf>
    <dxf>
      <border>
        <left style="medium">
          <color theme="8"/>
        </left>
        <right style="medium">
          <color theme="8"/>
        </right>
        <top style="medium">
          <color theme="8"/>
        </top>
        <bottom style="medium">
          <color theme="8"/>
        </bottom>
      </border>
    </dxf>
    <dxf>
      <alignment horizontal="center"/>
    </dxf>
    <dxf>
      <alignment horizontal="center"/>
    </dxf>
    <dxf>
      <alignment vertical="center"/>
    </dxf>
    <dxf>
      <numFmt numFmtId="14" formatCode="0.00%"/>
    </dxf>
    <dxf>
      <numFmt numFmtId="181" formatCode="0.0%"/>
    </dxf>
    <dxf>
      <numFmt numFmtId="181" formatCode="0.0%"/>
    </dxf>
    <dxf>
      <numFmt numFmtId="181" formatCode="0.0%"/>
    </dxf>
    <dxf>
      <numFmt numFmtId="181" formatCode="0.0%"/>
    </dxf>
    <dxf>
      <numFmt numFmtId="181" formatCode="0.0%"/>
    </dxf>
    <dxf>
      <numFmt numFmtId="181" formatCode="0.0%"/>
    </dxf>
    <dxf>
      <numFmt numFmtId="181" formatCode="0.0%"/>
    </dxf>
    <dxf>
      <border>
        <left style="medium">
          <color theme="8"/>
        </left>
        <right style="medium">
          <color theme="8"/>
        </right>
        <top style="medium">
          <color theme="8"/>
        </top>
        <bottom style="medium">
          <color theme="8"/>
        </bottom>
      </border>
    </dxf>
    <dxf>
      <border>
        <left style="medium">
          <color theme="8"/>
        </left>
        <right style="medium">
          <color theme="8"/>
        </right>
        <top style="medium">
          <color theme="8"/>
        </top>
        <bottom style="medium">
          <color theme="8"/>
        </bottom>
      </border>
    </dxf>
    <dxf>
      <border>
        <left style="medium">
          <color theme="8"/>
        </left>
        <right style="medium">
          <color theme="8"/>
        </right>
        <top style="medium">
          <color theme="8"/>
        </top>
        <bottom style="medium">
          <color theme="8"/>
        </bottom>
      </border>
    </dxf>
    <dxf>
      <border>
        <left style="medium">
          <color theme="8"/>
        </left>
        <right style="medium">
          <color theme="8"/>
        </right>
        <top style="medium">
          <color theme="8"/>
        </top>
        <bottom style="medium">
          <color theme="8"/>
        </bottom>
      </border>
    </dxf>
    <dxf>
      <border>
        <left style="medium">
          <color theme="8"/>
        </left>
        <right style="medium">
          <color theme="8"/>
        </right>
        <top style="medium">
          <color theme="8"/>
        </top>
        <bottom style="medium">
          <color theme="8"/>
        </bottom>
      </border>
    </dxf>
    <dxf>
      <border>
        <left style="medium">
          <color theme="8"/>
        </left>
        <right style="medium">
          <color theme="8"/>
        </right>
        <top style="medium">
          <color theme="8"/>
        </top>
        <bottom style="medium">
          <color theme="8"/>
        </bottom>
      </border>
    </dxf>
    <dxf>
      <border>
        <left style="medium">
          <color theme="8"/>
        </left>
        <right style="medium">
          <color theme="8"/>
        </right>
        <top style="medium">
          <color theme="8"/>
        </top>
        <bottom style="medium">
          <color theme="8"/>
        </bottom>
      </border>
    </dxf>
    <dxf>
      <border>
        <left style="medium">
          <color theme="8"/>
        </left>
        <right style="medium">
          <color theme="8"/>
        </right>
        <top style="medium">
          <color theme="8"/>
        </top>
        <bottom style="medium">
          <color theme="8"/>
        </bottom>
      </border>
    </dxf>
    <dxf>
      <border>
        <left style="medium">
          <color theme="8"/>
        </left>
        <right style="medium">
          <color theme="8"/>
        </right>
        <top style="medium">
          <color theme="8"/>
        </top>
        <bottom style="medium">
          <color theme="8"/>
        </bottom>
      </border>
    </dxf>
    <dxf>
      <border>
        <left style="medium">
          <color theme="8"/>
        </left>
        <right style="medium">
          <color theme="8"/>
        </right>
        <top style="medium">
          <color theme="8"/>
        </top>
        <bottom style="medium">
          <color theme="8"/>
        </bottom>
      </border>
    </dxf>
    <dxf>
      <alignment horizontal="center"/>
    </dxf>
    <dxf>
      <alignment horizontal="center"/>
    </dxf>
    <dxf>
      <alignment horizontal="center"/>
    </dxf>
    <dxf>
      <alignment vertical="center"/>
    </dxf>
    <dxf>
      <alignment vertical="center"/>
    </dxf>
    <dxf>
      <alignment vertical="center"/>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alignment horizontal="center"/>
    </dxf>
    <dxf>
      <alignment horizontal="center"/>
    </dxf>
    <dxf>
      <alignment vertical="center"/>
    </dxf>
    <dxf>
      <numFmt numFmtId="14" formatCode="0.00%"/>
    </dxf>
    <dxf>
      <numFmt numFmtId="181" formatCode="0.0%"/>
    </dxf>
    <dxf>
      <numFmt numFmtId="181" formatCode="0.0%"/>
    </dxf>
    <dxf>
      <numFmt numFmtId="181" formatCode="0.0%"/>
    </dxf>
    <dxf>
      <numFmt numFmtId="181" formatCode="0.0%"/>
    </dxf>
    <dxf>
      <numFmt numFmtId="181" formatCode="0.0%"/>
    </dxf>
    <dxf>
      <numFmt numFmtId="181" formatCode="0.0%"/>
    </dxf>
    <dxf>
      <numFmt numFmtId="181" formatCode="0.0%"/>
    </dxf>
    <dxf>
      <numFmt numFmtId="14" formatCode="0.00%"/>
    </dxf>
    <dxf>
      <numFmt numFmtId="14" formatCode="0.00%"/>
    </dxf>
    <dxf>
      <border>
        <left style="medium">
          <color theme="8"/>
        </left>
        <right style="medium">
          <color theme="8"/>
        </right>
        <top style="medium">
          <color theme="8"/>
        </top>
        <bottom style="medium">
          <color theme="8"/>
        </bottom>
      </border>
    </dxf>
    <dxf>
      <border>
        <left style="medium">
          <color theme="8"/>
        </left>
        <right style="medium">
          <color theme="8"/>
        </right>
        <top style="medium">
          <color theme="8"/>
        </top>
        <bottom style="medium">
          <color theme="8"/>
        </bottom>
      </border>
    </dxf>
    <dxf>
      <border>
        <left style="medium">
          <color theme="8"/>
        </left>
        <right style="medium">
          <color theme="8"/>
        </right>
        <top style="medium">
          <color theme="8"/>
        </top>
        <bottom style="medium">
          <color theme="8"/>
        </bottom>
      </border>
    </dxf>
    <dxf>
      <border>
        <left style="medium">
          <color theme="8"/>
        </left>
        <right style="medium">
          <color theme="8"/>
        </right>
        <top style="medium">
          <color theme="8"/>
        </top>
        <bottom style="medium">
          <color theme="8"/>
        </bottom>
      </border>
    </dxf>
    <dxf>
      <border>
        <left style="medium">
          <color theme="8"/>
        </left>
        <right style="medium">
          <color theme="8"/>
        </right>
        <top style="medium">
          <color theme="8"/>
        </top>
        <bottom style="medium">
          <color theme="8"/>
        </bottom>
      </border>
    </dxf>
    <dxf>
      <border>
        <left style="medium">
          <color theme="8"/>
        </left>
        <right style="medium">
          <color theme="8"/>
        </right>
        <top style="medium">
          <color theme="8"/>
        </top>
        <bottom style="medium">
          <color theme="8"/>
        </bottom>
      </border>
    </dxf>
    <dxf>
      <border>
        <left style="medium">
          <color theme="8"/>
        </left>
        <right style="medium">
          <color theme="8"/>
        </right>
        <top style="medium">
          <color theme="8"/>
        </top>
        <bottom style="medium">
          <color theme="8"/>
        </bottom>
      </border>
    </dxf>
    <dxf>
      <border>
        <left style="medium">
          <color theme="8"/>
        </left>
        <right style="medium">
          <color theme="8"/>
        </right>
        <top style="medium">
          <color theme="8"/>
        </top>
        <bottom style="medium">
          <color theme="8"/>
        </bottom>
      </border>
    </dxf>
    <dxf>
      <border>
        <left style="medium">
          <color theme="8"/>
        </left>
        <right style="medium">
          <color theme="8"/>
        </right>
        <top style="medium">
          <color theme="8"/>
        </top>
        <bottom style="medium">
          <color theme="8"/>
        </bottom>
      </border>
    </dxf>
    <dxf>
      <border>
        <left style="medium">
          <color theme="8"/>
        </left>
        <right style="medium">
          <color theme="8"/>
        </right>
        <top style="medium">
          <color theme="8"/>
        </top>
        <bottom style="medium">
          <color theme="8"/>
        </bottom>
      </border>
    </dxf>
    <dxf>
      <alignment horizontal="center"/>
    </dxf>
    <dxf>
      <alignment horizontal="center"/>
    </dxf>
    <dxf>
      <alignment vertical="center"/>
    </dxf>
    <dxf>
      <numFmt numFmtId="14" formatCode="0.00%"/>
    </dxf>
    <dxf>
      <numFmt numFmtId="181" formatCode="0.0%"/>
    </dxf>
    <dxf>
      <numFmt numFmtId="181" formatCode="0.0%"/>
    </dxf>
    <dxf>
      <numFmt numFmtId="181" formatCode="0.0%"/>
    </dxf>
    <dxf>
      <numFmt numFmtId="181" formatCode="0.0%"/>
    </dxf>
    <dxf>
      <numFmt numFmtId="181" formatCode="0.0%"/>
    </dxf>
    <dxf>
      <numFmt numFmtId="181" formatCode="0.0%"/>
    </dxf>
    <dxf>
      <numFmt numFmtId="181" formatCode="0.0%"/>
    </dxf>
    <dxf>
      <border>
        <left style="medium">
          <color theme="8"/>
        </left>
        <right style="medium">
          <color theme="8"/>
        </right>
        <top style="medium">
          <color theme="8"/>
        </top>
        <bottom style="medium">
          <color theme="8"/>
        </bottom>
      </border>
    </dxf>
    <dxf>
      <border>
        <left style="medium">
          <color theme="8"/>
        </left>
        <right style="medium">
          <color theme="8"/>
        </right>
        <top style="medium">
          <color theme="8"/>
        </top>
        <bottom style="medium">
          <color theme="8"/>
        </bottom>
      </border>
    </dxf>
    <dxf>
      <border>
        <left style="medium">
          <color theme="8"/>
        </left>
        <right style="medium">
          <color theme="8"/>
        </right>
        <top style="medium">
          <color theme="8"/>
        </top>
        <bottom style="medium">
          <color theme="8"/>
        </bottom>
      </border>
    </dxf>
    <dxf>
      <border>
        <left style="medium">
          <color theme="8"/>
        </left>
        <right style="medium">
          <color theme="8"/>
        </right>
        <top style="medium">
          <color theme="8"/>
        </top>
        <bottom style="medium">
          <color theme="8"/>
        </bottom>
      </border>
    </dxf>
    <dxf>
      <border>
        <left style="medium">
          <color theme="8"/>
        </left>
        <right style="medium">
          <color theme="8"/>
        </right>
        <top style="medium">
          <color theme="8"/>
        </top>
        <bottom style="medium">
          <color theme="8"/>
        </bottom>
      </border>
    </dxf>
    <dxf>
      <border>
        <left style="medium">
          <color theme="8"/>
        </left>
        <right style="medium">
          <color theme="8"/>
        </right>
        <top style="medium">
          <color theme="8"/>
        </top>
        <bottom style="medium">
          <color theme="8"/>
        </bottom>
      </border>
    </dxf>
    <dxf>
      <border>
        <left style="medium">
          <color theme="8"/>
        </left>
        <right style="medium">
          <color theme="8"/>
        </right>
        <top style="medium">
          <color theme="8"/>
        </top>
        <bottom style="medium">
          <color theme="8"/>
        </bottom>
      </border>
    </dxf>
    <dxf>
      <border>
        <left style="medium">
          <color theme="8"/>
        </left>
        <right style="medium">
          <color theme="8"/>
        </right>
        <top style="medium">
          <color theme="8"/>
        </top>
        <bottom style="medium">
          <color theme="8"/>
        </bottom>
      </border>
    </dxf>
    <dxf>
      <border>
        <left style="medium">
          <color theme="8"/>
        </left>
        <right style="medium">
          <color theme="8"/>
        </right>
        <top style="medium">
          <color theme="8"/>
        </top>
        <bottom style="medium">
          <color theme="8"/>
        </bottom>
      </border>
    </dxf>
    <dxf>
      <border>
        <left style="medium">
          <color theme="8"/>
        </left>
        <right style="medium">
          <color theme="8"/>
        </right>
        <top style="medium">
          <color theme="8"/>
        </top>
        <bottom style="medium">
          <color theme="8"/>
        </bottom>
      </border>
    </dxf>
    <dxf>
      <alignment horizontal="center"/>
    </dxf>
    <dxf>
      <alignment horizontal="center"/>
    </dxf>
    <dxf>
      <alignment horizontal="center"/>
    </dxf>
    <dxf>
      <alignment vertical="center"/>
    </dxf>
    <dxf>
      <alignment vertical="center"/>
    </dxf>
    <dxf>
      <alignment vertical="center"/>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border>
        <left style="medium">
          <color theme="8"/>
        </left>
        <right style="medium">
          <color theme="8"/>
        </right>
        <top style="medium">
          <color theme="8"/>
        </top>
        <bottom style="medium">
          <color theme="8"/>
        </bottom>
      </border>
    </dxf>
    <dxf>
      <border>
        <left style="medium">
          <color theme="8"/>
        </left>
        <right style="medium">
          <color theme="8"/>
        </right>
        <top style="medium">
          <color theme="8"/>
        </top>
        <bottom style="medium">
          <color theme="8"/>
        </bottom>
      </border>
    </dxf>
    <dxf>
      <border>
        <left style="medium">
          <color theme="8"/>
        </left>
        <right style="medium">
          <color theme="8"/>
        </right>
        <top style="medium">
          <color theme="8"/>
        </top>
        <bottom style="medium">
          <color theme="8"/>
        </bottom>
      </border>
    </dxf>
    <dxf>
      <border>
        <left style="medium">
          <color theme="8"/>
        </left>
        <right style="medium">
          <color theme="8"/>
        </right>
        <top style="medium">
          <color theme="8"/>
        </top>
        <bottom style="medium">
          <color theme="8"/>
        </bottom>
      </border>
    </dxf>
    <dxf>
      <border>
        <left style="medium">
          <color theme="8"/>
        </left>
        <right style="medium">
          <color theme="8"/>
        </right>
        <top style="medium">
          <color theme="8"/>
        </top>
        <bottom style="medium">
          <color theme="8"/>
        </bottom>
      </border>
    </dxf>
    <dxf>
      <border>
        <left style="medium">
          <color theme="8"/>
        </left>
        <right style="medium">
          <color theme="8"/>
        </right>
        <top style="medium">
          <color theme="8"/>
        </top>
        <bottom style="medium">
          <color theme="8"/>
        </bottom>
      </border>
    </dxf>
    <dxf>
      <border>
        <left style="medium">
          <color theme="8"/>
        </left>
        <right style="medium">
          <color theme="8"/>
        </right>
        <top style="medium">
          <color theme="8"/>
        </top>
        <bottom style="medium">
          <color theme="8"/>
        </bottom>
      </border>
    </dxf>
    <dxf>
      <border>
        <left style="medium">
          <color theme="8"/>
        </left>
        <right style="medium">
          <color theme="8"/>
        </right>
        <top style="medium">
          <color theme="8"/>
        </top>
        <bottom style="medium">
          <color theme="8"/>
        </bottom>
      </border>
    </dxf>
    <dxf>
      <border>
        <left style="medium">
          <color theme="8"/>
        </left>
        <right style="medium">
          <color theme="8"/>
        </right>
        <top style="medium">
          <color theme="8"/>
        </top>
        <bottom style="medium">
          <color theme="8"/>
        </bottom>
      </border>
    </dxf>
    <dxf>
      <border>
        <left style="medium">
          <color theme="8"/>
        </left>
        <right style="medium">
          <color theme="8"/>
        </right>
        <top style="medium">
          <color theme="8"/>
        </top>
        <bottom style="medium">
          <color theme="8"/>
        </bottom>
      </border>
    </dxf>
    <dxf>
      <numFmt numFmtId="13" formatCode="0%"/>
      <alignment horizontal="center" vertical="center" textRotation="0" wrapText="0" indent="0" justifyLastLine="0" shrinkToFit="0" readingOrder="0"/>
      <border diagonalUp="0" diagonalDown="0">
        <left style="thin">
          <color theme="8"/>
        </left>
        <right/>
        <top style="thin">
          <color theme="8"/>
        </top>
        <bottom style="thin">
          <color theme="8"/>
        </bottom>
        <vertical/>
        <horizontal/>
      </border>
    </dxf>
    <dxf>
      <numFmt numFmtId="13" formatCode="0%"/>
      <alignment horizontal="center" vertical="center" textRotation="0" wrapText="0" indent="0" justifyLastLine="0" shrinkToFit="0" readingOrder="0"/>
      <border diagonalUp="0" diagonalDown="0">
        <left style="thin">
          <color theme="8"/>
        </left>
        <right style="thin">
          <color theme="8"/>
        </right>
        <top style="thin">
          <color theme="8"/>
        </top>
        <bottom style="thin">
          <color theme="8"/>
        </bottom>
        <vertical/>
        <horizontal/>
      </border>
    </dxf>
    <dxf>
      <numFmt numFmtId="13" formatCode="0%"/>
      <alignment horizontal="center" vertical="center" textRotation="0" wrapText="0" indent="0" justifyLastLine="0" shrinkToFit="0" readingOrder="0"/>
      <border diagonalUp="0" diagonalDown="0">
        <left style="thin">
          <color theme="8"/>
        </left>
        <right style="thin">
          <color theme="8"/>
        </right>
        <top style="thin">
          <color theme="8"/>
        </top>
        <bottom style="thin">
          <color theme="8"/>
        </bottom>
        <vertical/>
        <horizontal/>
      </border>
    </dxf>
    <dxf>
      <numFmt numFmtId="13" formatCode="0%"/>
      <alignment horizontal="center" vertical="center" textRotation="0" wrapText="0" indent="0" justifyLastLine="0" shrinkToFit="0" readingOrder="0"/>
      <border diagonalUp="0" diagonalDown="0">
        <left style="thin">
          <color theme="8"/>
        </left>
        <right style="thin">
          <color theme="8"/>
        </right>
        <top style="thin">
          <color theme="8"/>
        </top>
        <bottom style="thin">
          <color theme="8"/>
        </bottom>
        <vertical/>
        <horizontal/>
      </border>
    </dxf>
    <dxf>
      <fill>
        <patternFill patternType="solid">
          <fgColor indexed="64"/>
          <bgColor rgb="FF00B0F0"/>
        </patternFill>
      </fill>
      <alignment horizontal="center" vertical="center" textRotation="0" wrapText="0" indent="0" justifyLastLine="0" shrinkToFit="0" readingOrder="0"/>
      <border diagonalUp="0" diagonalDown="0">
        <left style="thin">
          <color theme="8"/>
        </left>
        <right/>
        <top style="thin">
          <color theme="8"/>
        </top>
        <bottom style="thin">
          <color theme="8"/>
        </bottom>
        <vertical/>
        <horizontal/>
      </border>
    </dxf>
    <dxf>
      <border>
        <left style="medium">
          <color theme="8"/>
        </left>
        <right style="medium">
          <color theme="8"/>
        </right>
        <top style="medium">
          <color theme="8"/>
        </top>
        <bottom style="medium">
          <color theme="8"/>
        </bottom>
      </border>
    </dxf>
    <dxf>
      <border>
        <left style="medium">
          <color theme="8"/>
        </left>
        <right style="medium">
          <color theme="8"/>
        </right>
        <top style="medium">
          <color theme="8"/>
        </top>
        <bottom style="medium">
          <color theme="8"/>
        </bottom>
      </border>
    </dxf>
    <dxf>
      <border>
        <left style="medium">
          <color theme="8"/>
        </left>
        <right style="medium">
          <color theme="8"/>
        </right>
        <top style="medium">
          <color theme="8"/>
        </top>
        <bottom style="medium">
          <color theme="8"/>
        </bottom>
      </border>
    </dxf>
    <dxf>
      <border>
        <left style="medium">
          <color theme="8"/>
        </left>
        <right style="medium">
          <color theme="8"/>
        </right>
        <top style="medium">
          <color theme="8"/>
        </top>
        <bottom style="medium">
          <color theme="8"/>
        </bottom>
      </border>
    </dxf>
    <dxf>
      <border>
        <left style="medium">
          <color theme="8"/>
        </left>
        <right style="medium">
          <color theme="8"/>
        </right>
        <top style="medium">
          <color theme="8"/>
        </top>
        <bottom style="medium">
          <color theme="8"/>
        </bottom>
      </border>
    </dxf>
    <dxf>
      <border>
        <left style="medium">
          <color theme="8"/>
        </left>
        <right style="medium">
          <color theme="8"/>
        </right>
        <top style="medium">
          <color theme="8"/>
        </top>
        <bottom style="medium">
          <color theme="8"/>
        </bottom>
      </border>
    </dxf>
    <dxf>
      <border>
        <left style="medium">
          <color theme="8"/>
        </left>
        <right style="medium">
          <color theme="8"/>
        </right>
        <top style="medium">
          <color theme="8"/>
        </top>
        <bottom style="medium">
          <color theme="8"/>
        </bottom>
      </border>
    </dxf>
    <dxf>
      <border>
        <left style="medium">
          <color theme="8"/>
        </left>
        <right style="medium">
          <color theme="8"/>
        </right>
        <top style="medium">
          <color theme="8"/>
        </top>
        <bottom style="medium">
          <color theme="8"/>
        </bottom>
      </border>
    </dxf>
    <dxf>
      <border>
        <left style="medium">
          <color theme="8"/>
        </left>
        <right style="medium">
          <color theme="8"/>
        </right>
        <top style="medium">
          <color theme="8"/>
        </top>
        <bottom style="medium">
          <color theme="8"/>
        </bottom>
      </border>
    </dxf>
    <dxf>
      <border>
        <left style="medium">
          <color theme="8"/>
        </left>
        <right style="medium">
          <color theme="8"/>
        </right>
        <top style="medium">
          <color theme="8"/>
        </top>
        <bottom style="medium">
          <color theme="8"/>
        </bottom>
      </border>
    </dxf>
    <dxf>
      <border>
        <left style="medium">
          <color theme="8"/>
        </left>
        <right style="medium">
          <color theme="8"/>
        </right>
        <top style="medium">
          <color theme="8"/>
        </top>
        <bottom style="medium">
          <color theme="8"/>
        </bottom>
      </border>
    </dxf>
    <dxf>
      <border>
        <left style="medium">
          <color theme="8"/>
        </left>
        <right style="medium">
          <color theme="8"/>
        </right>
        <top style="medium">
          <color theme="8"/>
        </top>
        <bottom style="medium">
          <color theme="8"/>
        </bottom>
      </border>
    </dxf>
    <dxf>
      <border>
        <left style="medium">
          <color theme="8"/>
        </left>
        <right style="medium">
          <color theme="8"/>
        </right>
        <top style="medium">
          <color theme="8"/>
        </top>
        <bottom style="medium">
          <color theme="8"/>
        </bottom>
      </border>
    </dxf>
    <dxf>
      <border>
        <left style="medium">
          <color theme="8"/>
        </left>
        <right style="medium">
          <color theme="8"/>
        </right>
        <top style="medium">
          <color theme="8"/>
        </top>
        <bottom style="medium">
          <color theme="8"/>
        </bottom>
      </border>
    </dxf>
    <dxf>
      <border>
        <left style="medium">
          <color theme="8"/>
        </left>
        <right style="medium">
          <color theme="8"/>
        </right>
        <top style="medium">
          <color theme="8"/>
        </top>
        <bottom style="medium">
          <color theme="8"/>
        </bottom>
      </border>
    </dxf>
    <dxf>
      <border>
        <left style="medium">
          <color theme="8"/>
        </left>
        <right style="medium">
          <color theme="8"/>
        </right>
        <top style="medium">
          <color theme="8"/>
        </top>
        <bottom style="medium">
          <color theme="8"/>
        </bottom>
      </border>
    </dxf>
    <dxf>
      <border>
        <left style="medium">
          <color theme="8"/>
        </left>
        <right style="medium">
          <color theme="8"/>
        </right>
        <top style="medium">
          <color theme="8"/>
        </top>
        <bottom style="medium">
          <color theme="8"/>
        </bottom>
      </border>
    </dxf>
    <dxf>
      <border>
        <left style="medium">
          <color theme="8"/>
        </left>
        <right style="medium">
          <color theme="8"/>
        </right>
        <top style="medium">
          <color theme="8"/>
        </top>
        <bottom style="medium">
          <color theme="8"/>
        </bottom>
      </border>
    </dxf>
    <dxf>
      <border>
        <left style="medium">
          <color theme="8"/>
        </left>
        <right style="medium">
          <color theme="8"/>
        </right>
        <top style="medium">
          <color theme="8"/>
        </top>
        <bottom style="medium">
          <color theme="8"/>
        </bottom>
      </border>
    </dxf>
    <dxf>
      <border>
        <left style="medium">
          <color theme="8"/>
        </left>
        <right style="medium">
          <color theme="8"/>
        </right>
        <top style="medium">
          <color theme="8"/>
        </top>
        <bottom style="medium">
          <color theme="8"/>
        </bottom>
      </border>
    </dxf>
    <dxf>
      <border>
        <left style="medium">
          <color theme="8"/>
        </left>
        <right style="medium">
          <color theme="8"/>
        </right>
        <top style="medium">
          <color theme="8"/>
        </top>
        <bottom style="medium">
          <color theme="8"/>
        </bottom>
      </border>
    </dxf>
    <dxf>
      <border>
        <left style="medium">
          <color theme="8"/>
        </left>
        <right style="medium">
          <color theme="8"/>
        </right>
        <top style="medium">
          <color theme="8"/>
        </top>
        <bottom style="medium">
          <color theme="8"/>
        </bottom>
      </border>
    </dxf>
    <dxf>
      <border>
        <left style="medium">
          <color theme="8"/>
        </left>
        <right style="medium">
          <color theme="8"/>
        </right>
        <top style="medium">
          <color theme="8"/>
        </top>
        <bottom style="medium">
          <color theme="8"/>
        </bottom>
      </border>
    </dxf>
    <dxf>
      <border>
        <left style="medium">
          <color theme="8"/>
        </left>
        <right style="medium">
          <color theme="8"/>
        </right>
        <top style="medium">
          <color theme="8"/>
        </top>
        <bottom style="medium">
          <color theme="8"/>
        </bottom>
      </border>
    </dxf>
    <dxf>
      <border>
        <left style="medium">
          <color theme="8"/>
        </left>
        <right style="medium">
          <color theme="8"/>
        </right>
        <top style="medium">
          <color theme="8"/>
        </top>
        <bottom style="medium">
          <color theme="8"/>
        </bottom>
      </border>
    </dxf>
    <dxf>
      <border>
        <left style="medium">
          <color theme="8"/>
        </left>
        <right style="medium">
          <color theme="8"/>
        </right>
        <top style="medium">
          <color theme="8"/>
        </top>
        <bottom style="medium">
          <color theme="8"/>
        </bottom>
      </border>
    </dxf>
    <dxf>
      <border>
        <left style="medium">
          <color theme="8"/>
        </left>
        <right style="medium">
          <color theme="8"/>
        </right>
        <top style="medium">
          <color theme="8"/>
        </top>
        <bottom style="medium">
          <color theme="8"/>
        </bottom>
      </border>
    </dxf>
    <dxf>
      <border>
        <left style="medium">
          <color theme="8"/>
        </left>
        <right style="medium">
          <color theme="8"/>
        </right>
        <top style="medium">
          <color theme="8"/>
        </top>
        <bottom style="medium">
          <color theme="8"/>
        </bottom>
      </border>
    </dxf>
    <dxf>
      <border>
        <left style="medium">
          <color theme="8"/>
        </left>
        <right style="medium">
          <color theme="8"/>
        </right>
        <top style="medium">
          <color theme="8"/>
        </top>
        <bottom style="medium">
          <color theme="8"/>
        </bottom>
      </border>
    </dxf>
    <dxf>
      <border>
        <left style="medium">
          <color theme="8"/>
        </left>
        <right style="medium">
          <color theme="8"/>
        </right>
        <top style="medium">
          <color theme="8"/>
        </top>
        <bottom style="medium">
          <color theme="8"/>
        </bottom>
      </border>
    </dxf>
    <dxf>
      <border>
        <left style="medium">
          <color theme="8"/>
        </left>
        <right style="medium">
          <color theme="8"/>
        </right>
        <top style="medium">
          <color theme="8"/>
        </top>
        <bottom style="medium">
          <color theme="8"/>
        </bottom>
      </border>
    </dxf>
    <dxf>
      <border>
        <left style="medium">
          <color theme="8"/>
        </left>
        <right style="medium">
          <color theme="8"/>
        </right>
        <top style="medium">
          <color theme="8"/>
        </top>
        <bottom style="medium">
          <color theme="8"/>
        </bottom>
      </border>
    </dxf>
    <dxf>
      <border>
        <left style="medium">
          <color theme="8"/>
        </left>
        <right style="medium">
          <color theme="8"/>
        </right>
        <top style="medium">
          <color theme="8"/>
        </top>
        <bottom style="medium">
          <color theme="8"/>
        </bottom>
      </border>
    </dxf>
    <dxf>
      <border>
        <left style="medium">
          <color theme="8"/>
        </left>
        <right style="medium">
          <color theme="8"/>
        </right>
        <top style="medium">
          <color theme="8"/>
        </top>
        <bottom style="medium">
          <color theme="8"/>
        </bottom>
      </border>
    </dxf>
    <dxf>
      <border>
        <left style="medium">
          <color theme="8"/>
        </left>
        <right style="medium">
          <color theme="8"/>
        </right>
        <top style="medium">
          <color theme="8"/>
        </top>
        <bottom style="medium">
          <color theme="8"/>
        </bottom>
      </border>
    </dxf>
    <dxf>
      <border>
        <left style="medium">
          <color theme="8"/>
        </left>
        <right style="medium">
          <color theme="8"/>
        </right>
        <top style="medium">
          <color theme="8"/>
        </top>
        <bottom style="medium">
          <color theme="8"/>
        </bottom>
      </border>
    </dxf>
    <dxf>
      <border>
        <left style="medium">
          <color theme="8"/>
        </left>
        <right style="medium">
          <color theme="8"/>
        </right>
        <top style="medium">
          <color theme="8"/>
        </top>
        <bottom style="medium">
          <color theme="8"/>
        </bottom>
      </border>
    </dxf>
    <dxf>
      <border>
        <left style="medium">
          <color theme="8"/>
        </left>
        <right style="medium">
          <color theme="8"/>
        </right>
        <top style="medium">
          <color theme="8"/>
        </top>
        <bottom style="medium">
          <color theme="8"/>
        </bottom>
      </border>
    </dxf>
    <dxf>
      <border>
        <left style="medium">
          <color theme="8"/>
        </left>
        <right style="medium">
          <color theme="8"/>
        </right>
        <top style="medium">
          <color theme="8"/>
        </top>
        <bottom style="medium">
          <color theme="8"/>
        </bottom>
      </border>
    </dxf>
    <dxf>
      <border>
        <left style="medium">
          <color theme="8"/>
        </left>
        <right style="medium">
          <color theme="8"/>
        </right>
        <top style="medium">
          <color theme="8"/>
        </top>
        <bottom style="medium">
          <color theme="8"/>
        </bottom>
      </border>
    </dxf>
    <dxf>
      <border>
        <left style="medium">
          <color theme="8"/>
        </left>
        <right style="medium">
          <color theme="8"/>
        </right>
        <top style="medium">
          <color theme="8"/>
        </top>
        <bottom style="medium">
          <color theme="8"/>
        </bottom>
      </border>
    </dxf>
    <dxf>
      <border>
        <left style="medium">
          <color theme="8"/>
        </left>
        <right style="medium">
          <color theme="8"/>
        </right>
        <top style="medium">
          <color theme="8"/>
        </top>
        <bottom style="medium">
          <color theme="8"/>
        </bottom>
      </border>
    </dxf>
    <dxf>
      <border>
        <left style="medium">
          <color theme="8"/>
        </left>
        <right style="medium">
          <color theme="8"/>
        </right>
        <top style="medium">
          <color theme="8"/>
        </top>
        <bottom style="medium">
          <color theme="8"/>
        </bottom>
      </border>
    </dxf>
    <dxf>
      <numFmt numFmtId="14" formatCode="0.00%"/>
    </dxf>
    <dxf>
      <numFmt numFmtId="14" formatCode="0.00%"/>
    </dxf>
    <dxf>
      <alignment horizontal="center"/>
    </dxf>
    <dxf>
      <alignment horizontal="center"/>
    </dxf>
    <dxf>
      <alignment vertical="center"/>
    </dxf>
    <dxf>
      <numFmt numFmtId="14" formatCode="0.00%"/>
    </dxf>
    <dxf>
      <numFmt numFmtId="181" formatCode="0.0%"/>
    </dxf>
    <dxf>
      <numFmt numFmtId="181" formatCode="0.0%"/>
    </dxf>
    <dxf>
      <numFmt numFmtId="181" formatCode="0.0%"/>
    </dxf>
    <dxf>
      <numFmt numFmtId="181" formatCode="0.0%"/>
    </dxf>
    <dxf>
      <numFmt numFmtId="181" formatCode="0.0%"/>
    </dxf>
    <dxf>
      <numFmt numFmtId="181" formatCode="0.0%"/>
    </dxf>
    <dxf>
      <numFmt numFmtId="181" formatCode="0.0%"/>
    </dxf>
    <dxf>
      <fill>
        <patternFill patternType="solid">
          <fgColor indexed="64"/>
          <bgColor rgb="FF00B0F0"/>
        </patternFill>
      </fill>
      <alignment horizontal="center" vertical="center" textRotation="0" wrapText="0" indent="0" justifyLastLine="0" shrinkToFit="0" readingOrder="0"/>
      <border diagonalUp="0" diagonalDown="0" outline="0">
        <left style="thin">
          <color theme="8"/>
        </left>
        <right style="thin">
          <color theme="8"/>
        </right>
        <top/>
        <bottom/>
      </border>
    </dxf>
    <dxf>
      <alignment horizontal="center" vertical="center" textRotation="0" wrapText="0" indent="0" justifyLastLine="0" shrinkToFit="0" readingOrder="0"/>
    </dxf>
    <dxf>
      <border outline="0">
        <right style="thin">
          <color theme="8"/>
        </right>
        <bottom style="thin">
          <color theme="8"/>
        </bottom>
      </border>
    </dxf>
    <dxf>
      <alignment horizontal="center"/>
    </dxf>
    <dxf>
      <alignment horizontal="center"/>
    </dxf>
    <dxf>
      <alignment vertical="center"/>
    </dxf>
    <dxf>
      <numFmt numFmtId="14" formatCode="0.00%"/>
    </dxf>
    <dxf>
      <numFmt numFmtId="181" formatCode="0.0%"/>
    </dxf>
    <dxf>
      <numFmt numFmtId="181" formatCode="0.0%"/>
    </dxf>
    <dxf>
      <numFmt numFmtId="181" formatCode="0.0%"/>
    </dxf>
    <dxf>
      <numFmt numFmtId="181" formatCode="0.0%"/>
    </dxf>
    <dxf>
      <numFmt numFmtId="181" formatCode="0.0%"/>
    </dxf>
    <dxf>
      <numFmt numFmtId="181" formatCode="0.0%"/>
    </dxf>
    <dxf>
      <numFmt numFmtId="181" formatCode="0.0%"/>
    </dxf>
    <dxf>
      <alignment horizontal="center"/>
    </dxf>
    <dxf>
      <alignment horizontal="center"/>
    </dxf>
    <dxf>
      <alignment vertical="center"/>
    </dxf>
    <dxf>
      <alignment vertical="center"/>
    </dxf>
    <dxf>
      <alignment horizontal="center"/>
    </dxf>
    <dxf>
      <alignment vertical="center"/>
    </dxf>
    <dxf>
      <alignment horizontal="center"/>
    </dxf>
    <dxf>
      <alignment horizontal="center"/>
    </dxf>
    <dxf>
      <alignment vertical="center"/>
    </dxf>
    <dxf>
      <alignment vertical="center"/>
    </dxf>
    <dxf>
      <alignment horizontal="center"/>
    </dxf>
    <dxf>
      <alignment vertical="center"/>
    </dxf>
    <dxf>
      <alignment horizontal="center"/>
    </dxf>
    <dxf>
      <alignment horizontal="center"/>
    </dxf>
    <dxf>
      <alignment vertical="center"/>
    </dxf>
    <dxf>
      <alignment vertical="center"/>
    </dxf>
    <dxf>
      <alignment horizontal="center"/>
    </dxf>
    <dxf>
      <alignment vertical="center"/>
    </dxf>
    <dxf>
      <alignment horizontal="center"/>
    </dxf>
    <dxf>
      <alignment horizontal="center"/>
    </dxf>
    <dxf>
      <alignment vertical="center"/>
    </dxf>
    <dxf>
      <alignment vertical="center"/>
    </dxf>
    <dxf>
      <alignment horizontal="center"/>
    </dxf>
    <dxf>
      <alignment vertical="center"/>
    </dxf>
    <dxf>
      <alignment horizontal="center"/>
    </dxf>
    <dxf>
      <alignment horizontal="center"/>
    </dxf>
    <dxf>
      <alignment horizontal="center"/>
    </dxf>
    <dxf>
      <alignment vertical="center"/>
    </dxf>
    <dxf>
      <alignment vertical="center"/>
    </dxf>
    <dxf>
      <alignment vertical="center"/>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ont>
        <b val="0"/>
        <i val="0"/>
        <strike val="0"/>
        <sz val="16"/>
        <color theme="0" tint="-0.499984740745262"/>
        <name val="Segoe UI Black"/>
        <family val="2"/>
        <scheme val="none"/>
      </font>
      <fill>
        <patternFill patternType="none">
          <bgColor auto="1"/>
        </patternFill>
      </fill>
      <border diagonalUp="0" diagonalDown="0">
        <left/>
        <right/>
        <top/>
        <bottom/>
        <vertical/>
        <horizontal/>
      </border>
    </dxf>
    <dxf>
      <font>
        <b val="0"/>
        <i val="0"/>
        <strike val="0"/>
        <condense val="0"/>
        <extend val="0"/>
        <outline val="0"/>
        <shadow val="0"/>
        <u val="none"/>
        <vertAlign val="baseline"/>
        <sz val="10"/>
        <color rgb="FF111111"/>
        <name val="Bahnschrift"/>
        <family val="2"/>
        <scheme val="none"/>
      </font>
      <numFmt numFmtId="3" formatCode="#,##0"/>
      <alignment horizontal="center" vertical="center" textRotation="0" wrapText="1" indent="0" justifyLastLine="0" shrinkToFit="0" readingOrder="0"/>
    </dxf>
    <dxf>
      <font>
        <b val="0"/>
        <i val="0"/>
        <strike val="0"/>
        <condense val="0"/>
        <extend val="0"/>
        <outline val="0"/>
        <shadow val="0"/>
        <u val="none"/>
        <vertAlign val="baseline"/>
        <sz val="10"/>
        <color rgb="FF111111"/>
        <name val="Bahnschrift"/>
        <family val="2"/>
        <scheme val="none"/>
      </font>
      <numFmt numFmtId="3" formatCode="#,##0"/>
      <alignment horizontal="center" vertical="center" textRotation="0" wrapText="1" indent="0" justifyLastLine="0" shrinkToFit="0" readingOrder="0"/>
    </dxf>
    <dxf>
      <font>
        <b val="0"/>
        <i val="0"/>
        <strike val="0"/>
        <condense val="0"/>
        <extend val="0"/>
        <outline val="0"/>
        <shadow val="0"/>
        <u val="none"/>
        <vertAlign val="baseline"/>
        <sz val="10"/>
        <color rgb="FF111111"/>
        <name val="Bahnschrift"/>
        <family val="2"/>
        <scheme val="none"/>
      </font>
      <numFmt numFmtId="3" formatCode="#,##0"/>
      <alignment horizontal="center" vertical="center" textRotation="0" wrapText="1" indent="0" justifyLastLine="0" shrinkToFit="0" readingOrder="0"/>
    </dxf>
    <dxf>
      <font>
        <b val="0"/>
        <i val="0"/>
        <strike val="0"/>
        <condense val="0"/>
        <extend val="0"/>
        <outline val="0"/>
        <shadow val="0"/>
        <u val="none"/>
        <vertAlign val="baseline"/>
        <sz val="10"/>
        <color rgb="FF111111"/>
        <name val="Bahnschrift"/>
        <family val="2"/>
        <scheme val="none"/>
      </font>
      <numFmt numFmtId="13" formatCode="0%"/>
      <alignment horizontal="center" vertical="center" textRotation="0" wrapText="1" indent="0" justifyLastLine="0" shrinkToFit="0" readingOrder="0"/>
    </dxf>
    <dxf>
      <font>
        <b val="0"/>
        <i val="0"/>
        <strike val="0"/>
        <condense val="0"/>
        <extend val="0"/>
        <outline val="0"/>
        <shadow val="0"/>
        <u val="none"/>
        <vertAlign val="baseline"/>
        <sz val="10"/>
        <color rgb="FF111111"/>
        <name val="Bahnschrift"/>
        <family val="2"/>
        <scheme val="none"/>
      </font>
      <numFmt numFmtId="3" formatCode="#,##0"/>
      <alignment horizontal="center" vertical="center" textRotation="0" wrapText="1" indent="0" justifyLastLine="0" shrinkToFit="0" readingOrder="0"/>
    </dxf>
    <dxf>
      <numFmt numFmtId="14" formatCode="0.00%"/>
      <alignment horizontal="center" vertical="center" textRotation="0" indent="0" justifyLastLine="0" shrinkToFit="0" readingOrder="0"/>
    </dxf>
    <dxf>
      <font>
        <b val="0"/>
        <i val="0"/>
        <strike val="0"/>
        <condense val="0"/>
        <extend val="0"/>
        <outline val="0"/>
        <shadow val="0"/>
        <u val="none"/>
        <vertAlign val="baseline"/>
        <sz val="10"/>
        <color rgb="FF111111"/>
        <name val="Bahnschrift"/>
        <family val="2"/>
        <scheme val="none"/>
      </font>
      <numFmt numFmtId="3" formatCode="#,##0"/>
      <alignment horizontal="center" vertical="center" textRotation="0" wrapText="1" indent="0" justifyLastLine="0" shrinkToFit="0" readingOrder="0"/>
    </dxf>
    <dxf>
      <font>
        <b val="0"/>
        <i val="0"/>
        <strike val="0"/>
        <condense val="0"/>
        <extend val="0"/>
        <outline val="0"/>
        <shadow val="0"/>
        <u val="none"/>
        <vertAlign val="baseline"/>
        <sz val="10"/>
        <color rgb="FF111111"/>
        <name val="Bahnschrift"/>
        <family val="2"/>
        <scheme val="none"/>
      </font>
      <alignment horizontal="center" vertical="center" textRotation="0" wrapText="1" indent="0" justifyLastLine="0" shrinkToFit="0" readingOrder="0"/>
    </dxf>
    <dxf>
      <font>
        <b val="0"/>
        <i val="0"/>
        <strike val="0"/>
        <condense val="0"/>
        <extend val="0"/>
        <outline val="0"/>
        <shadow val="0"/>
        <u val="none"/>
        <vertAlign val="baseline"/>
        <sz val="10"/>
        <color rgb="FF111111"/>
        <name val="Bahnschrift"/>
        <family val="2"/>
        <scheme val="none"/>
      </font>
      <alignment horizontal="center" vertical="center" textRotation="0" wrapText="1" indent="0" justifyLastLine="0" shrinkToFit="0" readingOrder="0"/>
    </dxf>
    <dxf>
      <font>
        <b/>
        <i val="0"/>
        <strike val="0"/>
        <condense val="0"/>
        <extend val="0"/>
        <outline val="0"/>
        <shadow val="0"/>
        <u val="none"/>
        <vertAlign val="baseline"/>
        <sz val="10"/>
        <color rgb="FF111111"/>
        <name val="Bahnschrift"/>
        <family val="2"/>
        <scheme val="none"/>
      </font>
      <alignment horizontal="center" vertical="center" textRotation="0" wrapText="1" indent="0" justifyLastLine="0" shrinkToFit="0" readingOrder="0"/>
    </dxf>
    <dxf>
      <font>
        <b val="0"/>
        <i val="0"/>
        <strike val="0"/>
        <condense val="0"/>
        <extend val="0"/>
        <outline val="0"/>
        <shadow val="0"/>
        <u val="none"/>
        <vertAlign val="baseline"/>
        <sz val="10"/>
        <color rgb="FF111111"/>
        <name val="Bahnschrift"/>
        <family val="2"/>
        <scheme val="none"/>
      </font>
      <numFmt numFmtId="3" formatCode="#,##0"/>
      <alignment horizontal="center" vertical="center" textRotation="0" wrapText="1" indent="0" justifyLastLine="0" shrinkToFit="0" readingOrder="0"/>
    </dxf>
    <dxf>
      <font>
        <b val="0"/>
        <i val="0"/>
        <strike val="0"/>
        <condense val="0"/>
        <extend val="0"/>
        <outline val="0"/>
        <shadow val="0"/>
        <u val="none"/>
        <vertAlign val="baseline"/>
        <sz val="10"/>
        <color rgb="FF111111"/>
        <name val="Bahnschrift"/>
        <family val="2"/>
        <scheme val="none"/>
      </font>
      <numFmt numFmtId="3" formatCode="#,##0"/>
      <alignment horizontal="center" vertical="center" textRotation="0" wrapText="1" indent="0" justifyLastLine="0" shrinkToFit="0" readingOrder="0"/>
    </dxf>
    <dxf>
      <font>
        <b val="0"/>
        <i val="0"/>
        <strike val="0"/>
        <condense val="0"/>
        <extend val="0"/>
        <outline val="0"/>
        <shadow val="0"/>
        <u val="none"/>
        <vertAlign val="baseline"/>
        <sz val="10"/>
        <color rgb="FF111111"/>
        <name val="Bahnschrift"/>
        <family val="2"/>
        <scheme val="none"/>
      </font>
      <numFmt numFmtId="13" formatCode="0%"/>
      <alignment horizontal="center" vertical="center" textRotation="0" wrapText="1" indent="0" justifyLastLine="0" shrinkToFit="0" readingOrder="0"/>
    </dxf>
    <dxf>
      <font>
        <b val="0"/>
        <i val="0"/>
        <strike val="0"/>
        <condense val="0"/>
        <extend val="0"/>
        <outline val="0"/>
        <shadow val="0"/>
        <u val="none"/>
        <vertAlign val="baseline"/>
        <sz val="10"/>
        <color rgb="FF111111"/>
        <name val="Bahnschrift"/>
        <family val="2"/>
        <scheme val="none"/>
      </font>
      <numFmt numFmtId="3" formatCode="#,##0"/>
      <alignment horizontal="center" vertical="center" textRotation="0" wrapText="1" indent="0" justifyLastLine="0" shrinkToFit="0" readingOrder="0"/>
    </dxf>
    <dxf>
      <numFmt numFmtId="14" formatCode="0.00%"/>
      <alignment horizontal="center" vertical="center" textRotation="0" indent="0" justifyLastLine="0" shrinkToFit="0" readingOrder="0"/>
    </dxf>
    <dxf>
      <font>
        <b val="0"/>
        <i val="0"/>
        <strike val="0"/>
        <condense val="0"/>
        <extend val="0"/>
        <outline val="0"/>
        <shadow val="0"/>
        <u val="none"/>
        <vertAlign val="baseline"/>
        <sz val="10"/>
        <color rgb="FF111111"/>
        <name val="Bahnschrift"/>
        <family val="2"/>
        <scheme val="none"/>
      </font>
      <numFmt numFmtId="3" formatCode="#,##0"/>
      <alignment horizontal="center" vertical="center" textRotation="0" wrapText="1" indent="0" justifyLastLine="0" shrinkToFit="0" readingOrder="0"/>
    </dxf>
    <dxf>
      <font>
        <b val="0"/>
        <i val="0"/>
        <strike val="0"/>
        <condense val="0"/>
        <extend val="0"/>
        <outline val="0"/>
        <shadow val="0"/>
        <u val="none"/>
        <vertAlign val="baseline"/>
        <sz val="10"/>
        <color rgb="FF111111"/>
        <name val="Bahnschrift"/>
        <family val="2"/>
        <scheme val="none"/>
      </font>
      <alignment horizontal="center" vertical="center" textRotation="0" wrapText="1" indent="0" justifyLastLine="0" shrinkToFit="0" readingOrder="0"/>
    </dxf>
    <dxf>
      <font>
        <b val="0"/>
        <i val="0"/>
        <strike val="0"/>
        <condense val="0"/>
        <extend val="0"/>
        <outline val="0"/>
        <shadow val="0"/>
        <u val="none"/>
        <vertAlign val="baseline"/>
        <sz val="10"/>
        <color rgb="FF111111"/>
        <name val="Bahnschrift"/>
        <family val="2"/>
        <scheme val="none"/>
      </font>
      <alignment horizontal="center" vertical="center" textRotation="0" wrapText="1" indent="0" justifyLastLine="0" shrinkToFit="0" readingOrder="0"/>
    </dxf>
    <dxf>
      <font>
        <b/>
        <i val="0"/>
        <strike val="0"/>
        <condense val="0"/>
        <extend val="0"/>
        <outline val="0"/>
        <shadow val="0"/>
        <u val="none"/>
        <vertAlign val="baseline"/>
        <sz val="10"/>
        <color rgb="FF111111"/>
        <name val="Bahnschrift"/>
        <family val="2"/>
        <scheme val="none"/>
      </font>
      <alignment horizontal="center" vertical="center" textRotation="0" wrapText="1" indent="0" justifyLastLine="0" shrinkToFit="0" readingOrder="0"/>
    </dxf>
    <dxf>
      <font>
        <b val="0"/>
        <i val="0"/>
        <strike val="0"/>
        <condense val="0"/>
        <extend val="0"/>
        <outline val="0"/>
        <shadow val="0"/>
        <u val="none"/>
        <vertAlign val="baseline"/>
        <sz val="10"/>
        <color rgb="FF111111"/>
        <name val="Bahnschrift"/>
        <family val="2"/>
        <scheme val="none"/>
      </font>
      <numFmt numFmtId="3" formatCode="#,##0"/>
      <alignment horizontal="center" vertical="center" textRotation="0" wrapText="1" indent="0" justifyLastLine="0" shrinkToFit="0" readingOrder="0"/>
    </dxf>
    <dxf>
      <font>
        <b val="0"/>
        <i val="0"/>
        <strike val="0"/>
        <condense val="0"/>
        <extend val="0"/>
        <outline val="0"/>
        <shadow val="0"/>
        <u val="none"/>
        <vertAlign val="baseline"/>
        <sz val="10"/>
        <color rgb="FF111111"/>
        <name val="Bahnschrift"/>
        <family val="2"/>
        <scheme val="none"/>
      </font>
      <numFmt numFmtId="3" formatCode="#,##0"/>
      <alignment horizontal="center" vertical="center" textRotation="0" wrapText="1" indent="0" justifyLastLine="0" shrinkToFit="0" readingOrder="0"/>
    </dxf>
    <dxf>
      <font>
        <b val="0"/>
        <i val="0"/>
        <strike val="0"/>
        <condense val="0"/>
        <extend val="0"/>
        <outline val="0"/>
        <shadow val="0"/>
        <u val="none"/>
        <vertAlign val="baseline"/>
        <sz val="10"/>
        <color rgb="FF111111"/>
        <name val="Bahnschrift"/>
        <family val="2"/>
        <scheme val="none"/>
      </font>
      <numFmt numFmtId="13" formatCode="0%"/>
      <alignment horizontal="center" vertical="center" textRotation="0" wrapText="1" indent="0" justifyLastLine="0" shrinkToFit="0" readingOrder="0"/>
    </dxf>
    <dxf>
      <font>
        <b val="0"/>
        <i val="0"/>
        <strike val="0"/>
        <condense val="0"/>
        <extend val="0"/>
        <outline val="0"/>
        <shadow val="0"/>
        <u val="none"/>
        <vertAlign val="baseline"/>
        <sz val="10"/>
        <color rgb="FF111111"/>
        <name val="Bahnschrift"/>
        <family val="2"/>
        <scheme val="none"/>
      </font>
      <numFmt numFmtId="3" formatCode="#,##0"/>
      <alignment horizontal="center" vertical="center" textRotation="0" wrapText="1" indent="0" justifyLastLine="0" shrinkToFit="0" readingOrder="0"/>
    </dxf>
    <dxf>
      <numFmt numFmtId="14" formatCode="0.00%"/>
      <alignment horizontal="center" vertical="center" textRotation="0" indent="0" justifyLastLine="0" shrinkToFit="0" readingOrder="0"/>
    </dxf>
    <dxf>
      <font>
        <b val="0"/>
        <i val="0"/>
        <strike val="0"/>
        <condense val="0"/>
        <extend val="0"/>
        <outline val="0"/>
        <shadow val="0"/>
        <u val="none"/>
        <vertAlign val="baseline"/>
        <sz val="10"/>
        <color rgb="FF111111"/>
        <name val="Bahnschrift"/>
        <family val="2"/>
        <scheme val="none"/>
      </font>
      <numFmt numFmtId="3" formatCode="#,##0"/>
      <alignment horizontal="center" vertical="center" textRotation="0" wrapText="1" indent="0" justifyLastLine="0" shrinkToFit="0" readingOrder="0"/>
    </dxf>
    <dxf>
      <font>
        <b val="0"/>
        <i val="0"/>
        <strike val="0"/>
        <condense val="0"/>
        <extend val="0"/>
        <outline val="0"/>
        <shadow val="0"/>
        <u val="none"/>
        <vertAlign val="baseline"/>
        <sz val="10"/>
        <color rgb="FF111111"/>
        <name val="Bahnschrift"/>
        <family val="2"/>
        <scheme val="none"/>
      </font>
      <alignment horizontal="center" vertical="center" textRotation="0" wrapText="1" indent="0" justifyLastLine="0" shrinkToFit="0" readingOrder="0"/>
    </dxf>
    <dxf>
      <font>
        <b val="0"/>
        <i val="0"/>
        <strike val="0"/>
        <condense val="0"/>
        <extend val="0"/>
        <outline val="0"/>
        <shadow val="0"/>
        <u val="none"/>
        <vertAlign val="baseline"/>
        <sz val="10"/>
        <color rgb="FF111111"/>
        <name val="Bahnschrift"/>
        <family val="2"/>
        <scheme val="none"/>
      </font>
      <alignment horizontal="center" vertical="center" textRotation="0" wrapText="1" indent="0" justifyLastLine="0" shrinkToFit="0" readingOrder="0"/>
    </dxf>
    <dxf>
      <font>
        <b/>
        <i val="0"/>
        <strike val="0"/>
        <condense val="0"/>
        <extend val="0"/>
        <outline val="0"/>
        <shadow val="0"/>
        <u val="none"/>
        <vertAlign val="baseline"/>
        <sz val="10"/>
        <color rgb="FF111111"/>
        <name val="Bahnschrift"/>
        <family val="2"/>
        <scheme val="none"/>
      </font>
      <alignment horizontal="center" vertical="center" textRotation="0" wrapText="1" indent="0" justifyLastLine="0" shrinkToFit="0" readingOrder="0"/>
    </dxf>
    <dxf>
      <font>
        <b val="0"/>
        <i val="0"/>
        <strike val="0"/>
        <condense val="0"/>
        <extend val="0"/>
        <outline val="0"/>
        <shadow val="0"/>
        <u val="none"/>
        <vertAlign val="baseline"/>
        <sz val="10"/>
        <color rgb="FF111111"/>
        <name val="Bahnschrift"/>
        <family val="2"/>
        <scheme val="none"/>
      </font>
      <numFmt numFmtId="3" formatCode="#,##0"/>
      <alignment horizontal="center" vertical="center" textRotation="0" wrapText="1" indent="0" justifyLastLine="0" shrinkToFit="0" readingOrder="0"/>
    </dxf>
    <dxf>
      <font>
        <b val="0"/>
        <i val="0"/>
        <strike val="0"/>
        <condense val="0"/>
        <extend val="0"/>
        <outline val="0"/>
        <shadow val="0"/>
        <u val="none"/>
        <vertAlign val="baseline"/>
        <sz val="10"/>
        <color rgb="FF111111"/>
        <name val="Bahnschrift"/>
        <family val="2"/>
        <scheme val="none"/>
      </font>
      <numFmt numFmtId="3" formatCode="#,##0"/>
      <alignment horizontal="center" vertical="center" textRotation="0" wrapText="1" indent="0" justifyLastLine="0" shrinkToFit="0" readingOrder="0"/>
    </dxf>
    <dxf>
      <font>
        <b val="0"/>
        <i val="0"/>
        <strike val="0"/>
        <condense val="0"/>
        <extend val="0"/>
        <outline val="0"/>
        <shadow val="0"/>
        <u val="none"/>
        <vertAlign val="baseline"/>
        <sz val="10"/>
        <color rgb="FF111111"/>
        <name val="Bahnschrift"/>
        <family val="2"/>
        <scheme val="none"/>
      </font>
      <numFmt numFmtId="13" formatCode="0%"/>
      <alignment horizontal="center" vertical="center" textRotation="0" wrapText="1" indent="0" justifyLastLine="0" shrinkToFit="0" readingOrder="0"/>
    </dxf>
    <dxf>
      <font>
        <b val="0"/>
        <i val="0"/>
        <strike val="0"/>
        <condense val="0"/>
        <extend val="0"/>
        <outline val="0"/>
        <shadow val="0"/>
        <u val="none"/>
        <vertAlign val="baseline"/>
        <sz val="10"/>
        <color rgb="FF111111"/>
        <name val="Bahnschrift"/>
        <family val="2"/>
        <scheme val="none"/>
      </font>
      <numFmt numFmtId="3" formatCode="#,##0"/>
      <alignment horizontal="center" vertical="center" textRotation="0" wrapText="1" indent="0" justifyLastLine="0" shrinkToFit="0" readingOrder="0"/>
    </dxf>
    <dxf>
      <numFmt numFmtId="14" formatCode="0.00%"/>
      <alignment horizontal="center" vertical="center" textRotation="0" indent="0" justifyLastLine="0" shrinkToFit="0" readingOrder="0"/>
    </dxf>
    <dxf>
      <font>
        <b val="0"/>
        <i val="0"/>
        <strike val="0"/>
        <condense val="0"/>
        <extend val="0"/>
        <outline val="0"/>
        <shadow val="0"/>
        <u val="none"/>
        <vertAlign val="baseline"/>
        <sz val="10"/>
        <color rgb="FF111111"/>
        <name val="Bahnschrift"/>
        <family val="2"/>
        <scheme val="none"/>
      </font>
      <numFmt numFmtId="3" formatCode="#,##0"/>
      <alignment horizontal="center" vertical="center" textRotation="0" wrapText="1" indent="0" justifyLastLine="0" shrinkToFit="0" readingOrder="0"/>
    </dxf>
    <dxf>
      <font>
        <b val="0"/>
        <i val="0"/>
        <strike val="0"/>
        <condense val="0"/>
        <extend val="0"/>
        <outline val="0"/>
        <shadow val="0"/>
        <u val="none"/>
        <vertAlign val="baseline"/>
        <sz val="10"/>
        <color rgb="FF111111"/>
        <name val="Bahnschrift"/>
        <family val="2"/>
        <scheme val="none"/>
      </font>
      <alignment horizontal="center" vertical="center" textRotation="0" wrapText="1" indent="0" justifyLastLine="0" shrinkToFit="0" readingOrder="0"/>
    </dxf>
    <dxf>
      <font>
        <b val="0"/>
        <i val="0"/>
        <strike val="0"/>
        <condense val="0"/>
        <extend val="0"/>
        <outline val="0"/>
        <shadow val="0"/>
        <u val="none"/>
        <vertAlign val="baseline"/>
        <sz val="10"/>
        <color rgb="FF111111"/>
        <name val="Bahnschrift"/>
        <family val="2"/>
        <scheme val="none"/>
      </font>
      <alignment horizontal="center" vertical="center" textRotation="0" wrapText="1" indent="0" justifyLastLine="0" shrinkToFit="0" readingOrder="0"/>
    </dxf>
    <dxf>
      <font>
        <b/>
        <i val="0"/>
        <strike val="0"/>
        <condense val="0"/>
        <extend val="0"/>
        <outline val="0"/>
        <shadow val="0"/>
        <u val="none"/>
        <vertAlign val="baseline"/>
        <sz val="10"/>
        <color rgb="FF111111"/>
        <name val="Bahnschrift"/>
        <family val="2"/>
        <scheme val="none"/>
      </font>
      <alignment horizontal="center" vertical="center" textRotation="0" wrapText="1" indent="0" justifyLastLine="0" shrinkToFit="0" readingOrder="0"/>
    </dxf>
    <dxf>
      <font>
        <b val="0"/>
        <i val="0"/>
        <strike val="0"/>
        <condense val="0"/>
        <extend val="0"/>
        <outline val="0"/>
        <shadow val="0"/>
        <u val="none"/>
        <vertAlign val="baseline"/>
        <sz val="10"/>
        <color rgb="FF111111"/>
        <name val="Bahnschrift"/>
        <family val="2"/>
        <scheme val="none"/>
      </font>
      <numFmt numFmtId="3" formatCode="#,##0"/>
      <alignment horizontal="center" vertical="center" textRotation="0" wrapText="1" indent="0" justifyLastLine="0" shrinkToFit="0" readingOrder="0"/>
    </dxf>
    <dxf>
      <font>
        <b val="0"/>
        <i val="0"/>
        <strike val="0"/>
        <condense val="0"/>
        <extend val="0"/>
        <outline val="0"/>
        <shadow val="0"/>
        <u val="none"/>
        <vertAlign val="baseline"/>
        <sz val="10"/>
        <color rgb="FF111111"/>
        <name val="Bahnschrift"/>
        <family val="2"/>
        <scheme val="none"/>
      </font>
      <numFmt numFmtId="3" formatCode="#,##0"/>
      <alignment horizontal="center" vertical="center" textRotation="0" wrapText="1" indent="0" justifyLastLine="0" shrinkToFit="0" readingOrder="0"/>
    </dxf>
    <dxf>
      <font>
        <b val="0"/>
        <i val="0"/>
        <strike val="0"/>
        <condense val="0"/>
        <extend val="0"/>
        <outline val="0"/>
        <shadow val="0"/>
        <u val="none"/>
        <vertAlign val="baseline"/>
        <sz val="10"/>
        <color rgb="FF111111"/>
        <name val="Bahnschrift"/>
        <family val="2"/>
        <scheme val="none"/>
      </font>
      <numFmt numFmtId="13" formatCode="0%"/>
      <alignment horizontal="center" vertical="center" textRotation="0" wrapText="1" indent="0" justifyLastLine="0" shrinkToFit="0" readingOrder="0"/>
    </dxf>
    <dxf>
      <font>
        <b val="0"/>
        <i val="0"/>
        <strike val="0"/>
        <condense val="0"/>
        <extend val="0"/>
        <outline val="0"/>
        <shadow val="0"/>
        <u val="none"/>
        <vertAlign val="baseline"/>
        <sz val="10"/>
        <color rgb="FF111111"/>
        <name val="Bahnschrift"/>
        <family val="2"/>
        <scheme val="none"/>
      </font>
      <numFmt numFmtId="3" formatCode="#,##0"/>
      <alignment horizontal="center" vertical="center" textRotation="0" wrapText="1" indent="0" justifyLastLine="0" shrinkToFit="0" readingOrder="0"/>
    </dxf>
    <dxf>
      <numFmt numFmtId="14" formatCode="0.00%"/>
      <alignment horizontal="center" vertical="center" textRotation="0" indent="0" justifyLastLine="0" shrinkToFit="0" readingOrder="0"/>
    </dxf>
    <dxf>
      <font>
        <b val="0"/>
        <i val="0"/>
        <strike val="0"/>
        <condense val="0"/>
        <extend val="0"/>
        <outline val="0"/>
        <shadow val="0"/>
        <u val="none"/>
        <vertAlign val="baseline"/>
        <sz val="10"/>
        <color rgb="FF111111"/>
        <name val="Bahnschrift"/>
        <family val="2"/>
        <scheme val="none"/>
      </font>
      <numFmt numFmtId="3" formatCode="#,##0"/>
      <alignment horizontal="center" vertical="center" textRotation="0" wrapText="1" indent="0" justifyLastLine="0" shrinkToFit="0" readingOrder="0"/>
    </dxf>
    <dxf>
      <font>
        <b val="0"/>
        <i val="0"/>
        <strike val="0"/>
        <condense val="0"/>
        <extend val="0"/>
        <outline val="0"/>
        <shadow val="0"/>
        <u val="none"/>
        <vertAlign val="baseline"/>
        <sz val="10"/>
        <color rgb="FF111111"/>
        <name val="Bahnschrift"/>
        <family val="2"/>
        <scheme val="none"/>
      </font>
      <alignment horizontal="center" vertical="center" textRotation="0" wrapText="1" indent="0" justifyLastLine="0" shrinkToFit="0" readingOrder="0"/>
    </dxf>
    <dxf>
      <font>
        <b val="0"/>
        <i val="0"/>
        <strike val="0"/>
        <condense val="0"/>
        <extend val="0"/>
        <outline val="0"/>
        <shadow val="0"/>
        <u val="none"/>
        <vertAlign val="baseline"/>
        <sz val="10"/>
        <color rgb="FF111111"/>
        <name val="Bahnschrift"/>
        <family val="2"/>
        <scheme val="none"/>
      </font>
      <alignment horizontal="center" vertical="center" textRotation="0" wrapText="1" indent="0" justifyLastLine="0" shrinkToFit="0" readingOrder="0"/>
    </dxf>
    <dxf>
      <font>
        <b/>
        <i val="0"/>
        <strike val="0"/>
        <condense val="0"/>
        <extend val="0"/>
        <outline val="0"/>
        <shadow val="0"/>
        <u val="none"/>
        <vertAlign val="baseline"/>
        <sz val="10"/>
        <color rgb="FF111111"/>
        <name val="Bahnschrift"/>
        <family val="2"/>
        <scheme val="none"/>
      </font>
      <alignment horizontal="center" vertical="center" textRotation="0" wrapText="1" indent="0" justifyLastLine="0" shrinkToFit="0" readingOrder="0"/>
    </dxf>
  </dxfs>
  <tableStyles count="1" defaultTableStyle="TableStyleMedium2" defaultPivotStyle="PivotStyleLight16">
    <tableStyle name="Slicer Style 1" pivot="0" table="0" count="5" xr9:uid="{BD1C233D-62EE-4E1E-9E0A-ECA5626B3E57}">
      <tableStyleElement type="wholeTable" dxfId="289"/>
    </tableStyle>
  </tableStyles>
  <colors>
    <mruColors>
      <color rgb="FFFF99CC"/>
      <color rgb="FFFDDFF7"/>
      <color rgb="FFFF3399"/>
      <color rgb="FF9AC2E6"/>
      <color rgb="FF63B5F9"/>
      <color rgb="FF79A6FF"/>
      <color rgb="FF3377FF"/>
      <color rgb="FF0043C8"/>
      <color rgb="FF4E93D2"/>
      <color rgb="FFFF66CC"/>
    </mruColors>
  </colors>
  <extLst>
    <ext xmlns:x14="http://schemas.microsoft.com/office/spreadsheetml/2009/9/main" uri="{46F421CA-312F-682f-3DD2-61675219B42D}">
      <x14:dxfs count="4">
        <dxf>
          <border>
            <left style="medium">
              <color theme="0" tint="-0.34998626667073579"/>
            </left>
            <right style="medium">
              <color theme="0" tint="-0.34998626667073579"/>
            </right>
            <top style="medium">
              <color theme="0" tint="-0.34998626667073579"/>
            </top>
            <bottom style="medium">
              <color theme="0" tint="-0.34998626667073579"/>
            </bottom>
          </border>
        </dxf>
        <dxf>
          <border>
            <left style="thick">
              <color rgb="FFDFC4F8"/>
            </left>
            <right style="thick">
              <color rgb="FFDFC4F8"/>
            </right>
            <top style="thick">
              <color rgb="FFDFC4F8"/>
            </top>
            <bottom style="thick">
              <color rgb="FFDFC4F8"/>
            </bottom>
          </border>
        </dxf>
        <dxf>
          <border>
            <left style="thick">
              <color rgb="FFDABBF7"/>
            </left>
            <right style="thick">
              <color rgb="FFDABBF7"/>
            </right>
            <top style="thick">
              <color rgb="FFDABBF7"/>
            </top>
            <bottom style="thick">
              <color rgb="FFDABBF7"/>
            </bottom>
          </border>
        </dxf>
        <dxf>
          <border>
            <left style="thick">
              <color theme="0" tint="-0.34998626667073579"/>
            </left>
            <right style="thick">
              <color theme="0" tint="-0.34998626667073579"/>
            </right>
            <top style="thick">
              <color theme="0" tint="-0.34998626667073579"/>
            </top>
            <bottom style="thick">
              <color theme="0" tint="-0.34998626667073579"/>
            </bottom>
          </border>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3"/>
            <x14:slicerStyleElement type="selectedItemWithData" dxfId="2"/>
            <x14:slicerStyleElement type="hoveredUnselectedItemWithData" dxfId="1"/>
            <x14:slicerStyleElement type="hovered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calcChain" Target="calcChain.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[Social-Media-Project (Sub).xlsx]Pivot tables!PivotTable60</c:name>
    <c:fmtId val="33"/>
  </c:pivotSource>
  <c:chart>
    <c:title>
      <c:tx>
        <c:rich>
          <a:bodyPr rot="0" spcFirstLastPara="1" vertOverflow="ellipsis" vert="horz" wrap="square" anchor="ctr" anchorCtr="1"/>
          <a:lstStyle/>
          <a:p>
            <a:pPr>
              <a:defRPr sz="2800" b="1" i="0" u="none" strike="noStrike" kern="1200" spc="0" baseline="0">
                <a:solidFill>
                  <a:schemeClr val="bg1">
                    <a:lumMod val="50000"/>
                  </a:schemeClr>
                </a:solidFill>
                <a:latin typeface="Segoe UI Black" panose="020B0A02040204020203" pitchFamily="34" charset="0"/>
                <a:ea typeface="Segoe UI Black" panose="020B0A02040204020203" pitchFamily="34" charset="0"/>
                <a:cs typeface="+mn-cs"/>
              </a:defRPr>
            </a:pPr>
            <a:r>
              <a:rPr lang="en-US" sz="2800" b="1">
                <a:solidFill>
                  <a:schemeClr val="bg1">
                    <a:lumMod val="50000"/>
                  </a:schemeClr>
                </a:solidFill>
                <a:latin typeface="Segoe UI Black" panose="020B0A02040204020203" pitchFamily="34" charset="0"/>
                <a:ea typeface="Segoe UI Black" panose="020B0A02040204020203" pitchFamily="34" charset="0"/>
              </a:rPr>
              <a:t>Growth/Week</a:t>
            </a:r>
          </a:p>
        </c:rich>
      </c:tx>
      <c:layout>
        <c:manualLayout>
          <c:xMode val="edge"/>
          <c:yMode val="edge"/>
          <c:x val="0.25439022646207687"/>
          <c:y val="0.12682410834908728"/>
        </c:manualLayout>
      </c:layout>
      <c:overlay val="0"/>
      <c:spPr>
        <a:noFill/>
        <a:ln>
          <a:noFill/>
        </a:ln>
        <a:effectLst/>
      </c:spPr>
    </c:title>
    <c:autoTitleDeleted val="0"/>
    <c:pivotFmts>
      <c:pivotFmt>
        <c:idx val="0"/>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5">
              <a:lumMod val="20000"/>
              <a:lumOff val="80000"/>
            </a:schemeClr>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5"/>
        <c:spPr>
          <a:solidFill>
            <a:srgbClr val="0070C0"/>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6"/>
        <c:spPr>
          <a:solidFill>
            <a:schemeClr val="accent5">
              <a:lumMod val="60000"/>
              <a:lumOff val="40000"/>
            </a:schemeClr>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7"/>
        <c:spPr>
          <a:solidFill>
            <a:srgbClr val="002060"/>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8"/>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9"/>
        <c:spPr>
          <a:solidFill>
            <a:schemeClr val="accent5">
              <a:lumMod val="20000"/>
              <a:lumOff val="80000"/>
            </a:schemeClr>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0"/>
        <c:spPr>
          <a:solidFill>
            <a:srgbClr val="002060"/>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1"/>
        <c:spPr>
          <a:solidFill>
            <a:srgbClr val="0070C0"/>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2"/>
        <c:spPr>
          <a:solidFill>
            <a:schemeClr val="accent5">
              <a:lumMod val="60000"/>
              <a:lumOff val="40000"/>
            </a:schemeClr>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29"/>
        <c:spPr>
          <a:solidFill>
            <a:schemeClr val="accent5">
              <a:lumMod val="20000"/>
              <a:lumOff val="80000"/>
            </a:schemeClr>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30"/>
        <c:spPr>
          <a:solidFill>
            <a:srgbClr val="002060"/>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31"/>
        <c:spPr>
          <a:solidFill>
            <a:srgbClr val="0070C0"/>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32"/>
        <c:spPr>
          <a:solidFill>
            <a:schemeClr val="accent5">
              <a:lumMod val="60000"/>
              <a:lumOff val="40000"/>
            </a:schemeClr>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pivotFmt>
      <c:pivotFmt>
        <c:idx val="38"/>
        <c:spPr>
          <a:solidFill>
            <a:schemeClr val="accent1"/>
          </a:solidFill>
          <a:ln w="19050">
            <a:solidFill>
              <a:schemeClr val="lt1"/>
            </a:solidFill>
          </a:ln>
          <a:effectLst/>
        </c:spPr>
      </c:pivotFmt>
      <c:pivotFmt>
        <c:idx val="39"/>
        <c:spPr>
          <a:solidFill>
            <a:schemeClr val="accent1"/>
          </a:solidFill>
          <a:ln w="19050">
            <a:solidFill>
              <a:schemeClr val="lt1"/>
            </a:solidFill>
          </a:ln>
          <a:effectLst/>
        </c:spPr>
      </c:pivotFmt>
      <c:pivotFmt>
        <c:idx val="40"/>
        <c:spPr>
          <a:solidFill>
            <a:schemeClr val="accent1"/>
          </a:solidFill>
          <a:ln w="19050">
            <a:solidFill>
              <a:schemeClr val="lt1"/>
            </a:solidFill>
          </a:ln>
          <a:effectLst/>
        </c:spPr>
      </c:pivotFmt>
      <c:pivotFmt>
        <c:idx val="41"/>
        <c:spPr>
          <a:solidFill>
            <a:schemeClr val="accent1"/>
          </a:solidFill>
          <a:ln w="19050">
            <a:solidFill>
              <a:schemeClr val="lt1"/>
            </a:solidFill>
          </a:ln>
          <a:effectLst/>
        </c:spPr>
      </c:pivotFmt>
      <c:pivotFmt>
        <c:idx val="42"/>
        <c:spPr>
          <a:solidFill>
            <a:schemeClr val="accent1"/>
          </a:solidFill>
          <a:ln w="19050">
            <a:solidFill>
              <a:schemeClr val="lt1"/>
            </a:solidFill>
          </a:ln>
          <a:effectLst/>
        </c:spPr>
      </c:pivotFmt>
      <c:pivotFmt>
        <c:idx val="43"/>
        <c:spPr>
          <a:solidFill>
            <a:schemeClr val="accent1"/>
          </a:solidFill>
          <a:ln w="19050">
            <a:solidFill>
              <a:schemeClr val="lt1"/>
            </a:solidFill>
          </a:ln>
          <a:effectLst/>
        </c:spPr>
      </c:pivotFmt>
      <c:pivotFmt>
        <c:idx val="44"/>
        <c:spPr>
          <a:solidFill>
            <a:schemeClr val="accent1"/>
          </a:solidFill>
          <a:ln w="19050">
            <a:solidFill>
              <a:schemeClr val="lt1"/>
            </a:solidFill>
          </a:ln>
          <a:effectLst/>
        </c:spPr>
      </c:pivotFmt>
      <c:pivotFmt>
        <c:idx val="45"/>
        <c:spPr>
          <a:solidFill>
            <a:schemeClr val="accent1"/>
          </a:solidFill>
          <a:ln w="19050">
            <a:solidFill>
              <a:schemeClr val="lt1"/>
            </a:solidFill>
          </a:ln>
          <a:effectLst/>
        </c:spPr>
      </c:pivotFmt>
      <c:pivotFmt>
        <c:idx val="46"/>
        <c:spPr>
          <a:solidFill>
            <a:schemeClr val="accent1"/>
          </a:solidFill>
          <a:ln w="19050">
            <a:solidFill>
              <a:schemeClr val="lt1"/>
            </a:solidFill>
          </a:ln>
          <a:effectLst/>
        </c:spPr>
      </c:pivotFmt>
      <c:pivotFmt>
        <c:idx val="47"/>
        <c:spPr>
          <a:solidFill>
            <a:schemeClr val="accent1"/>
          </a:solidFill>
          <a:ln w="19050">
            <a:solidFill>
              <a:schemeClr val="lt1"/>
            </a:solidFill>
          </a:ln>
          <a:effectLst/>
        </c:spPr>
      </c:pivotFmt>
      <c:pivotFmt>
        <c:idx val="48"/>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49"/>
        <c:spPr>
          <a:solidFill>
            <a:schemeClr val="accent5">
              <a:lumMod val="20000"/>
              <a:lumOff val="80000"/>
            </a:schemeClr>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50"/>
        <c:spPr>
          <a:solidFill>
            <a:srgbClr val="002060"/>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51"/>
        <c:spPr>
          <a:solidFill>
            <a:srgbClr val="0070C0"/>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52"/>
        <c:spPr>
          <a:solidFill>
            <a:schemeClr val="accent5">
              <a:lumMod val="60000"/>
              <a:lumOff val="40000"/>
            </a:schemeClr>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53"/>
      </c:pivotFmt>
      <c:pivotFmt>
        <c:idx val="54"/>
        <c:spPr>
          <a:solidFill>
            <a:schemeClr val="accent1"/>
          </a:solidFill>
          <a:ln w="19050">
            <a:solidFill>
              <a:schemeClr val="lt1"/>
            </a:solidFill>
          </a:ln>
          <a:effectLst/>
        </c:spPr>
      </c:pivotFmt>
      <c:pivotFmt>
        <c:idx val="55"/>
        <c:spPr>
          <a:solidFill>
            <a:schemeClr val="accent2"/>
          </a:solidFill>
          <a:ln w="19050">
            <a:solidFill>
              <a:schemeClr val="lt1"/>
            </a:solidFill>
          </a:ln>
          <a:effectLst/>
        </c:spPr>
      </c:pivotFmt>
      <c:pivotFmt>
        <c:idx val="56"/>
        <c:spPr>
          <a:solidFill>
            <a:schemeClr val="accent3"/>
          </a:solidFill>
          <a:ln w="19050">
            <a:solidFill>
              <a:schemeClr val="lt1"/>
            </a:solidFill>
          </a:ln>
          <a:effectLst/>
        </c:spPr>
      </c:pivotFmt>
      <c:pivotFmt>
        <c:idx val="57"/>
        <c:spPr>
          <a:solidFill>
            <a:schemeClr val="accent4"/>
          </a:solidFill>
          <a:ln w="19050">
            <a:solidFill>
              <a:schemeClr val="lt1"/>
            </a:solidFill>
          </a:ln>
          <a:effectLst/>
        </c:spPr>
      </c:pivotFmt>
      <c:pivotFmt>
        <c:idx val="58"/>
      </c:pivotFmt>
      <c:pivotFmt>
        <c:idx val="59"/>
        <c:spPr>
          <a:solidFill>
            <a:schemeClr val="accent1"/>
          </a:solidFill>
          <a:ln w="19050">
            <a:solidFill>
              <a:schemeClr val="lt1"/>
            </a:solidFill>
          </a:ln>
          <a:effectLst/>
        </c:spPr>
      </c:pivotFmt>
      <c:pivotFmt>
        <c:idx val="60"/>
        <c:spPr>
          <a:solidFill>
            <a:schemeClr val="accent2"/>
          </a:solidFill>
          <a:ln w="19050">
            <a:solidFill>
              <a:schemeClr val="lt1"/>
            </a:solidFill>
          </a:ln>
          <a:effectLst/>
        </c:spPr>
      </c:pivotFmt>
      <c:pivotFmt>
        <c:idx val="61"/>
        <c:spPr>
          <a:solidFill>
            <a:schemeClr val="accent3"/>
          </a:solidFill>
          <a:ln w="19050">
            <a:solidFill>
              <a:schemeClr val="lt1"/>
            </a:solidFill>
          </a:ln>
          <a:effectLst/>
        </c:spPr>
      </c:pivotFmt>
      <c:pivotFmt>
        <c:idx val="62"/>
        <c:spPr>
          <a:solidFill>
            <a:schemeClr val="accent4"/>
          </a:solidFill>
          <a:ln w="19050">
            <a:solidFill>
              <a:schemeClr val="lt1"/>
            </a:solidFill>
          </a:ln>
          <a:effectLst/>
        </c:spPr>
      </c:pivotFmt>
      <c:pivotFmt>
        <c:idx val="63"/>
      </c:pivotFmt>
      <c:pivotFmt>
        <c:idx val="64"/>
        <c:spPr>
          <a:solidFill>
            <a:schemeClr val="accent1"/>
          </a:solidFill>
          <a:ln w="19050">
            <a:solidFill>
              <a:schemeClr val="lt1"/>
            </a:solidFill>
          </a:ln>
          <a:effectLst/>
        </c:spPr>
      </c:pivotFmt>
      <c:pivotFmt>
        <c:idx val="65"/>
        <c:spPr>
          <a:solidFill>
            <a:schemeClr val="accent2"/>
          </a:solidFill>
          <a:ln w="19050">
            <a:solidFill>
              <a:schemeClr val="lt1"/>
            </a:solidFill>
          </a:ln>
          <a:effectLst/>
        </c:spPr>
      </c:pivotFmt>
      <c:pivotFmt>
        <c:idx val="66"/>
        <c:spPr>
          <a:solidFill>
            <a:schemeClr val="accent3"/>
          </a:solidFill>
          <a:ln w="19050">
            <a:solidFill>
              <a:schemeClr val="lt1"/>
            </a:solidFill>
          </a:ln>
          <a:effectLst/>
        </c:spPr>
      </c:pivotFmt>
      <c:pivotFmt>
        <c:idx val="67"/>
        <c:spPr>
          <a:solidFill>
            <a:schemeClr val="accent4"/>
          </a:solidFill>
          <a:ln w="19050">
            <a:solidFill>
              <a:schemeClr val="lt1"/>
            </a:solidFill>
          </a:ln>
          <a:effectLst/>
        </c:spPr>
      </c:pivotFmt>
      <c:pivotFmt>
        <c:idx val="68"/>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69"/>
        <c:spPr>
          <a:solidFill>
            <a:schemeClr val="accent5">
              <a:lumMod val="20000"/>
              <a:lumOff val="80000"/>
            </a:schemeClr>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70"/>
        <c:spPr>
          <a:solidFill>
            <a:srgbClr val="002060"/>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71"/>
        <c:spPr>
          <a:solidFill>
            <a:srgbClr val="0070C0"/>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72"/>
        <c:spPr>
          <a:solidFill>
            <a:schemeClr val="accent5">
              <a:lumMod val="60000"/>
              <a:lumOff val="40000"/>
            </a:schemeClr>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73"/>
      </c:pivotFmt>
      <c:pivotFmt>
        <c:idx val="74"/>
        <c:spPr>
          <a:solidFill>
            <a:schemeClr val="accent1"/>
          </a:solidFill>
          <a:ln w="19050">
            <a:solidFill>
              <a:schemeClr val="lt1"/>
            </a:solidFill>
          </a:ln>
          <a:effectLst/>
        </c:spPr>
      </c:pivotFmt>
      <c:pivotFmt>
        <c:idx val="75"/>
        <c:spPr>
          <a:solidFill>
            <a:schemeClr val="accent2"/>
          </a:solidFill>
          <a:ln w="19050">
            <a:solidFill>
              <a:schemeClr val="lt1"/>
            </a:solidFill>
          </a:ln>
          <a:effectLst/>
        </c:spPr>
      </c:pivotFmt>
      <c:pivotFmt>
        <c:idx val="76"/>
        <c:spPr>
          <a:solidFill>
            <a:schemeClr val="accent3"/>
          </a:solidFill>
          <a:ln w="19050">
            <a:solidFill>
              <a:schemeClr val="lt1"/>
            </a:solidFill>
          </a:ln>
          <a:effectLst/>
        </c:spPr>
      </c:pivotFmt>
      <c:pivotFmt>
        <c:idx val="77"/>
        <c:spPr>
          <a:solidFill>
            <a:schemeClr val="accent4"/>
          </a:solidFill>
          <a:ln w="19050">
            <a:solidFill>
              <a:schemeClr val="lt1"/>
            </a:solidFill>
          </a:ln>
          <a:effectLst/>
        </c:spPr>
      </c:pivotFmt>
      <c:pivotFmt>
        <c:idx val="78"/>
      </c:pivotFmt>
      <c:pivotFmt>
        <c:idx val="79"/>
        <c:spPr>
          <a:solidFill>
            <a:schemeClr val="accent1"/>
          </a:solidFill>
          <a:ln w="19050">
            <a:solidFill>
              <a:schemeClr val="lt1"/>
            </a:solidFill>
          </a:ln>
          <a:effectLst/>
        </c:spPr>
      </c:pivotFmt>
      <c:pivotFmt>
        <c:idx val="80"/>
        <c:spPr>
          <a:solidFill>
            <a:schemeClr val="accent2"/>
          </a:solidFill>
          <a:ln w="19050">
            <a:solidFill>
              <a:schemeClr val="lt1"/>
            </a:solidFill>
          </a:ln>
          <a:effectLst/>
        </c:spPr>
      </c:pivotFmt>
      <c:pivotFmt>
        <c:idx val="81"/>
        <c:spPr>
          <a:solidFill>
            <a:schemeClr val="accent3"/>
          </a:solidFill>
          <a:ln w="19050">
            <a:solidFill>
              <a:schemeClr val="lt1"/>
            </a:solidFill>
          </a:ln>
          <a:effectLst/>
        </c:spPr>
      </c:pivotFmt>
      <c:pivotFmt>
        <c:idx val="82"/>
        <c:spPr>
          <a:solidFill>
            <a:schemeClr val="accent4"/>
          </a:solidFill>
          <a:ln w="19050">
            <a:solidFill>
              <a:schemeClr val="lt1"/>
            </a:solidFill>
          </a:ln>
          <a:effectLst/>
        </c:spPr>
      </c:pivotFmt>
      <c:pivotFmt>
        <c:idx val="83"/>
      </c:pivotFmt>
      <c:pivotFmt>
        <c:idx val="84"/>
        <c:spPr>
          <a:solidFill>
            <a:schemeClr val="accent1"/>
          </a:solidFill>
          <a:ln w="19050">
            <a:solidFill>
              <a:schemeClr val="lt1"/>
            </a:solidFill>
          </a:ln>
          <a:effectLst/>
        </c:spPr>
      </c:pivotFmt>
      <c:pivotFmt>
        <c:idx val="85"/>
        <c:spPr>
          <a:solidFill>
            <a:schemeClr val="accent2"/>
          </a:solidFill>
          <a:ln w="19050">
            <a:solidFill>
              <a:schemeClr val="lt1"/>
            </a:solidFill>
          </a:ln>
          <a:effectLst/>
        </c:spPr>
      </c:pivotFmt>
      <c:pivotFmt>
        <c:idx val="86"/>
        <c:spPr>
          <a:solidFill>
            <a:schemeClr val="accent3"/>
          </a:solidFill>
          <a:ln w="19050">
            <a:solidFill>
              <a:schemeClr val="lt1"/>
            </a:solidFill>
          </a:ln>
          <a:effectLst/>
        </c:spPr>
      </c:pivotFmt>
      <c:pivotFmt>
        <c:idx val="87"/>
        <c:spPr>
          <a:solidFill>
            <a:schemeClr val="accent4"/>
          </a:solidFill>
          <a:ln w="19050">
            <a:solidFill>
              <a:schemeClr val="lt1"/>
            </a:solidFill>
          </a:ln>
          <a:effectLst/>
        </c:spPr>
      </c:pivotFmt>
      <c:pivotFmt>
        <c:idx val="88"/>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89"/>
        <c:spPr>
          <a:solidFill>
            <a:schemeClr val="accent5">
              <a:lumMod val="20000"/>
              <a:lumOff val="80000"/>
            </a:schemeClr>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90"/>
        <c:spPr>
          <a:solidFill>
            <a:srgbClr val="002060"/>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91"/>
        <c:spPr>
          <a:solidFill>
            <a:srgbClr val="0070C0"/>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92"/>
        <c:spPr>
          <a:solidFill>
            <a:schemeClr val="accent5">
              <a:lumMod val="60000"/>
              <a:lumOff val="40000"/>
            </a:schemeClr>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93"/>
      </c:pivotFmt>
      <c:pivotFmt>
        <c:idx val="94"/>
        <c:spPr>
          <a:solidFill>
            <a:schemeClr val="accent1"/>
          </a:solidFill>
          <a:ln w="19050">
            <a:solidFill>
              <a:schemeClr val="lt1"/>
            </a:solidFill>
          </a:ln>
          <a:effectLst/>
        </c:spPr>
      </c:pivotFmt>
      <c:pivotFmt>
        <c:idx val="95"/>
        <c:spPr>
          <a:solidFill>
            <a:schemeClr val="accent2"/>
          </a:solidFill>
          <a:ln w="19050">
            <a:solidFill>
              <a:schemeClr val="lt1"/>
            </a:solidFill>
          </a:ln>
          <a:effectLst/>
        </c:spPr>
      </c:pivotFmt>
      <c:pivotFmt>
        <c:idx val="96"/>
        <c:spPr>
          <a:solidFill>
            <a:schemeClr val="accent3"/>
          </a:solidFill>
          <a:ln w="19050">
            <a:solidFill>
              <a:schemeClr val="lt1"/>
            </a:solidFill>
          </a:ln>
          <a:effectLst/>
        </c:spPr>
      </c:pivotFmt>
      <c:pivotFmt>
        <c:idx val="97"/>
        <c:spPr>
          <a:solidFill>
            <a:schemeClr val="accent4"/>
          </a:solidFill>
          <a:ln w="19050">
            <a:solidFill>
              <a:schemeClr val="lt1"/>
            </a:solidFill>
          </a:ln>
          <a:effectLst/>
        </c:spPr>
      </c:pivotFmt>
      <c:pivotFmt>
        <c:idx val="98"/>
      </c:pivotFmt>
      <c:pivotFmt>
        <c:idx val="99"/>
        <c:spPr>
          <a:solidFill>
            <a:schemeClr val="accent1"/>
          </a:solidFill>
          <a:ln w="19050">
            <a:solidFill>
              <a:schemeClr val="lt1"/>
            </a:solidFill>
          </a:ln>
          <a:effectLst/>
        </c:spPr>
      </c:pivotFmt>
      <c:pivotFmt>
        <c:idx val="100"/>
        <c:spPr>
          <a:solidFill>
            <a:schemeClr val="accent2"/>
          </a:solidFill>
          <a:ln w="19050">
            <a:solidFill>
              <a:schemeClr val="lt1"/>
            </a:solidFill>
          </a:ln>
          <a:effectLst/>
        </c:spPr>
      </c:pivotFmt>
      <c:pivotFmt>
        <c:idx val="101"/>
        <c:spPr>
          <a:solidFill>
            <a:schemeClr val="accent3"/>
          </a:solidFill>
          <a:ln w="19050">
            <a:solidFill>
              <a:schemeClr val="lt1"/>
            </a:solidFill>
          </a:ln>
          <a:effectLst/>
        </c:spPr>
      </c:pivotFmt>
      <c:pivotFmt>
        <c:idx val="102"/>
        <c:spPr>
          <a:solidFill>
            <a:schemeClr val="accent4"/>
          </a:solidFill>
          <a:ln w="19050">
            <a:solidFill>
              <a:schemeClr val="lt1"/>
            </a:solidFill>
          </a:ln>
          <a:effectLst/>
        </c:spPr>
      </c:pivotFmt>
      <c:pivotFmt>
        <c:idx val="103"/>
      </c:pivotFmt>
      <c:pivotFmt>
        <c:idx val="104"/>
        <c:spPr>
          <a:solidFill>
            <a:schemeClr val="accent1"/>
          </a:solidFill>
          <a:ln w="19050">
            <a:solidFill>
              <a:schemeClr val="lt1"/>
            </a:solidFill>
          </a:ln>
          <a:effectLst/>
        </c:spPr>
      </c:pivotFmt>
      <c:pivotFmt>
        <c:idx val="105"/>
        <c:spPr>
          <a:solidFill>
            <a:schemeClr val="accent2"/>
          </a:solidFill>
          <a:ln w="19050">
            <a:solidFill>
              <a:schemeClr val="lt1"/>
            </a:solidFill>
          </a:ln>
          <a:effectLst/>
        </c:spPr>
      </c:pivotFmt>
      <c:pivotFmt>
        <c:idx val="106"/>
        <c:spPr>
          <a:solidFill>
            <a:schemeClr val="accent3"/>
          </a:solidFill>
          <a:ln w="19050">
            <a:solidFill>
              <a:schemeClr val="lt1"/>
            </a:solidFill>
          </a:ln>
          <a:effectLst/>
        </c:spPr>
      </c:pivotFmt>
      <c:pivotFmt>
        <c:idx val="107"/>
        <c:spPr>
          <a:solidFill>
            <a:schemeClr val="accent4"/>
          </a:solidFill>
          <a:ln w="19050">
            <a:solidFill>
              <a:schemeClr val="lt1"/>
            </a:solidFill>
          </a:ln>
          <a:effectLst/>
        </c:spPr>
      </c:pivotFmt>
      <c:pivotFmt>
        <c:idx val="108"/>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09"/>
        <c:spPr>
          <a:solidFill>
            <a:schemeClr val="accent5">
              <a:lumMod val="20000"/>
              <a:lumOff val="80000"/>
            </a:schemeClr>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10"/>
        <c:spPr>
          <a:solidFill>
            <a:srgbClr val="002060"/>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11"/>
        <c:spPr>
          <a:solidFill>
            <a:srgbClr val="0070C0"/>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12"/>
        <c:spPr>
          <a:solidFill>
            <a:schemeClr val="accent5">
              <a:lumMod val="60000"/>
              <a:lumOff val="40000"/>
            </a:schemeClr>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13"/>
      </c:pivotFmt>
      <c:pivotFmt>
        <c:idx val="114"/>
        <c:spPr>
          <a:solidFill>
            <a:schemeClr val="accent1"/>
          </a:solidFill>
          <a:ln w="19050">
            <a:solidFill>
              <a:schemeClr val="lt1"/>
            </a:solidFill>
          </a:ln>
          <a:effectLst/>
        </c:spPr>
      </c:pivotFmt>
      <c:pivotFmt>
        <c:idx val="115"/>
        <c:spPr>
          <a:solidFill>
            <a:schemeClr val="accent2"/>
          </a:solidFill>
          <a:ln w="19050">
            <a:solidFill>
              <a:schemeClr val="lt1"/>
            </a:solidFill>
          </a:ln>
          <a:effectLst/>
        </c:spPr>
      </c:pivotFmt>
      <c:pivotFmt>
        <c:idx val="116"/>
        <c:spPr>
          <a:solidFill>
            <a:schemeClr val="accent3"/>
          </a:solidFill>
          <a:ln w="19050">
            <a:solidFill>
              <a:schemeClr val="lt1"/>
            </a:solidFill>
          </a:ln>
          <a:effectLst/>
        </c:spPr>
      </c:pivotFmt>
      <c:pivotFmt>
        <c:idx val="117"/>
        <c:spPr>
          <a:solidFill>
            <a:schemeClr val="accent4"/>
          </a:solidFill>
          <a:ln w="19050">
            <a:solidFill>
              <a:schemeClr val="lt1"/>
            </a:solidFill>
          </a:ln>
          <a:effectLst/>
        </c:spPr>
      </c:pivotFmt>
      <c:pivotFmt>
        <c:idx val="118"/>
      </c:pivotFmt>
      <c:pivotFmt>
        <c:idx val="119"/>
        <c:spPr>
          <a:solidFill>
            <a:schemeClr val="accent1"/>
          </a:solidFill>
          <a:ln w="19050">
            <a:solidFill>
              <a:schemeClr val="lt1"/>
            </a:solidFill>
          </a:ln>
          <a:effectLst/>
        </c:spPr>
      </c:pivotFmt>
      <c:pivotFmt>
        <c:idx val="120"/>
        <c:spPr>
          <a:solidFill>
            <a:schemeClr val="accent2"/>
          </a:solidFill>
          <a:ln w="19050">
            <a:solidFill>
              <a:schemeClr val="lt1"/>
            </a:solidFill>
          </a:ln>
          <a:effectLst/>
        </c:spPr>
      </c:pivotFmt>
      <c:pivotFmt>
        <c:idx val="121"/>
        <c:spPr>
          <a:solidFill>
            <a:schemeClr val="accent3"/>
          </a:solidFill>
          <a:ln w="19050">
            <a:solidFill>
              <a:schemeClr val="lt1"/>
            </a:solidFill>
          </a:ln>
          <a:effectLst/>
        </c:spPr>
      </c:pivotFmt>
      <c:pivotFmt>
        <c:idx val="122"/>
        <c:spPr>
          <a:solidFill>
            <a:schemeClr val="accent4"/>
          </a:solidFill>
          <a:ln w="19050">
            <a:solidFill>
              <a:schemeClr val="lt1"/>
            </a:solidFill>
          </a:ln>
          <a:effectLst/>
        </c:spPr>
      </c:pivotFmt>
      <c:pivotFmt>
        <c:idx val="123"/>
      </c:pivotFmt>
      <c:pivotFmt>
        <c:idx val="124"/>
        <c:spPr>
          <a:solidFill>
            <a:schemeClr val="accent1"/>
          </a:solidFill>
          <a:ln w="19050">
            <a:solidFill>
              <a:schemeClr val="lt1"/>
            </a:solidFill>
          </a:ln>
          <a:effectLst/>
        </c:spPr>
      </c:pivotFmt>
      <c:pivotFmt>
        <c:idx val="125"/>
        <c:spPr>
          <a:solidFill>
            <a:schemeClr val="accent2"/>
          </a:solidFill>
          <a:ln w="19050">
            <a:solidFill>
              <a:schemeClr val="lt1"/>
            </a:solidFill>
          </a:ln>
          <a:effectLst/>
        </c:spPr>
      </c:pivotFmt>
      <c:pivotFmt>
        <c:idx val="126"/>
        <c:spPr>
          <a:solidFill>
            <a:schemeClr val="accent3"/>
          </a:solidFill>
          <a:ln w="19050">
            <a:solidFill>
              <a:schemeClr val="lt1"/>
            </a:solidFill>
          </a:ln>
          <a:effectLst/>
        </c:spPr>
      </c:pivotFmt>
      <c:pivotFmt>
        <c:idx val="127"/>
        <c:spPr>
          <a:solidFill>
            <a:schemeClr val="accent4"/>
          </a:solidFill>
          <a:ln w="19050">
            <a:solidFill>
              <a:schemeClr val="lt1"/>
            </a:solidFill>
          </a:ln>
          <a:effectLst/>
        </c:spPr>
      </c:pivotFmt>
      <c:pivotFmt>
        <c:idx val="128"/>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29"/>
        <c:spPr>
          <a:solidFill>
            <a:schemeClr val="accent5">
              <a:lumMod val="20000"/>
              <a:lumOff val="80000"/>
            </a:schemeClr>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30"/>
        <c:spPr>
          <a:solidFill>
            <a:srgbClr val="002060"/>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31"/>
        <c:spPr>
          <a:solidFill>
            <a:srgbClr val="0070C0"/>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32"/>
        <c:spPr>
          <a:solidFill>
            <a:schemeClr val="accent5">
              <a:lumMod val="60000"/>
              <a:lumOff val="40000"/>
            </a:schemeClr>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33"/>
      </c:pivotFmt>
      <c:pivotFmt>
        <c:idx val="134"/>
        <c:spPr>
          <a:solidFill>
            <a:schemeClr val="accent1"/>
          </a:solidFill>
          <a:ln w="19050">
            <a:solidFill>
              <a:schemeClr val="lt1"/>
            </a:solidFill>
          </a:ln>
          <a:effectLst/>
        </c:spPr>
      </c:pivotFmt>
      <c:pivotFmt>
        <c:idx val="135"/>
        <c:spPr>
          <a:solidFill>
            <a:schemeClr val="accent2"/>
          </a:solidFill>
          <a:ln w="19050">
            <a:solidFill>
              <a:schemeClr val="lt1"/>
            </a:solidFill>
          </a:ln>
          <a:effectLst/>
        </c:spPr>
      </c:pivotFmt>
      <c:pivotFmt>
        <c:idx val="136"/>
        <c:spPr>
          <a:solidFill>
            <a:schemeClr val="accent3"/>
          </a:solidFill>
          <a:ln w="19050">
            <a:solidFill>
              <a:schemeClr val="lt1"/>
            </a:solidFill>
          </a:ln>
          <a:effectLst/>
        </c:spPr>
      </c:pivotFmt>
      <c:pivotFmt>
        <c:idx val="137"/>
        <c:spPr>
          <a:solidFill>
            <a:schemeClr val="accent4"/>
          </a:solidFill>
          <a:ln w="19050">
            <a:solidFill>
              <a:schemeClr val="lt1"/>
            </a:solidFill>
          </a:ln>
          <a:effectLst/>
        </c:spPr>
      </c:pivotFmt>
      <c:pivotFmt>
        <c:idx val="138"/>
      </c:pivotFmt>
      <c:pivotFmt>
        <c:idx val="139"/>
        <c:spPr>
          <a:solidFill>
            <a:schemeClr val="accent1"/>
          </a:solidFill>
          <a:ln w="19050">
            <a:solidFill>
              <a:schemeClr val="lt1"/>
            </a:solidFill>
          </a:ln>
          <a:effectLst/>
        </c:spPr>
      </c:pivotFmt>
      <c:pivotFmt>
        <c:idx val="140"/>
        <c:spPr>
          <a:solidFill>
            <a:schemeClr val="accent2"/>
          </a:solidFill>
          <a:ln w="19050">
            <a:solidFill>
              <a:schemeClr val="lt1"/>
            </a:solidFill>
          </a:ln>
          <a:effectLst/>
        </c:spPr>
      </c:pivotFmt>
      <c:pivotFmt>
        <c:idx val="141"/>
        <c:spPr>
          <a:solidFill>
            <a:schemeClr val="accent3"/>
          </a:solidFill>
          <a:ln w="19050">
            <a:solidFill>
              <a:schemeClr val="lt1"/>
            </a:solidFill>
          </a:ln>
          <a:effectLst/>
        </c:spPr>
      </c:pivotFmt>
      <c:pivotFmt>
        <c:idx val="142"/>
        <c:spPr>
          <a:solidFill>
            <a:schemeClr val="accent4"/>
          </a:solidFill>
          <a:ln w="19050">
            <a:solidFill>
              <a:schemeClr val="lt1"/>
            </a:solidFill>
          </a:ln>
          <a:effectLst/>
        </c:spPr>
      </c:pivotFmt>
      <c:pivotFmt>
        <c:idx val="143"/>
      </c:pivotFmt>
      <c:pivotFmt>
        <c:idx val="144"/>
        <c:spPr>
          <a:solidFill>
            <a:schemeClr val="accent1"/>
          </a:solidFill>
          <a:ln w="19050">
            <a:solidFill>
              <a:schemeClr val="lt1"/>
            </a:solidFill>
          </a:ln>
          <a:effectLst/>
        </c:spPr>
      </c:pivotFmt>
      <c:pivotFmt>
        <c:idx val="145"/>
        <c:spPr>
          <a:solidFill>
            <a:schemeClr val="accent2"/>
          </a:solidFill>
          <a:ln w="19050">
            <a:solidFill>
              <a:schemeClr val="lt1"/>
            </a:solidFill>
          </a:ln>
          <a:effectLst/>
        </c:spPr>
      </c:pivotFmt>
      <c:pivotFmt>
        <c:idx val="146"/>
        <c:spPr>
          <a:solidFill>
            <a:schemeClr val="accent3"/>
          </a:solidFill>
          <a:ln w="19050">
            <a:solidFill>
              <a:schemeClr val="lt1"/>
            </a:solidFill>
          </a:ln>
          <a:effectLst/>
        </c:spPr>
      </c:pivotFmt>
      <c:pivotFmt>
        <c:idx val="147"/>
        <c:spPr>
          <a:solidFill>
            <a:schemeClr val="accent4"/>
          </a:solidFill>
          <a:ln w="19050">
            <a:solidFill>
              <a:schemeClr val="lt1"/>
            </a:solidFill>
          </a:ln>
          <a:effectLst/>
        </c:spPr>
      </c:pivotFmt>
      <c:pivotFmt>
        <c:idx val="148"/>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49"/>
        <c:spPr>
          <a:solidFill>
            <a:schemeClr val="accent5">
              <a:lumMod val="20000"/>
              <a:lumOff val="80000"/>
            </a:schemeClr>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50"/>
        <c:spPr>
          <a:solidFill>
            <a:srgbClr val="002060"/>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51"/>
        <c:spPr>
          <a:solidFill>
            <a:srgbClr val="0070C0"/>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52"/>
        <c:spPr>
          <a:solidFill>
            <a:schemeClr val="accent5">
              <a:lumMod val="60000"/>
              <a:lumOff val="40000"/>
            </a:schemeClr>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53"/>
      </c:pivotFmt>
      <c:pivotFmt>
        <c:idx val="154"/>
        <c:spPr>
          <a:solidFill>
            <a:schemeClr val="accent1"/>
          </a:solidFill>
          <a:ln w="19050">
            <a:solidFill>
              <a:schemeClr val="lt1"/>
            </a:solidFill>
          </a:ln>
          <a:effectLst/>
        </c:spPr>
      </c:pivotFmt>
      <c:pivotFmt>
        <c:idx val="155"/>
        <c:spPr>
          <a:solidFill>
            <a:schemeClr val="accent2"/>
          </a:solidFill>
          <a:ln w="19050">
            <a:solidFill>
              <a:schemeClr val="lt1"/>
            </a:solidFill>
          </a:ln>
          <a:effectLst/>
        </c:spPr>
      </c:pivotFmt>
      <c:pivotFmt>
        <c:idx val="156"/>
        <c:spPr>
          <a:solidFill>
            <a:schemeClr val="accent3"/>
          </a:solidFill>
          <a:ln w="19050">
            <a:solidFill>
              <a:schemeClr val="lt1"/>
            </a:solidFill>
          </a:ln>
          <a:effectLst/>
        </c:spPr>
      </c:pivotFmt>
      <c:pivotFmt>
        <c:idx val="157"/>
        <c:spPr>
          <a:solidFill>
            <a:schemeClr val="accent4"/>
          </a:solidFill>
          <a:ln w="19050">
            <a:solidFill>
              <a:schemeClr val="lt1"/>
            </a:solidFill>
          </a:ln>
          <a:effectLst/>
        </c:spPr>
      </c:pivotFmt>
      <c:pivotFmt>
        <c:idx val="158"/>
      </c:pivotFmt>
      <c:pivotFmt>
        <c:idx val="159"/>
        <c:spPr>
          <a:solidFill>
            <a:schemeClr val="accent1"/>
          </a:solidFill>
          <a:ln w="19050">
            <a:solidFill>
              <a:schemeClr val="lt1"/>
            </a:solidFill>
          </a:ln>
          <a:effectLst/>
        </c:spPr>
      </c:pivotFmt>
      <c:pivotFmt>
        <c:idx val="160"/>
        <c:spPr>
          <a:solidFill>
            <a:schemeClr val="accent2"/>
          </a:solidFill>
          <a:ln w="19050">
            <a:solidFill>
              <a:schemeClr val="lt1"/>
            </a:solidFill>
          </a:ln>
          <a:effectLst/>
        </c:spPr>
      </c:pivotFmt>
      <c:pivotFmt>
        <c:idx val="161"/>
        <c:spPr>
          <a:solidFill>
            <a:schemeClr val="accent3"/>
          </a:solidFill>
          <a:ln w="19050">
            <a:solidFill>
              <a:schemeClr val="lt1"/>
            </a:solidFill>
          </a:ln>
          <a:effectLst/>
        </c:spPr>
      </c:pivotFmt>
      <c:pivotFmt>
        <c:idx val="162"/>
        <c:spPr>
          <a:solidFill>
            <a:schemeClr val="accent4"/>
          </a:solidFill>
          <a:ln w="19050">
            <a:solidFill>
              <a:schemeClr val="lt1"/>
            </a:solidFill>
          </a:ln>
          <a:effectLst/>
        </c:spPr>
      </c:pivotFmt>
      <c:pivotFmt>
        <c:idx val="163"/>
      </c:pivotFmt>
      <c:pivotFmt>
        <c:idx val="164"/>
        <c:spPr>
          <a:solidFill>
            <a:schemeClr val="accent1"/>
          </a:solidFill>
          <a:ln w="19050">
            <a:solidFill>
              <a:schemeClr val="lt1"/>
            </a:solidFill>
          </a:ln>
          <a:effectLst/>
        </c:spPr>
      </c:pivotFmt>
      <c:pivotFmt>
        <c:idx val="165"/>
        <c:spPr>
          <a:solidFill>
            <a:schemeClr val="accent2"/>
          </a:solidFill>
          <a:ln w="19050">
            <a:solidFill>
              <a:schemeClr val="lt1"/>
            </a:solidFill>
          </a:ln>
          <a:effectLst/>
        </c:spPr>
      </c:pivotFmt>
      <c:pivotFmt>
        <c:idx val="166"/>
        <c:spPr>
          <a:solidFill>
            <a:schemeClr val="accent3"/>
          </a:solidFill>
          <a:ln w="19050">
            <a:solidFill>
              <a:schemeClr val="lt1"/>
            </a:solidFill>
          </a:ln>
          <a:effectLst/>
        </c:spPr>
      </c:pivotFmt>
      <c:pivotFmt>
        <c:idx val="167"/>
        <c:spPr>
          <a:solidFill>
            <a:schemeClr val="accent4"/>
          </a:solidFill>
          <a:ln w="19050">
            <a:solidFill>
              <a:schemeClr val="lt1"/>
            </a:solidFill>
          </a:ln>
          <a:effectLst/>
        </c:spPr>
      </c:pivotFmt>
      <c:pivotFmt>
        <c:idx val="168"/>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
      </c:pivotFmt>
      <c:pivotFmt>
        <c:idx val="169"/>
        <c:spPr>
          <a:solidFill>
            <a:schemeClr val="accent5">
              <a:lumMod val="20000"/>
              <a:lumOff val="80000"/>
            </a:schemeClr>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
      </c:pivotFmt>
      <c:pivotFmt>
        <c:idx val="170"/>
        <c:spPr>
          <a:solidFill>
            <a:srgbClr val="002060"/>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
      </c:pivotFmt>
      <c:pivotFmt>
        <c:idx val="171"/>
        <c:spPr>
          <a:solidFill>
            <a:srgbClr val="0070C0"/>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
      </c:pivotFmt>
      <c:pivotFmt>
        <c:idx val="172"/>
        <c:spPr>
          <a:solidFill>
            <a:schemeClr val="accent5">
              <a:lumMod val="60000"/>
              <a:lumOff val="40000"/>
            </a:schemeClr>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
      </c:pivotFmt>
      <c:pivotFmt>
        <c:idx val="173"/>
      </c:pivotFmt>
      <c:pivotFmt>
        <c:idx val="174"/>
        <c:spPr>
          <a:solidFill>
            <a:schemeClr val="accent1"/>
          </a:solidFill>
          <a:ln w="19050">
            <a:solidFill>
              <a:schemeClr val="lt1"/>
            </a:solidFill>
          </a:ln>
          <a:effectLst/>
        </c:spPr>
      </c:pivotFmt>
      <c:pivotFmt>
        <c:idx val="175"/>
        <c:spPr>
          <a:solidFill>
            <a:schemeClr val="accent2"/>
          </a:solidFill>
          <a:ln w="19050">
            <a:solidFill>
              <a:schemeClr val="lt1"/>
            </a:solidFill>
          </a:ln>
          <a:effectLst/>
        </c:spPr>
      </c:pivotFmt>
      <c:pivotFmt>
        <c:idx val="176"/>
        <c:spPr>
          <a:solidFill>
            <a:schemeClr val="accent3"/>
          </a:solidFill>
          <a:ln w="19050">
            <a:solidFill>
              <a:schemeClr val="lt1"/>
            </a:solidFill>
          </a:ln>
          <a:effectLst/>
        </c:spPr>
      </c:pivotFmt>
      <c:pivotFmt>
        <c:idx val="177"/>
        <c:spPr>
          <a:solidFill>
            <a:schemeClr val="accent4"/>
          </a:solidFill>
          <a:ln w="19050">
            <a:solidFill>
              <a:schemeClr val="lt1"/>
            </a:solidFill>
          </a:ln>
          <a:effectLst/>
        </c:spPr>
      </c:pivotFmt>
      <c:pivotFmt>
        <c:idx val="178"/>
      </c:pivotFmt>
      <c:pivotFmt>
        <c:idx val="179"/>
        <c:spPr>
          <a:solidFill>
            <a:schemeClr val="accent1"/>
          </a:solidFill>
          <a:ln w="19050">
            <a:solidFill>
              <a:schemeClr val="lt1"/>
            </a:solidFill>
          </a:ln>
          <a:effectLst/>
        </c:spPr>
      </c:pivotFmt>
      <c:pivotFmt>
        <c:idx val="180"/>
        <c:spPr>
          <a:solidFill>
            <a:schemeClr val="accent2"/>
          </a:solidFill>
          <a:ln w="19050">
            <a:solidFill>
              <a:schemeClr val="lt1"/>
            </a:solidFill>
          </a:ln>
          <a:effectLst/>
        </c:spPr>
      </c:pivotFmt>
      <c:pivotFmt>
        <c:idx val="181"/>
        <c:spPr>
          <a:solidFill>
            <a:schemeClr val="accent3"/>
          </a:solidFill>
          <a:ln w="19050">
            <a:solidFill>
              <a:schemeClr val="lt1"/>
            </a:solidFill>
          </a:ln>
          <a:effectLst/>
        </c:spPr>
      </c:pivotFmt>
      <c:pivotFmt>
        <c:idx val="182"/>
        <c:spPr>
          <a:solidFill>
            <a:schemeClr val="accent4"/>
          </a:solidFill>
          <a:ln w="19050">
            <a:solidFill>
              <a:schemeClr val="lt1"/>
            </a:solidFill>
          </a:ln>
          <a:effectLst/>
        </c:spPr>
      </c:pivotFmt>
      <c:pivotFmt>
        <c:idx val="183"/>
      </c:pivotFmt>
      <c:pivotFmt>
        <c:idx val="184"/>
        <c:spPr>
          <a:solidFill>
            <a:schemeClr val="accent1"/>
          </a:solidFill>
          <a:ln w="19050">
            <a:solidFill>
              <a:schemeClr val="lt1"/>
            </a:solidFill>
          </a:ln>
          <a:effectLst/>
        </c:spPr>
      </c:pivotFmt>
      <c:pivotFmt>
        <c:idx val="185"/>
        <c:spPr>
          <a:solidFill>
            <a:schemeClr val="accent2"/>
          </a:solidFill>
          <a:ln w="19050">
            <a:solidFill>
              <a:schemeClr val="lt1"/>
            </a:solidFill>
          </a:ln>
          <a:effectLst/>
        </c:spPr>
      </c:pivotFmt>
      <c:pivotFmt>
        <c:idx val="186"/>
        <c:spPr>
          <a:solidFill>
            <a:schemeClr val="accent3"/>
          </a:solidFill>
          <a:ln w="19050">
            <a:solidFill>
              <a:schemeClr val="lt1"/>
            </a:solidFill>
          </a:ln>
          <a:effectLst/>
        </c:spPr>
      </c:pivotFmt>
      <c:pivotFmt>
        <c:idx val="187"/>
        <c:spPr>
          <a:solidFill>
            <a:schemeClr val="accent4"/>
          </a:solidFill>
          <a:ln w="19050">
            <a:solidFill>
              <a:schemeClr val="lt1"/>
            </a:solidFill>
          </a:ln>
          <a:effectLst/>
        </c:spPr>
      </c:pivotFmt>
      <c:pivotFmt>
        <c:idx val="188"/>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
      </c:pivotFmt>
      <c:pivotFmt>
        <c:idx val="189"/>
        <c:spPr>
          <a:solidFill>
            <a:schemeClr val="accent5">
              <a:lumMod val="20000"/>
              <a:lumOff val="80000"/>
            </a:schemeClr>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
      </c:pivotFmt>
      <c:pivotFmt>
        <c:idx val="190"/>
        <c:spPr>
          <a:solidFill>
            <a:srgbClr val="002060"/>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
      </c:pivotFmt>
      <c:pivotFmt>
        <c:idx val="191"/>
        <c:spPr>
          <a:solidFill>
            <a:srgbClr val="0070C0"/>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
      </c:pivotFmt>
      <c:pivotFmt>
        <c:idx val="192"/>
        <c:spPr>
          <a:solidFill>
            <a:schemeClr val="accent5">
              <a:lumMod val="60000"/>
              <a:lumOff val="40000"/>
            </a:schemeClr>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
      </c:pivotFmt>
      <c:pivotFmt>
        <c:idx val="193"/>
      </c:pivotFmt>
      <c:pivotFmt>
        <c:idx val="194"/>
        <c:spPr>
          <a:solidFill>
            <a:schemeClr val="accent1"/>
          </a:solidFill>
          <a:ln w="19050">
            <a:solidFill>
              <a:schemeClr val="lt1"/>
            </a:solidFill>
          </a:ln>
          <a:effectLst/>
        </c:spPr>
      </c:pivotFmt>
      <c:pivotFmt>
        <c:idx val="195"/>
        <c:spPr>
          <a:solidFill>
            <a:schemeClr val="accent2"/>
          </a:solidFill>
          <a:ln w="19050">
            <a:solidFill>
              <a:schemeClr val="lt1"/>
            </a:solidFill>
          </a:ln>
          <a:effectLst/>
        </c:spPr>
      </c:pivotFmt>
      <c:pivotFmt>
        <c:idx val="196"/>
        <c:spPr>
          <a:solidFill>
            <a:schemeClr val="accent3"/>
          </a:solidFill>
          <a:ln w="19050">
            <a:solidFill>
              <a:schemeClr val="lt1"/>
            </a:solidFill>
          </a:ln>
          <a:effectLst/>
        </c:spPr>
      </c:pivotFmt>
      <c:pivotFmt>
        <c:idx val="197"/>
        <c:spPr>
          <a:solidFill>
            <a:schemeClr val="accent4"/>
          </a:solidFill>
          <a:ln w="19050">
            <a:solidFill>
              <a:schemeClr val="lt1"/>
            </a:solidFill>
          </a:ln>
          <a:effectLst/>
        </c:spPr>
      </c:pivotFmt>
      <c:pivotFmt>
        <c:idx val="198"/>
      </c:pivotFmt>
      <c:pivotFmt>
        <c:idx val="199"/>
        <c:spPr>
          <a:solidFill>
            <a:schemeClr val="accent1"/>
          </a:solidFill>
          <a:ln w="19050">
            <a:solidFill>
              <a:schemeClr val="lt1"/>
            </a:solidFill>
          </a:ln>
          <a:effectLst/>
        </c:spPr>
      </c:pivotFmt>
      <c:pivotFmt>
        <c:idx val="200"/>
        <c:spPr>
          <a:solidFill>
            <a:schemeClr val="accent2"/>
          </a:solidFill>
          <a:ln w="19050">
            <a:solidFill>
              <a:schemeClr val="lt1"/>
            </a:solidFill>
          </a:ln>
          <a:effectLst/>
        </c:spPr>
      </c:pivotFmt>
      <c:pivotFmt>
        <c:idx val="201"/>
        <c:spPr>
          <a:solidFill>
            <a:schemeClr val="accent3"/>
          </a:solidFill>
          <a:ln w="19050">
            <a:solidFill>
              <a:schemeClr val="lt1"/>
            </a:solidFill>
          </a:ln>
          <a:effectLst/>
        </c:spPr>
      </c:pivotFmt>
      <c:pivotFmt>
        <c:idx val="202"/>
        <c:spPr>
          <a:solidFill>
            <a:schemeClr val="accent4"/>
          </a:solidFill>
          <a:ln w="19050">
            <a:solidFill>
              <a:schemeClr val="lt1"/>
            </a:solidFill>
          </a:ln>
          <a:effectLst/>
        </c:spPr>
      </c:pivotFmt>
      <c:pivotFmt>
        <c:idx val="203"/>
      </c:pivotFmt>
      <c:pivotFmt>
        <c:idx val="204"/>
        <c:spPr>
          <a:solidFill>
            <a:schemeClr val="accent1"/>
          </a:solidFill>
          <a:ln w="19050">
            <a:solidFill>
              <a:schemeClr val="lt1"/>
            </a:solidFill>
          </a:ln>
          <a:effectLst/>
        </c:spPr>
      </c:pivotFmt>
      <c:pivotFmt>
        <c:idx val="205"/>
        <c:spPr>
          <a:solidFill>
            <a:schemeClr val="accent2"/>
          </a:solidFill>
          <a:ln w="19050">
            <a:solidFill>
              <a:schemeClr val="lt1"/>
            </a:solidFill>
          </a:ln>
          <a:effectLst/>
        </c:spPr>
      </c:pivotFmt>
      <c:pivotFmt>
        <c:idx val="206"/>
        <c:spPr>
          <a:solidFill>
            <a:schemeClr val="accent3"/>
          </a:solidFill>
          <a:ln w="19050">
            <a:solidFill>
              <a:schemeClr val="lt1"/>
            </a:solidFill>
          </a:ln>
          <a:effectLst/>
        </c:spPr>
      </c:pivotFmt>
      <c:pivotFmt>
        <c:idx val="207"/>
        <c:spPr>
          <a:solidFill>
            <a:schemeClr val="accent4"/>
          </a:solidFill>
          <a:ln w="19050">
            <a:solidFill>
              <a:schemeClr val="lt1"/>
            </a:solidFill>
          </a:ln>
          <a:effectLst/>
        </c:spPr>
      </c:pivotFmt>
      <c:pivotFmt>
        <c:idx val="208"/>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
      </c:pivotFmt>
      <c:pivotFmt>
        <c:idx val="209"/>
        <c:spPr>
          <a:solidFill>
            <a:schemeClr val="accent5">
              <a:lumMod val="20000"/>
              <a:lumOff val="80000"/>
            </a:schemeClr>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
      </c:pivotFmt>
      <c:pivotFmt>
        <c:idx val="210"/>
        <c:spPr>
          <a:solidFill>
            <a:srgbClr val="002060"/>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
      </c:pivotFmt>
      <c:pivotFmt>
        <c:idx val="211"/>
        <c:spPr>
          <a:solidFill>
            <a:srgbClr val="0070C0"/>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
      </c:pivotFmt>
      <c:pivotFmt>
        <c:idx val="212"/>
        <c:spPr>
          <a:solidFill>
            <a:schemeClr val="accent5">
              <a:lumMod val="60000"/>
              <a:lumOff val="40000"/>
            </a:schemeClr>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
      </c:pivotFmt>
      <c:pivotFmt>
        <c:idx val="213"/>
      </c:pivotFmt>
      <c:pivotFmt>
        <c:idx val="214"/>
        <c:spPr>
          <a:solidFill>
            <a:schemeClr val="accent1"/>
          </a:solidFill>
          <a:ln w="19050">
            <a:solidFill>
              <a:schemeClr val="lt1"/>
            </a:solidFill>
          </a:ln>
          <a:effectLst/>
        </c:spPr>
      </c:pivotFmt>
      <c:pivotFmt>
        <c:idx val="215"/>
        <c:spPr>
          <a:solidFill>
            <a:schemeClr val="accent2"/>
          </a:solidFill>
          <a:ln w="19050">
            <a:solidFill>
              <a:schemeClr val="lt1"/>
            </a:solidFill>
          </a:ln>
          <a:effectLst/>
        </c:spPr>
      </c:pivotFmt>
      <c:pivotFmt>
        <c:idx val="216"/>
        <c:spPr>
          <a:solidFill>
            <a:schemeClr val="accent3"/>
          </a:solidFill>
          <a:ln w="19050">
            <a:solidFill>
              <a:schemeClr val="lt1"/>
            </a:solidFill>
          </a:ln>
          <a:effectLst/>
        </c:spPr>
      </c:pivotFmt>
      <c:pivotFmt>
        <c:idx val="217"/>
        <c:spPr>
          <a:solidFill>
            <a:schemeClr val="accent4"/>
          </a:solidFill>
          <a:ln w="19050">
            <a:solidFill>
              <a:schemeClr val="lt1"/>
            </a:solidFill>
          </a:ln>
          <a:effectLst/>
        </c:spPr>
      </c:pivotFmt>
      <c:pivotFmt>
        <c:idx val="218"/>
      </c:pivotFmt>
      <c:pivotFmt>
        <c:idx val="219"/>
        <c:spPr>
          <a:solidFill>
            <a:schemeClr val="accent1"/>
          </a:solidFill>
          <a:ln w="19050">
            <a:solidFill>
              <a:schemeClr val="lt1"/>
            </a:solidFill>
          </a:ln>
          <a:effectLst/>
        </c:spPr>
      </c:pivotFmt>
      <c:pivotFmt>
        <c:idx val="220"/>
        <c:spPr>
          <a:solidFill>
            <a:schemeClr val="accent2"/>
          </a:solidFill>
          <a:ln w="19050">
            <a:solidFill>
              <a:schemeClr val="lt1"/>
            </a:solidFill>
          </a:ln>
          <a:effectLst/>
        </c:spPr>
      </c:pivotFmt>
      <c:pivotFmt>
        <c:idx val="221"/>
        <c:spPr>
          <a:solidFill>
            <a:schemeClr val="accent3"/>
          </a:solidFill>
          <a:ln w="19050">
            <a:solidFill>
              <a:schemeClr val="lt1"/>
            </a:solidFill>
          </a:ln>
          <a:effectLst/>
        </c:spPr>
      </c:pivotFmt>
      <c:pivotFmt>
        <c:idx val="222"/>
        <c:spPr>
          <a:solidFill>
            <a:schemeClr val="accent4"/>
          </a:solidFill>
          <a:ln w="19050">
            <a:solidFill>
              <a:schemeClr val="lt1"/>
            </a:solidFill>
          </a:ln>
          <a:effectLst/>
        </c:spPr>
      </c:pivotFmt>
      <c:pivotFmt>
        <c:idx val="223"/>
      </c:pivotFmt>
      <c:pivotFmt>
        <c:idx val="224"/>
        <c:spPr>
          <a:solidFill>
            <a:schemeClr val="accent1"/>
          </a:solidFill>
          <a:ln w="19050">
            <a:solidFill>
              <a:schemeClr val="lt1"/>
            </a:solidFill>
          </a:ln>
          <a:effectLst/>
        </c:spPr>
      </c:pivotFmt>
      <c:pivotFmt>
        <c:idx val="225"/>
        <c:spPr>
          <a:solidFill>
            <a:schemeClr val="accent2"/>
          </a:solidFill>
          <a:ln w="19050">
            <a:solidFill>
              <a:schemeClr val="lt1"/>
            </a:solidFill>
          </a:ln>
          <a:effectLst/>
        </c:spPr>
      </c:pivotFmt>
      <c:pivotFmt>
        <c:idx val="226"/>
        <c:spPr>
          <a:solidFill>
            <a:schemeClr val="accent3"/>
          </a:solidFill>
          <a:ln w="19050">
            <a:solidFill>
              <a:schemeClr val="lt1"/>
            </a:solidFill>
          </a:ln>
          <a:effectLst/>
        </c:spPr>
      </c:pivotFmt>
      <c:pivotFmt>
        <c:idx val="227"/>
        <c:spPr>
          <a:solidFill>
            <a:schemeClr val="accent4"/>
          </a:solidFill>
          <a:ln w="19050">
            <a:solidFill>
              <a:schemeClr val="lt1"/>
            </a:solidFill>
          </a:ln>
          <a:effectLst/>
        </c:spPr>
      </c:pivotFmt>
      <c:pivotFmt>
        <c:idx val="228"/>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
      </c:pivotFmt>
      <c:pivotFmt>
        <c:idx val="229"/>
        <c:spPr>
          <a:solidFill>
            <a:schemeClr val="accent5">
              <a:lumMod val="20000"/>
              <a:lumOff val="80000"/>
            </a:schemeClr>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
      </c:pivotFmt>
      <c:pivotFmt>
        <c:idx val="230"/>
        <c:spPr>
          <a:solidFill>
            <a:srgbClr val="002060"/>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
      </c:pivotFmt>
      <c:pivotFmt>
        <c:idx val="231"/>
        <c:spPr>
          <a:solidFill>
            <a:srgbClr val="0070C0"/>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
      </c:pivotFmt>
      <c:pivotFmt>
        <c:idx val="232"/>
        <c:spPr>
          <a:solidFill>
            <a:schemeClr val="accent5">
              <a:lumMod val="60000"/>
              <a:lumOff val="40000"/>
            </a:schemeClr>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
      </c:pivotFmt>
      <c:pivotFmt>
        <c:idx val="233"/>
      </c:pivotFmt>
      <c:pivotFmt>
        <c:idx val="234"/>
        <c:spPr>
          <a:solidFill>
            <a:schemeClr val="accent1"/>
          </a:solidFill>
          <a:ln w="19050">
            <a:solidFill>
              <a:schemeClr val="lt1"/>
            </a:solidFill>
          </a:ln>
          <a:effectLst/>
        </c:spPr>
      </c:pivotFmt>
      <c:pivotFmt>
        <c:idx val="235"/>
        <c:spPr>
          <a:solidFill>
            <a:schemeClr val="accent2"/>
          </a:solidFill>
          <a:ln w="19050">
            <a:solidFill>
              <a:schemeClr val="lt1"/>
            </a:solidFill>
          </a:ln>
          <a:effectLst/>
        </c:spPr>
      </c:pivotFmt>
      <c:pivotFmt>
        <c:idx val="236"/>
        <c:spPr>
          <a:solidFill>
            <a:schemeClr val="accent3"/>
          </a:solidFill>
          <a:ln w="19050">
            <a:solidFill>
              <a:schemeClr val="lt1"/>
            </a:solidFill>
          </a:ln>
          <a:effectLst/>
        </c:spPr>
      </c:pivotFmt>
      <c:pivotFmt>
        <c:idx val="237"/>
        <c:spPr>
          <a:solidFill>
            <a:schemeClr val="accent4"/>
          </a:solidFill>
          <a:ln w="19050">
            <a:solidFill>
              <a:schemeClr val="lt1"/>
            </a:solidFill>
          </a:ln>
          <a:effectLst/>
        </c:spPr>
      </c:pivotFmt>
      <c:pivotFmt>
        <c:idx val="238"/>
      </c:pivotFmt>
      <c:pivotFmt>
        <c:idx val="239"/>
        <c:spPr>
          <a:solidFill>
            <a:schemeClr val="accent1"/>
          </a:solidFill>
          <a:ln w="19050">
            <a:solidFill>
              <a:schemeClr val="lt1"/>
            </a:solidFill>
          </a:ln>
          <a:effectLst/>
        </c:spPr>
      </c:pivotFmt>
      <c:pivotFmt>
        <c:idx val="240"/>
        <c:spPr>
          <a:solidFill>
            <a:schemeClr val="accent2"/>
          </a:solidFill>
          <a:ln w="19050">
            <a:solidFill>
              <a:schemeClr val="lt1"/>
            </a:solidFill>
          </a:ln>
          <a:effectLst/>
        </c:spPr>
      </c:pivotFmt>
      <c:pivotFmt>
        <c:idx val="241"/>
        <c:spPr>
          <a:solidFill>
            <a:schemeClr val="accent3"/>
          </a:solidFill>
          <a:ln w="19050">
            <a:solidFill>
              <a:schemeClr val="lt1"/>
            </a:solidFill>
          </a:ln>
          <a:effectLst/>
        </c:spPr>
      </c:pivotFmt>
      <c:pivotFmt>
        <c:idx val="242"/>
        <c:spPr>
          <a:solidFill>
            <a:schemeClr val="accent4"/>
          </a:solidFill>
          <a:ln w="19050">
            <a:solidFill>
              <a:schemeClr val="lt1"/>
            </a:solidFill>
          </a:ln>
          <a:effectLst/>
        </c:spPr>
      </c:pivotFmt>
      <c:pivotFmt>
        <c:idx val="243"/>
      </c:pivotFmt>
      <c:pivotFmt>
        <c:idx val="244"/>
        <c:spPr>
          <a:solidFill>
            <a:schemeClr val="accent1"/>
          </a:solidFill>
          <a:ln w="19050">
            <a:solidFill>
              <a:schemeClr val="lt1"/>
            </a:solidFill>
          </a:ln>
          <a:effectLst/>
        </c:spPr>
      </c:pivotFmt>
      <c:pivotFmt>
        <c:idx val="245"/>
        <c:spPr>
          <a:solidFill>
            <a:schemeClr val="accent2"/>
          </a:solidFill>
          <a:ln w="19050">
            <a:solidFill>
              <a:schemeClr val="lt1"/>
            </a:solidFill>
          </a:ln>
          <a:effectLst/>
        </c:spPr>
      </c:pivotFmt>
      <c:pivotFmt>
        <c:idx val="246"/>
        <c:spPr>
          <a:solidFill>
            <a:schemeClr val="accent3"/>
          </a:solidFill>
          <a:ln w="19050">
            <a:solidFill>
              <a:schemeClr val="lt1"/>
            </a:solidFill>
          </a:ln>
          <a:effectLst/>
        </c:spPr>
      </c:pivotFmt>
      <c:pivotFmt>
        <c:idx val="247"/>
        <c:spPr>
          <a:solidFill>
            <a:schemeClr val="accent4"/>
          </a:solidFill>
          <a:ln w="19050">
            <a:solidFill>
              <a:schemeClr val="lt1"/>
            </a:solidFill>
          </a:ln>
          <a:effectLst/>
        </c:spPr>
      </c:pivotFmt>
      <c:pivotFmt>
        <c:idx val="248"/>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
      </c:pivotFmt>
      <c:pivotFmt>
        <c:idx val="249"/>
        <c:spPr>
          <a:solidFill>
            <a:schemeClr val="accent5">
              <a:lumMod val="20000"/>
              <a:lumOff val="80000"/>
            </a:schemeClr>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
      </c:pivotFmt>
      <c:pivotFmt>
        <c:idx val="250"/>
        <c:spPr>
          <a:solidFill>
            <a:srgbClr val="002060"/>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
      </c:pivotFmt>
      <c:pivotFmt>
        <c:idx val="251"/>
        <c:spPr>
          <a:solidFill>
            <a:srgbClr val="0070C0"/>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
      </c:pivotFmt>
      <c:pivotFmt>
        <c:idx val="252"/>
        <c:spPr>
          <a:solidFill>
            <a:schemeClr val="accent5">
              <a:lumMod val="60000"/>
              <a:lumOff val="40000"/>
            </a:schemeClr>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
      </c:pivotFmt>
      <c:pivotFmt>
        <c:idx val="253"/>
      </c:pivotFmt>
      <c:pivotFmt>
        <c:idx val="254"/>
        <c:spPr>
          <a:solidFill>
            <a:schemeClr val="accent1"/>
          </a:solidFill>
          <a:ln w="19050">
            <a:solidFill>
              <a:schemeClr val="lt1"/>
            </a:solidFill>
          </a:ln>
          <a:effectLst/>
        </c:spPr>
      </c:pivotFmt>
      <c:pivotFmt>
        <c:idx val="255"/>
        <c:spPr>
          <a:solidFill>
            <a:schemeClr val="accent2"/>
          </a:solidFill>
          <a:ln w="19050">
            <a:solidFill>
              <a:schemeClr val="lt1"/>
            </a:solidFill>
          </a:ln>
          <a:effectLst/>
        </c:spPr>
      </c:pivotFmt>
      <c:pivotFmt>
        <c:idx val="256"/>
        <c:spPr>
          <a:solidFill>
            <a:schemeClr val="accent3"/>
          </a:solidFill>
          <a:ln w="19050">
            <a:solidFill>
              <a:schemeClr val="lt1"/>
            </a:solidFill>
          </a:ln>
          <a:effectLst/>
        </c:spPr>
      </c:pivotFmt>
      <c:pivotFmt>
        <c:idx val="257"/>
        <c:spPr>
          <a:solidFill>
            <a:schemeClr val="accent4"/>
          </a:solidFill>
          <a:ln w="19050">
            <a:solidFill>
              <a:schemeClr val="lt1"/>
            </a:solidFill>
          </a:ln>
          <a:effectLst/>
        </c:spPr>
      </c:pivotFmt>
      <c:pivotFmt>
        <c:idx val="258"/>
      </c:pivotFmt>
      <c:pivotFmt>
        <c:idx val="259"/>
        <c:spPr>
          <a:solidFill>
            <a:schemeClr val="accent1"/>
          </a:solidFill>
          <a:ln w="19050">
            <a:solidFill>
              <a:schemeClr val="lt1"/>
            </a:solidFill>
          </a:ln>
          <a:effectLst/>
        </c:spPr>
      </c:pivotFmt>
      <c:pivotFmt>
        <c:idx val="260"/>
        <c:spPr>
          <a:solidFill>
            <a:schemeClr val="accent2"/>
          </a:solidFill>
          <a:ln w="19050">
            <a:solidFill>
              <a:schemeClr val="lt1"/>
            </a:solidFill>
          </a:ln>
          <a:effectLst/>
        </c:spPr>
      </c:pivotFmt>
      <c:pivotFmt>
        <c:idx val="261"/>
        <c:spPr>
          <a:solidFill>
            <a:schemeClr val="accent3"/>
          </a:solidFill>
          <a:ln w="19050">
            <a:solidFill>
              <a:schemeClr val="lt1"/>
            </a:solidFill>
          </a:ln>
          <a:effectLst/>
        </c:spPr>
      </c:pivotFmt>
      <c:pivotFmt>
        <c:idx val="262"/>
        <c:spPr>
          <a:solidFill>
            <a:schemeClr val="accent4"/>
          </a:solidFill>
          <a:ln w="19050">
            <a:solidFill>
              <a:schemeClr val="lt1"/>
            </a:solidFill>
          </a:ln>
          <a:effectLst/>
        </c:spPr>
      </c:pivotFmt>
      <c:pivotFmt>
        <c:idx val="263"/>
      </c:pivotFmt>
      <c:pivotFmt>
        <c:idx val="264"/>
        <c:spPr>
          <a:solidFill>
            <a:schemeClr val="accent1"/>
          </a:solidFill>
          <a:ln w="19050">
            <a:solidFill>
              <a:schemeClr val="lt1"/>
            </a:solidFill>
          </a:ln>
          <a:effectLst/>
        </c:spPr>
      </c:pivotFmt>
      <c:pivotFmt>
        <c:idx val="265"/>
        <c:spPr>
          <a:solidFill>
            <a:schemeClr val="accent2"/>
          </a:solidFill>
          <a:ln w="19050">
            <a:solidFill>
              <a:schemeClr val="lt1"/>
            </a:solidFill>
          </a:ln>
          <a:effectLst/>
        </c:spPr>
      </c:pivotFmt>
      <c:pivotFmt>
        <c:idx val="266"/>
        <c:spPr>
          <a:solidFill>
            <a:schemeClr val="accent3"/>
          </a:solidFill>
          <a:ln w="19050">
            <a:solidFill>
              <a:schemeClr val="lt1"/>
            </a:solidFill>
          </a:ln>
          <a:effectLst/>
        </c:spPr>
      </c:pivotFmt>
      <c:pivotFmt>
        <c:idx val="267"/>
        <c:spPr>
          <a:solidFill>
            <a:schemeClr val="accent4"/>
          </a:solidFill>
          <a:ln w="19050">
            <a:solidFill>
              <a:schemeClr val="lt1"/>
            </a:solidFill>
          </a:ln>
          <a:effectLst/>
        </c:spPr>
      </c:pivotFmt>
      <c:pivotFmt>
        <c:idx val="268"/>
        <c:marker>
          <c:symbol val="none"/>
        </c:marker>
        <c:dLbl>
          <c:idx val="0"/>
          <c:spPr>
            <a:noFill/>
            <a:ln>
              <a:noFill/>
            </a:ln>
            <a:effectLst/>
          </c:spPr>
          <c:txPr>
            <a:bodyPr wrap="square" lIns="38100" tIns="19050" rIns="38100" bIns="19050" anchor="ctr" anchorCtr="0">
              <a:spAutoFit/>
            </a:bodyPr>
            <a:lstStyle/>
            <a:p>
              <a:pPr algn="ctr">
                <a:defRPr lang="en-US" sz="1200" b="0" i="0" u="none" strike="noStrike" kern="1200" baseline="0">
                  <a:solidFill>
                    <a:schemeClr val="bg1">
                      <a:lumMod val="50000"/>
                    </a:schemeClr>
                  </a:solidFill>
                  <a:latin typeface="Gill Sans Ultra Bold" panose="020B0A02020104020203" pitchFamily="34" charset="0"/>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69"/>
        <c:spPr>
          <a:solidFill>
            <a:schemeClr val="accent5">
              <a:lumMod val="20000"/>
              <a:lumOff val="80000"/>
            </a:schemeClr>
          </a:solidFill>
          <a:ln w="19050">
            <a:solidFill>
              <a:schemeClr val="lt1"/>
            </a:solidFill>
          </a:ln>
          <a:effectLst/>
        </c:spPr>
        <c:dLbl>
          <c:idx val="0"/>
          <c:layout>
            <c:manualLayout>
              <c:x val="2.5902651591627971E-2"/>
              <c:y val="-2.1230274502645325E-2"/>
            </c:manualLayout>
          </c:layout>
          <c:tx>
            <c:rich>
              <a:bodyPr wrap="square" lIns="38100" tIns="19050" rIns="38100" bIns="19050" anchor="ctr" anchorCtr="0">
                <a:spAutoFit/>
              </a:bodyPr>
              <a:lstStyle/>
              <a:p>
                <a:pPr algn="ctr">
                  <a:defRPr lang="en-US" sz="1200" b="0" i="0" u="none" strike="noStrike" kern="1200" baseline="0">
                    <a:solidFill>
                      <a:schemeClr val="bg1">
                        <a:lumMod val="50000"/>
                      </a:schemeClr>
                    </a:solidFill>
                    <a:latin typeface="Segoe UI Black" panose="020B0A02040204020203" pitchFamily="34" charset="0"/>
                    <a:ea typeface="Segoe UI Black" panose="020B0A02040204020203" pitchFamily="34" charset="0"/>
                    <a:cs typeface="+mn-cs"/>
                  </a:defRPr>
                </a:pPr>
                <a:fld id="{06ACED0A-1726-4883-B86B-ADFF6CDE834B}" type="PERCENTAGE">
                  <a:rPr lang="en-US" sz="1200" b="0" i="0" u="none" strike="noStrike" kern="1200" baseline="0">
                    <a:solidFill>
                      <a:schemeClr val="bg1">
                        <a:lumMod val="50000"/>
                      </a:schemeClr>
                    </a:solidFill>
                    <a:latin typeface="Segoe UI Black" panose="020B0A02040204020203" pitchFamily="34" charset="0"/>
                    <a:ea typeface="Segoe UI Black" panose="020B0A02040204020203" pitchFamily="34" charset="0"/>
                    <a:cs typeface="+mn-cs"/>
                  </a:rPr>
                  <a:pPr algn="ctr">
                    <a:defRPr lang="en-US" sz="1200" b="0" i="0" u="none" strike="noStrike" kern="1200" baseline="0">
                      <a:solidFill>
                        <a:schemeClr val="bg1">
                          <a:lumMod val="50000"/>
                        </a:schemeClr>
                      </a:solidFill>
                      <a:latin typeface="Segoe UI Black" panose="020B0A02040204020203" pitchFamily="34" charset="0"/>
                      <a:ea typeface="Segoe UI Black" panose="020B0A02040204020203" pitchFamily="34" charset="0"/>
                      <a:cs typeface="+mn-cs"/>
                    </a:defRPr>
                  </a:pPr>
                  <a:t>[PERCENTAGE]</a:t>
                </a:fld>
                <a:endParaRPr lang="en-US"/>
              </a:p>
            </c:rich>
          </c:tx>
          <c:spPr>
            <a:noFill/>
            <a:ln>
              <a:noFill/>
            </a:ln>
            <a:effectLst/>
          </c:spPr>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70"/>
        <c:spPr>
          <a:solidFill>
            <a:srgbClr val="0043C8"/>
          </a:solidFill>
          <a:ln w="19050">
            <a:solidFill>
              <a:schemeClr val="lt1"/>
            </a:solidFill>
          </a:ln>
          <a:effectLst/>
        </c:spPr>
        <c:dLbl>
          <c:idx val="0"/>
          <c:layout>
            <c:manualLayout>
              <c:x val="2.1306636550238914E-2"/>
              <c:y val="2.4104345884416165E-2"/>
            </c:manualLayout>
          </c:layout>
          <c:tx>
            <c:rich>
              <a:bodyPr wrap="square" lIns="38100" tIns="19050" rIns="38100" bIns="19050" anchor="ctr" anchorCtr="0">
                <a:spAutoFit/>
              </a:bodyPr>
              <a:lstStyle/>
              <a:p>
                <a:pPr algn="ctr">
                  <a:defRPr lang="en-US" sz="1200" b="0" i="0" u="none" strike="noStrike" kern="1200" baseline="0">
                    <a:solidFill>
                      <a:schemeClr val="bg1">
                        <a:lumMod val="50000"/>
                      </a:schemeClr>
                    </a:solidFill>
                    <a:latin typeface="Segoe UI Black" panose="020B0A02040204020203" pitchFamily="34" charset="0"/>
                    <a:ea typeface="Segoe UI Black" panose="020B0A02040204020203" pitchFamily="34" charset="0"/>
                    <a:cs typeface="+mn-cs"/>
                  </a:defRPr>
                </a:pPr>
                <a:fld id="{E1B893B3-AA0A-4D37-B5B3-01B2E1301DE9}" type="PERCENTAGE">
                  <a:rPr lang="en-US" sz="1200" b="0" i="0" u="none" strike="noStrike" kern="1200" baseline="0">
                    <a:solidFill>
                      <a:schemeClr val="bg1">
                        <a:lumMod val="50000"/>
                      </a:schemeClr>
                    </a:solidFill>
                    <a:latin typeface="Segoe UI Black" panose="020B0A02040204020203" pitchFamily="34" charset="0"/>
                    <a:ea typeface="Segoe UI Black" panose="020B0A02040204020203" pitchFamily="34" charset="0"/>
                    <a:cs typeface="+mn-cs"/>
                  </a:rPr>
                  <a:pPr algn="ctr">
                    <a:defRPr lang="en-US" sz="1200" b="0" i="0" u="none" strike="noStrike" kern="1200" baseline="0">
                      <a:solidFill>
                        <a:schemeClr val="bg1">
                          <a:lumMod val="50000"/>
                        </a:schemeClr>
                      </a:solidFill>
                      <a:latin typeface="Segoe UI Black" panose="020B0A02040204020203" pitchFamily="34" charset="0"/>
                      <a:ea typeface="Segoe UI Black" panose="020B0A02040204020203" pitchFamily="34" charset="0"/>
                      <a:cs typeface="+mn-cs"/>
                    </a:defRPr>
                  </a:pPr>
                  <a:t>[PERCENTAGE]</a:t>
                </a:fld>
                <a:endParaRPr lang="en-US"/>
              </a:p>
            </c:rich>
          </c:tx>
          <c:spPr>
            <a:noFill/>
            <a:ln>
              <a:noFill/>
            </a:ln>
            <a:effectLst/>
          </c:spPr>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71"/>
        <c:spPr>
          <a:solidFill>
            <a:srgbClr val="3377FF"/>
          </a:solidFill>
          <a:ln w="19050">
            <a:solidFill>
              <a:schemeClr val="lt1"/>
            </a:solidFill>
          </a:ln>
          <a:effectLst/>
        </c:spPr>
        <c:dLbl>
          <c:idx val="0"/>
          <c:layout>
            <c:manualLayout>
              <c:x val="-6.6469605962716199E-2"/>
              <c:y val="1.3280177851375446E-2"/>
            </c:manualLayout>
          </c:layout>
          <c:tx>
            <c:rich>
              <a:bodyPr wrap="square" lIns="38100" tIns="19050" rIns="38100" bIns="19050" anchor="ctr" anchorCtr="0">
                <a:spAutoFit/>
              </a:bodyPr>
              <a:lstStyle/>
              <a:p>
                <a:pPr algn="ctr">
                  <a:defRPr lang="en-US" sz="1200" b="0" i="0" u="none" strike="noStrike" kern="1200" baseline="0">
                    <a:solidFill>
                      <a:schemeClr val="bg1">
                        <a:lumMod val="50000"/>
                      </a:schemeClr>
                    </a:solidFill>
                    <a:latin typeface="Segoe UI Black" panose="020B0A02040204020203" pitchFamily="34" charset="0"/>
                    <a:ea typeface="Segoe UI Black" panose="020B0A02040204020203" pitchFamily="34" charset="0"/>
                    <a:cs typeface="+mn-cs"/>
                  </a:defRPr>
                </a:pPr>
                <a:fld id="{9EFB226D-E724-464C-809B-7CCE62A20007}" type="PERCENTAGE">
                  <a:rPr lang="en-US" sz="1200" b="0" i="0" u="none" strike="noStrike" kern="1200" baseline="0">
                    <a:solidFill>
                      <a:schemeClr val="bg1">
                        <a:lumMod val="50000"/>
                      </a:schemeClr>
                    </a:solidFill>
                    <a:latin typeface="Segoe UI Black" panose="020B0A02040204020203" pitchFamily="34" charset="0"/>
                    <a:ea typeface="Segoe UI Black" panose="020B0A02040204020203" pitchFamily="34" charset="0"/>
                    <a:cs typeface="+mn-cs"/>
                  </a:rPr>
                  <a:pPr algn="ctr">
                    <a:defRPr lang="en-US" sz="1200" b="0" i="0" u="none" strike="noStrike" kern="1200" baseline="0">
                      <a:solidFill>
                        <a:schemeClr val="bg1">
                          <a:lumMod val="50000"/>
                        </a:schemeClr>
                      </a:solidFill>
                      <a:latin typeface="Segoe UI Black" panose="020B0A02040204020203" pitchFamily="34" charset="0"/>
                      <a:ea typeface="Segoe UI Black" panose="020B0A02040204020203" pitchFamily="34" charset="0"/>
                      <a:cs typeface="+mn-cs"/>
                    </a:defRPr>
                  </a:pPr>
                  <a:t>[PERCENTAGE]</a:t>
                </a:fld>
                <a:endParaRPr lang="en-US"/>
              </a:p>
            </c:rich>
          </c:tx>
          <c:spPr>
            <a:noFill/>
            <a:ln>
              <a:noFill/>
            </a:ln>
            <a:effectLst/>
          </c:spPr>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72"/>
        <c:spPr>
          <a:solidFill>
            <a:srgbClr val="79A6FF"/>
          </a:solidFill>
          <a:ln w="19050">
            <a:solidFill>
              <a:schemeClr val="lt1"/>
            </a:solidFill>
          </a:ln>
          <a:effectLst/>
        </c:spPr>
        <c:dLbl>
          <c:idx val="0"/>
          <c:layout>
            <c:manualLayout>
              <c:x val="-3.9897536846355747E-2"/>
              <c:y val="-3.9377039374390833E-2"/>
            </c:manualLayout>
          </c:layout>
          <c:tx>
            <c:rich>
              <a:bodyPr wrap="square" lIns="38100" tIns="19050" rIns="38100" bIns="19050" anchor="ctr" anchorCtr="0">
                <a:spAutoFit/>
              </a:bodyPr>
              <a:lstStyle/>
              <a:p>
                <a:pPr algn="ctr">
                  <a:defRPr lang="en-US" sz="1200" b="0" i="0" u="none" strike="noStrike" kern="1200" baseline="0">
                    <a:solidFill>
                      <a:schemeClr val="bg1">
                        <a:lumMod val="50000"/>
                      </a:schemeClr>
                    </a:solidFill>
                    <a:latin typeface="Gill Sans Ultra Bold" panose="020B0A02020104020203" pitchFamily="34" charset="0"/>
                    <a:ea typeface="+mn-ea"/>
                    <a:cs typeface="+mn-cs"/>
                  </a:defRPr>
                </a:pPr>
                <a:fld id="{D39866B1-8C17-49BC-BF3F-52CDACDC61A4}" type="PERCENTAGE">
                  <a:rPr lang="en-US" sz="1200" b="0" i="0" u="none" strike="noStrike" kern="1200" baseline="0">
                    <a:solidFill>
                      <a:schemeClr val="bg1">
                        <a:lumMod val="50000"/>
                      </a:schemeClr>
                    </a:solidFill>
                    <a:latin typeface="Segoe UI Black" panose="020B0A02040204020203" pitchFamily="34" charset="0"/>
                    <a:ea typeface="Segoe UI Black" panose="020B0A02040204020203" pitchFamily="34" charset="0"/>
                    <a:cs typeface="+mn-cs"/>
                  </a:rPr>
                  <a:pPr algn="ctr">
                    <a:defRPr lang="en-US" sz="1200" b="0" i="0" u="none" strike="noStrike" kern="1200" baseline="0">
                      <a:solidFill>
                        <a:schemeClr val="bg1">
                          <a:lumMod val="50000"/>
                        </a:schemeClr>
                      </a:solidFill>
                      <a:latin typeface="Gill Sans Ultra Bold" panose="020B0A02020104020203" pitchFamily="34" charset="0"/>
                      <a:ea typeface="+mn-ea"/>
                      <a:cs typeface="+mn-cs"/>
                    </a:defRPr>
                  </a:pPr>
                  <a:t>[PERCENTAGE]</a:t>
                </a:fld>
                <a:endParaRPr lang="en-US"/>
              </a:p>
            </c:rich>
          </c:tx>
          <c:spPr>
            <a:noFill/>
            <a:ln>
              <a:noFill/>
            </a:ln>
            <a:effectLst/>
          </c:spPr>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73"/>
        <c:marker>
          <c:symbol val="none"/>
        </c:marker>
        <c:dLbl>
          <c:idx val="0"/>
          <c:delete val="1"/>
          <c:extLst>
            <c:ext xmlns:c15="http://schemas.microsoft.com/office/drawing/2012/chart" uri="{CE6537A1-D6FC-4f65-9D91-7224C49458BB}"/>
          </c:extLst>
        </c:dLbl>
      </c:pivotFmt>
      <c:pivotFmt>
        <c:idx val="274"/>
        <c:spPr>
          <a:solidFill>
            <a:schemeClr val="accent1"/>
          </a:solidFill>
          <a:ln w="19050">
            <a:solidFill>
              <a:schemeClr val="lt1"/>
            </a:solidFill>
          </a:ln>
          <a:effectLst/>
        </c:spPr>
      </c:pivotFmt>
      <c:pivotFmt>
        <c:idx val="275"/>
        <c:spPr>
          <a:solidFill>
            <a:schemeClr val="accent2"/>
          </a:solidFill>
          <a:ln w="19050">
            <a:solidFill>
              <a:schemeClr val="lt1"/>
            </a:solidFill>
          </a:ln>
          <a:effectLst/>
        </c:spPr>
      </c:pivotFmt>
      <c:pivotFmt>
        <c:idx val="276"/>
        <c:spPr>
          <a:solidFill>
            <a:schemeClr val="accent3"/>
          </a:solidFill>
          <a:ln w="19050">
            <a:solidFill>
              <a:schemeClr val="lt1"/>
            </a:solidFill>
          </a:ln>
          <a:effectLst/>
        </c:spPr>
      </c:pivotFmt>
      <c:pivotFmt>
        <c:idx val="277"/>
        <c:spPr>
          <a:solidFill>
            <a:schemeClr val="accent4"/>
          </a:solidFill>
          <a:ln w="19050">
            <a:solidFill>
              <a:schemeClr val="lt1"/>
            </a:solidFill>
          </a:ln>
          <a:effectLst/>
        </c:spPr>
      </c:pivotFmt>
      <c:pivotFmt>
        <c:idx val="278"/>
        <c:marker>
          <c:symbol val="none"/>
        </c:marker>
        <c:dLbl>
          <c:idx val="0"/>
          <c:delete val="1"/>
          <c:extLst>
            <c:ext xmlns:c15="http://schemas.microsoft.com/office/drawing/2012/chart" uri="{CE6537A1-D6FC-4f65-9D91-7224C49458BB}"/>
          </c:extLst>
        </c:dLbl>
      </c:pivotFmt>
      <c:pivotFmt>
        <c:idx val="279"/>
        <c:spPr>
          <a:solidFill>
            <a:schemeClr val="accent1"/>
          </a:solidFill>
          <a:ln w="19050">
            <a:solidFill>
              <a:schemeClr val="lt1"/>
            </a:solidFill>
          </a:ln>
          <a:effectLst/>
        </c:spPr>
      </c:pivotFmt>
      <c:pivotFmt>
        <c:idx val="280"/>
        <c:spPr>
          <a:solidFill>
            <a:schemeClr val="accent2"/>
          </a:solidFill>
          <a:ln w="19050">
            <a:solidFill>
              <a:schemeClr val="lt1"/>
            </a:solidFill>
          </a:ln>
          <a:effectLst/>
        </c:spPr>
      </c:pivotFmt>
      <c:pivotFmt>
        <c:idx val="281"/>
        <c:spPr>
          <a:solidFill>
            <a:schemeClr val="accent3"/>
          </a:solidFill>
          <a:ln w="19050">
            <a:solidFill>
              <a:schemeClr val="lt1"/>
            </a:solidFill>
          </a:ln>
          <a:effectLst/>
        </c:spPr>
      </c:pivotFmt>
      <c:pivotFmt>
        <c:idx val="282"/>
        <c:spPr>
          <a:solidFill>
            <a:schemeClr val="accent4"/>
          </a:solidFill>
          <a:ln w="19050">
            <a:solidFill>
              <a:schemeClr val="lt1"/>
            </a:solidFill>
          </a:ln>
          <a:effectLst/>
        </c:spPr>
      </c:pivotFmt>
      <c:pivotFmt>
        <c:idx val="283"/>
        <c:marker>
          <c:symbol val="none"/>
        </c:marker>
        <c:dLbl>
          <c:idx val="0"/>
          <c:delete val="1"/>
          <c:extLst>
            <c:ext xmlns:c15="http://schemas.microsoft.com/office/drawing/2012/chart" uri="{CE6537A1-D6FC-4f65-9D91-7224C49458BB}"/>
          </c:extLst>
        </c:dLbl>
      </c:pivotFmt>
      <c:pivotFmt>
        <c:idx val="284"/>
        <c:spPr>
          <a:solidFill>
            <a:schemeClr val="accent1"/>
          </a:solidFill>
          <a:ln w="19050">
            <a:solidFill>
              <a:schemeClr val="lt1"/>
            </a:solidFill>
          </a:ln>
          <a:effectLst/>
        </c:spPr>
      </c:pivotFmt>
      <c:pivotFmt>
        <c:idx val="285"/>
        <c:spPr>
          <a:solidFill>
            <a:schemeClr val="accent2"/>
          </a:solidFill>
          <a:ln w="19050">
            <a:solidFill>
              <a:schemeClr val="lt1"/>
            </a:solidFill>
          </a:ln>
          <a:effectLst/>
        </c:spPr>
      </c:pivotFmt>
      <c:pivotFmt>
        <c:idx val="286"/>
        <c:spPr>
          <a:solidFill>
            <a:schemeClr val="accent3"/>
          </a:solidFill>
          <a:ln w="19050">
            <a:solidFill>
              <a:schemeClr val="lt1"/>
            </a:solidFill>
          </a:ln>
          <a:effectLst/>
        </c:spPr>
      </c:pivotFmt>
      <c:pivotFmt>
        <c:idx val="287"/>
        <c:spPr>
          <a:solidFill>
            <a:schemeClr val="accent4"/>
          </a:solidFill>
          <a:ln w="19050">
            <a:solidFill>
              <a:schemeClr val="lt1"/>
            </a:solidFill>
          </a:ln>
          <a:effectLst/>
        </c:spPr>
      </c:pivotFmt>
    </c:pivotFmts>
    <c:plotArea>
      <c:layout>
        <c:manualLayout>
          <c:layoutTarget val="inner"/>
          <c:xMode val="edge"/>
          <c:yMode val="edge"/>
          <c:x val="0.2872362709469008"/>
          <c:y val="0.42007057969447675"/>
          <c:w val="0.47633436760300896"/>
          <c:h val="0.49027427709241422"/>
        </c:manualLayout>
      </c:layout>
      <c:pieChart>
        <c:varyColors val="1"/>
        <c:ser>
          <c:idx val="0"/>
          <c:order val="0"/>
          <c:tx>
            <c:strRef>
              <c:f>'Pivot tables'!$C$27:$C$28</c:f>
              <c:strCache>
                <c:ptCount val="1"/>
                <c:pt idx="0">
                  <c:v>Facebook</c:v>
                </c:pt>
              </c:strCache>
            </c:strRef>
          </c:tx>
          <c:dPt>
            <c:idx val="0"/>
            <c:bubble3D val="0"/>
            <c:spPr>
              <a:solidFill>
                <a:schemeClr val="accent5">
                  <a:lumMod val="20000"/>
                  <a:lumOff val="80000"/>
                </a:schemeClr>
              </a:solidFill>
              <a:ln w="19050">
                <a:solidFill>
                  <a:schemeClr val="lt1"/>
                </a:solidFill>
              </a:ln>
              <a:effectLst/>
            </c:spPr>
            <c:extLst>
              <c:ext xmlns:c16="http://schemas.microsoft.com/office/drawing/2014/chart" uri="{C3380CC4-5D6E-409C-BE32-E72D297353CC}">
                <c16:uniqueId val="{00000001-3857-4DD1-8DA2-CAA2F2B2DE84}"/>
              </c:ext>
            </c:extLst>
          </c:dPt>
          <c:dPt>
            <c:idx val="1"/>
            <c:bubble3D val="0"/>
            <c:spPr>
              <a:solidFill>
                <a:srgbClr val="0043C8"/>
              </a:solidFill>
              <a:ln w="19050">
                <a:solidFill>
                  <a:schemeClr val="lt1"/>
                </a:solidFill>
              </a:ln>
              <a:effectLst/>
            </c:spPr>
            <c:extLst>
              <c:ext xmlns:c16="http://schemas.microsoft.com/office/drawing/2014/chart" uri="{C3380CC4-5D6E-409C-BE32-E72D297353CC}">
                <c16:uniqueId val="{00000003-3857-4DD1-8DA2-CAA2F2B2DE84}"/>
              </c:ext>
            </c:extLst>
          </c:dPt>
          <c:dPt>
            <c:idx val="2"/>
            <c:bubble3D val="0"/>
            <c:spPr>
              <a:solidFill>
                <a:srgbClr val="3377FF"/>
              </a:solidFill>
              <a:ln w="19050">
                <a:solidFill>
                  <a:schemeClr val="lt1"/>
                </a:solidFill>
              </a:ln>
              <a:effectLst/>
            </c:spPr>
            <c:extLst>
              <c:ext xmlns:c16="http://schemas.microsoft.com/office/drawing/2014/chart" uri="{C3380CC4-5D6E-409C-BE32-E72D297353CC}">
                <c16:uniqueId val="{00000005-3857-4DD1-8DA2-CAA2F2B2DE84}"/>
              </c:ext>
            </c:extLst>
          </c:dPt>
          <c:dPt>
            <c:idx val="3"/>
            <c:bubble3D val="0"/>
            <c:spPr>
              <a:solidFill>
                <a:srgbClr val="79A6FF"/>
              </a:solidFill>
              <a:ln w="19050">
                <a:solidFill>
                  <a:schemeClr val="lt1"/>
                </a:solidFill>
              </a:ln>
              <a:effectLst/>
            </c:spPr>
            <c:extLst>
              <c:ext xmlns:c16="http://schemas.microsoft.com/office/drawing/2014/chart" uri="{C3380CC4-5D6E-409C-BE32-E72D297353CC}">
                <c16:uniqueId val="{00000007-3857-4DD1-8DA2-CAA2F2B2DE84}"/>
              </c:ext>
            </c:extLst>
          </c:dPt>
          <c:dLbls>
            <c:dLbl>
              <c:idx val="0"/>
              <c:layout>
                <c:manualLayout>
                  <c:x val="2.5902651591627971E-2"/>
                  <c:y val="-2.1230274502645325E-2"/>
                </c:manualLayout>
              </c:layout>
              <c:tx>
                <c:rich>
                  <a:bodyPr wrap="square" lIns="38100" tIns="19050" rIns="38100" bIns="19050" anchor="ctr" anchorCtr="0">
                    <a:spAutoFit/>
                  </a:bodyPr>
                  <a:lstStyle/>
                  <a:p>
                    <a:pPr algn="ctr">
                      <a:defRPr lang="en-US" sz="1200" b="0" i="0" u="none" strike="noStrike" kern="1200" baseline="0">
                        <a:solidFill>
                          <a:schemeClr val="bg1">
                            <a:lumMod val="50000"/>
                          </a:schemeClr>
                        </a:solidFill>
                        <a:latin typeface="Segoe UI Black" panose="020B0A02040204020203" pitchFamily="34" charset="0"/>
                        <a:ea typeface="Segoe UI Black" panose="020B0A02040204020203" pitchFamily="34" charset="0"/>
                        <a:cs typeface="+mn-cs"/>
                      </a:defRPr>
                    </a:pPr>
                    <a:fld id="{06ACED0A-1726-4883-B86B-ADFF6CDE834B}" type="PERCENTAGE">
                      <a:rPr lang="en-US" sz="1200" b="0" i="0" u="none" strike="noStrike" kern="1200" baseline="0">
                        <a:solidFill>
                          <a:schemeClr val="bg1">
                            <a:lumMod val="50000"/>
                          </a:schemeClr>
                        </a:solidFill>
                        <a:latin typeface="Segoe UI Black" panose="020B0A02040204020203" pitchFamily="34" charset="0"/>
                        <a:ea typeface="Segoe UI Black" panose="020B0A02040204020203" pitchFamily="34" charset="0"/>
                        <a:cs typeface="+mn-cs"/>
                      </a:rPr>
                      <a:pPr algn="ctr">
                        <a:defRPr lang="en-US" sz="1200" b="0" i="0" u="none" strike="noStrike" kern="1200" baseline="0">
                          <a:solidFill>
                            <a:schemeClr val="bg1">
                              <a:lumMod val="50000"/>
                            </a:schemeClr>
                          </a:solidFill>
                          <a:latin typeface="Segoe UI Black" panose="020B0A02040204020203" pitchFamily="34" charset="0"/>
                          <a:ea typeface="Segoe UI Black" panose="020B0A02040204020203" pitchFamily="34" charset="0"/>
                          <a:cs typeface="+mn-cs"/>
                        </a:defRPr>
                      </a:pPr>
                      <a:t>[PERCENTAGE]</a:t>
                    </a:fld>
                    <a:endParaRPr lang="en-US"/>
                  </a:p>
                </c:rich>
              </c:tx>
              <c:spPr>
                <a:noFill/>
                <a:ln>
                  <a:noFill/>
                </a:ln>
                <a:effectLst/>
              </c:spPr>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3857-4DD1-8DA2-CAA2F2B2DE84}"/>
                </c:ext>
              </c:extLst>
            </c:dLbl>
            <c:dLbl>
              <c:idx val="1"/>
              <c:layout>
                <c:manualLayout>
                  <c:x val="2.1306636550238914E-2"/>
                  <c:y val="2.4104345884416165E-2"/>
                </c:manualLayout>
              </c:layout>
              <c:tx>
                <c:rich>
                  <a:bodyPr wrap="square" lIns="38100" tIns="19050" rIns="38100" bIns="19050" anchor="ctr" anchorCtr="0">
                    <a:spAutoFit/>
                  </a:bodyPr>
                  <a:lstStyle/>
                  <a:p>
                    <a:pPr algn="ctr">
                      <a:defRPr lang="en-US" sz="1200" b="0" i="0" u="none" strike="noStrike" kern="1200" baseline="0">
                        <a:solidFill>
                          <a:schemeClr val="bg1">
                            <a:lumMod val="50000"/>
                          </a:schemeClr>
                        </a:solidFill>
                        <a:latin typeface="Segoe UI Black" panose="020B0A02040204020203" pitchFamily="34" charset="0"/>
                        <a:ea typeface="Segoe UI Black" panose="020B0A02040204020203" pitchFamily="34" charset="0"/>
                        <a:cs typeface="+mn-cs"/>
                      </a:defRPr>
                    </a:pPr>
                    <a:fld id="{E1B893B3-AA0A-4D37-B5B3-01B2E1301DE9}" type="PERCENTAGE">
                      <a:rPr lang="en-US" sz="1200" b="0" i="0" u="none" strike="noStrike" kern="1200" baseline="0">
                        <a:solidFill>
                          <a:schemeClr val="bg1">
                            <a:lumMod val="50000"/>
                          </a:schemeClr>
                        </a:solidFill>
                        <a:latin typeface="Segoe UI Black" panose="020B0A02040204020203" pitchFamily="34" charset="0"/>
                        <a:ea typeface="Segoe UI Black" panose="020B0A02040204020203" pitchFamily="34" charset="0"/>
                        <a:cs typeface="+mn-cs"/>
                      </a:rPr>
                      <a:pPr algn="ctr">
                        <a:defRPr lang="en-US" sz="1200" b="0" i="0" u="none" strike="noStrike" kern="1200" baseline="0">
                          <a:solidFill>
                            <a:schemeClr val="bg1">
                              <a:lumMod val="50000"/>
                            </a:schemeClr>
                          </a:solidFill>
                          <a:latin typeface="Segoe UI Black" panose="020B0A02040204020203" pitchFamily="34" charset="0"/>
                          <a:ea typeface="Segoe UI Black" panose="020B0A02040204020203" pitchFamily="34" charset="0"/>
                          <a:cs typeface="+mn-cs"/>
                        </a:defRPr>
                      </a:pPr>
                      <a:t>[PERCENTAGE]</a:t>
                    </a:fld>
                    <a:endParaRPr lang="en-US"/>
                  </a:p>
                </c:rich>
              </c:tx>
              <c:spPr>
                <a:noFill/>
                <a:ln>
                  <a:noFill/>
                </a:ln>
                <a:effectLst/>
              </c:spPr>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3857-4DD1-8DA2-CAA2F2B2DE84}"/>
                </c:ext>
              </c:extLst>
            </c:dLbl>
            <c:dLbl>
              <c:idx val="2"/>
              <c:layout>
                <c:manualLayout>
                  <c:x val="-6.6469605962716199E-2"/>
                  <c:y val="1.3280177851375446E-2"/>
                </c:manualLayout>
              </c:layout>
              <c:tx>
                <c:rich>
                  <a:bodyPr wrap="square" lIns="38100" tIns="19050" rIns="38100" bIns="19050" anchor="ctr" anchorCtr="0">
                    <a:spAutoFit/>
                  </a:bodyPr>
                  <a:lstStyle/>
                  <a:p>
                    <a:pPr algn="ctr">
                      <a:defRPr lang="en-US" sz="1200" b="0" i="0" u="none" strike="noStrike" kern="1200" baseline="0">
                        <a:solidFill>
                          <a:schemeClr val="bg1">
                            <a:lumMod val="50000"/>
                          </a:schemeClr>
                        </a:solidFill>
                        <a:latin typeface="Segoe UI Black" panose="020B0A02040204020203" pitchFamily="34" charset="0"/>
                        <a:ea typeface="Segoe UI Black" panose="020B0A02040204020203" pitchFamily="34" charset="0"/>
                        <a:cs typeface="+mn-cs"/>
                      </a:defRPr>
                    </a:pPr>
                    <a:fld id="{9EFB226D-E724-464C-809B-7CCE62A20007}" type="PERCENTAGE">
                      <a:rPr lang="en-US" sz="1200" b="0" i="0" u="none" strike="noStrike" kern="1200" baseline="0">
                        <a:solidFill>
                          <a:schemeClr val="bg1">
                            <a:lumMod val="50000"/>
                          </a:schemeClr>
                        </a:solidFill>
                        <a:latin typeface="Segoe UI Black" panose="020B0A02040204020203" pitchFamily="34" charset="0"/>
                        <a:ea typeface="Segoe UI Black" panose="020B0A02040204020203" pitchFamily="34" charset="0"/>
                        <a:cs typeface="+mn-cs"/>
                      </a:rPr>
                      <a:pPr algn="ctr">
                        <a:defRPr lang="en-US" sz="1200" b="0" i="0" u="none" strike="noStrike" kern="1200" baseline="0">
                          <a:solidFill>
                            <a:schemeClr val="bg1">
                              <a:lumMod val="50000"/>
                            </a:schemeClr>
                          </a:solidFill>
                          <a:latin typeface="Segoe UI Black" panose="020B0A02040204020203" pitchFamily="34" charset="0"/>
                          <a:ea typeface="Segoe UI Black" panose="020B0A02040204020203" pitchFamily="34" charset="0"/>
                          <a:cs typeface="+mn-cs"/>
                        </a:defRPr>
                      </a:pPr>
                      <a:t>[PERCENTAGE]</a:t>
                    </a:fld>
                    <a:endParaRPr lang="en-US"/>
                  </a:p>
                </c:rich>
              </c:tx>
              <c:spPr>
                <a:noFill/>
                <a:ln>
                  <a:noFill/>
                </a:ln>
                <a:effectLst/>
              </c:spPr>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3857-4DD1-8DA2-CAA2F2B2DE84}"/>
                </c:ext>
              </c:extLst>
            </c:dLbl>
            <c:dLbl>
              <c:idx val="3"/>
              <c:layout>
                <c:manualLayout>
                  <c:x val="-3.9897536846355747E-2"/>
                  <c:y val="-3.9377039374390833E-2"/>
                </c:manualLayout>
              </c:layout>
              <c:tx>
                <c:rich>
                  <a:bodyPr/>
                  <a:lstStyle/>
                  <a:p>
                    <a:fld id="{D39866B1-8C17-49BC-BF3F-52CDACDC61A4}" type="PERCENTAGE">
                      <a:rPr lang="en-US" sz="1200" b="0" i="0" u="none" strike="noStrike" kern="1200" baseline="0">
                        <a:solidFill>
                          <a:schemeClr val="bg1">
                            <a:lumMod val="50000"/>
                          </a:schemeClr>
                        </a:solidFill>
                        <a:latin typeface="Segoe UI Black" panose="020B0A02040204020203" pitchFamily="34" charset="0"/>
                        <a:ea typeface="Segoe UI Black" panose="020B0A02040204020203" pitchFamily="34" charset="0"/>
                        <a:cs typeface="+mn-cs"/>
                      </a:rPr>
                      <a:pPr/>
                      <a:t>[PERCENTAGE]</a:t>
                    </a:fld>
                    <a:endParaRPr lang="en-US"/>
                  </a:p>
                </c:rich>
              </c:tx>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7-3857-4DD1-8DA2-CAA2F2B2DE84}"/>
                </c:ext>
              </c:extLst>
            </c:dLbl>
            <c:spPr>
              <a:noFill/>
              <a:ln>
                <a:noFill/>
              </a:ln>
              <a:effectLst/>
            </c:spPr>
            <c:txPr>
              <a:bodyPr wrap="square" lIns="38100" tIns="19050" rIns="38100" bIns="19050" anchor="ctr" anchorCtr="0">
                <a:spAutoFit/>
              </a:bodyPr>
              <a:lstStyle/>
              <a:p>
                <a:pPr algn="ctr">
                  <a:defRPr lang="en-US" sz="1200" b="0" i="0" u="none" strike="noStrike" kern="1200" baseline="0">
                    <a:solidFill>
                      <a:schemeClr val="bg1">
                        <a:lumMod val="50000"/>
                      </a:schemeClr>
                    </a:solidFill>
                    <a:latin typeface="Gill Sans Ultra Bold" panose="020B0A02020104020203" pitchFamily="34" charset="0"/>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tables'!$B$29:$B$33</c:f>
              <c:strCache>
                <c:ptCount val="4"/>
                <c:pt idx="0">
                  <c:v>1-13</c:v>
                </c:pt>
                <c:pt idx="1">
                  <c:v>14-26</c:v>
                </c:pt>
                <c:pt idx="2">
                  <c:v>27-39</c:v>
                </c:pt>
                <c:pt idx="3">
                  <c:v>40-52</c:v>
                </c:pt>
              </c:strCache>
            </c:strRef>
          </c:cat>
          <c:val>
            <c:numRef>
              <c:f>'Pivot tables'!$C$29:$C$33</c:f>
              <c:numCache>
                <c:formatCode>General</c:formatCode>
                <c:ptCount val="4"/>
                <c:pt idx="0">
                  <c:v>210</c:v>
                </c:pt>
                <c:pt idx="1">
                  <c:v>223</c:v>
                </c:pt>
                <c:pt idx="2">
                  <c:v>201</c:v>
                </c:pt>
                <c:pt idx="3">
                  <c:v>208</c:v>
                </c:pt>
              </c:numCache>
            </c:numRef>
          </c:val>
          <c:extLst>
            <c:ext xmlns:c16="http://schemas.microsoft.com/office/drawing/2014/chart" uri="{C3380CC4-5D6E-409C-BE32-E72D297353CC}">
              <c16:uniqueId val="{00000008-3857-4DD1-8DA2-CAA2F2B2DE84}"/>
            </c:ext>
          </c:extLst>
        </c:ser>
        <c:ser>
          <c:idx val="1"/>
          <c:order val="1"/>
          <c:tx>
            <c:strRef>
              <c:f>'Pivot tables'!$D$27:$D$28</c:f>
              <c:strCache>
                <c:ptCount val="1"/>
                <c:pt idx="0">
                  <c:v>Instagram</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A-3857-4DD1-8DA2-CAA2F2B2DE8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C-3857-4DD1-8DA2-CAA2F2B2DE8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E-3857-4DD1-8DA2-CAA2F2B2DE8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0-3857-4DD1-8DA2-CAA2F2B2DE84}"/>
              </c:ext>
            </c:extLst>
          </c:dPt>
          <c:cat>
            <c:strRef>
              <c:f>'Pivot tables'!$B$29:$B$33</c:f>
              <c:strCache>
                <c:ptCount val="4"/>
                <c:pt idx="0">
                  <c:v>1-13</c:v>
                </c:pt>
                <c:pt idx="1">
                  <c:v>14-26</c:v>
                </c:pt>
                <c:pt idx="2">
                  <c:v>27-39</c:v>
                </c:pt>
                <c:pt idx="3">
                  <c:v>40-52</c:v>
                </c:pt>
              </c:strCache>
            </c:strRef>
          </c:cat>
          <c:val>
            <c:numRef>
              <c:f>'Pivot tables'!$D$29:$D$33</c:f>
              <c:numCache>
                <c:formatCode>General</c:formatCode>
                <c:ptCount val="4"/>
                <c:pt idx="0">
                  <c:v>298</c:v>
                </c:pt>
                <c:pt idx="1">
                  <c:v>303</c:v>
                </c:pt>
                <c:pt idx="2">
                  <c:v>260</c:v>
                </c:pt>
                <c:pt idx="3">
                  <c:v>332</c:v>
                </c:pt>
              </c:numCache>
            </c:numRef>
          </c:val>
          <c:extLst>
            <c:ext xmlns:c16="http://schemas.microsoft.com/office/drawing/2014/chart" uri="{C3380CC4-5D6E-409C-BE32-E72D297353CC}">
              <c16:uniqueId val="{00000011-3857-4DD1-8DA2-CAA2F2B2DE84}"/>
            </c:ext>
          </c:extLst>
        </c:ser>
        <c:ser>
          <c:idx val="2"/>
          <c:order val="2"/>
          <c:tx>
            <c:strRef>
              <c:f>'Pivot tables'!$E$27:$E$28</c:f>
              <c:strCache>
                <c:ptCount val="1"/>
                <c:pt idx="0">
                  <c:v>Linkedin</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13-3857-4DD1-8DA2-CAA2F2B2DE8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15-3857-4DD1-8DA2-CAA2F2B2DE8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17-3857-4DD1-8DA2-CAA2F2B2DE8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9-3857-4DD1-8DA2-CAA2F2B2DE84}"/>
              </c:ext>
            </c:extLst>
          </c:dPt>
          <c:cat>
            <c:strRef>
              <c:f>'Pivot tables'!$B$29:$B$33</c:f>
              <c:strCache>
                <c:ptCount val="4"/>
                <c:pt idx="0">
                  <c:v>1-13</c:v>
                </c:pt>
                <c:pt idx="1">
                  <c:v>14-26</c:v>
                </c:pt>
                <c:pt idx="2">
                  <c:v>27-39</c:v>
                </c:pt>
                <c:pt idx="3">
                  <c:v>40-52</c:v>
                </c:pt>
              </c:strCache>
            </c:strRef>
          </c:cat>
          <c:val>
            <c:numRef>
              <c:f>'Pivot tables'!$E$29:$E$33</c:f>
              <c:numCache>
                <c:formatCode>General</c:formatCode>
                <c:ptCount val="4"/>
                <c:pt idx="0">
                  <c:v>201</c:v>
                </c:pt>
                <c:pt idx="1">
                  <c:v>220</c:v>
                </c:pt>
                <c:pt idx="2">
                  <c:v>193</c:v>
                </c:pt>
                <c:pt idx="3">
                  <c:v>236</c:v>
                </c:pt>
              </c:numCache>
            </c:numRef>
          </c:val>
          <c:extLst>
            <c:ext xmlns:c16="http://schemas.microsoft.com/office/drawing/2014/chart" uri="{C3380CC4-5D6E-409C-BE32-E72D297353CC}">
              <c16:uniqueId val="{0000001A-3857-4DD1-8DA2-CAA2F2B2DE84}"/>
            </c:ext>
          </c:extLst>
        </c:ser>
        <c:ser>
          <c:idx val="3"/>
          <c:order val="3"/>
          <c:tx>
            <c:strRef>
              <c:f>'Pivot tables'!$F$27:$F$28</c:f>
              <c:strCache>
                <c:ptCount val="1"/>
                <c:pt idx="0">
                  <c:v>X</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1C-3857-4DD1-8DA2-CAA2F2B2DE8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1E-3857-4DD1-8DA2-CAA2F2B2DE8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20-3857-4DD1-8DA2-CAA2F2B2DE8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22-3857-4DD1-8DA2-CAA2F2B2DE84}"/>
              </c:ext>
            </c:extLst>
          </c:dPt>
          <c:cat>
            <c:strRef>
              <c:f>'Pivot tables'!$B$29:$B$33</c:f>
              <c:strCache>
                <c:ptCount val="4"/>
                <c:pt idx="0">
                  <c:v>1-13</c:v>
                </c:pt>
                <c:pt idx="1">
                  <c:v>14-26</c:v>
                </c:pt>
                <c:pt idx="2">
                  <c:v>27-39</c:v>
                </c:pt>
                <c:pt idx="3">
                  <c:v>40-52</c:v>
                </c:pt>
              </c:strCache>
            </c:strRef>
          </c:cat>
          <c:val>
            <c:numRef>
              <c:f>'Pivot tables'!$F$29:$F$33</c:f>
              <c:numCache>
                <c:formatCode>General</c:formatCode>
                <c:ptCount val="4"/>
                <c:pt idx="0">
                  <c:v>321</c:v>
                </c:pt>
                <c:pt idx="1">
                  <c:v>336</c:v>
                </c:pt>
                <c:pt idx="2">
                  <c:v>291</c:v>
                </c:pt>
                <c:pt idx="3">
                  <c:v>362</c:v>
                </c:pt>
              </c:numCache>
            </c:numRef>
          </c:val>
          <c:extLst>
            <c:ext xmlns:c16="http://schemas.microsoft.com/office/drawing/2014/chart" uri="{C3380CC4-5D6E-409C-BE32-E72D297353CC}">
              <c16:uniqueId val="{00000023-3857-4DD1-8DA2-CAA2F2B2DE84}"/>
            </c:ext>
          </c:extLst>
        </c:ser>
        <c:dLbls>
          <c:showLegendKey val="0"/>
          <c:showVal val="0"/>
          <c:showCatName val="0"/>
          <c:showSerName val="0"/>
          <c:showPercent val="0"/>
          <c:showBubbleSize val="0"/>
          <c:showLeaderLines val="1"/>
        </c:dLbls>
        <c:firstSliceAng val="0"/>
      </c:pieChart>
    </c:plotArea>
    <c:legend>
      <c:legendPos val="t"/>
      <c:layout>
        <c:manualLayout>
          <c:xMode val="edge"/>
          <c:yMode val="edge"/>
          <c:x val="0.11989555993000875"/>
          <c:y val="0.26833027624890005"/>
          <c:w val="0.79849228582004173"/>
          <c:h val="6.4544652763712324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bg1">
                  <a:lumMod val="50000"/>
                </a:schemeClr>
              </a:solidFill>
              <a:latin typeface="Segoe UI Black" panose="020B0A02040204020203" pitchFamily="34" charset="0"/>
              <a:ea typeface="Segoe UI Black" panose="020B0A02040204020203" pitchFamily="34" charset="0"/>
              <a:cs typeface="+mn-cs"/>
            </a:defRPr>
          </a:pPr>
          <a:endParaRPr lang="en-US"/>
        </a:p>
      </c:txPr>
    </c:legend>
    <c:plotVisOnly val="1"/>
    <c:dispBlanksAs val="gap"/>
    <c:showDLblsOverMax val="0"/>
    <c:extLst/>
  </c:chart>
  <c:spPr>
    <a:noFill/>
    <a:ln>
      <a:noFill/>
    </a:ln>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[Social-Media-Project (Sub).xlsx]Pivot tables!PivotTable61</c:name>
    <c:fmtId val="40"/>
  </c:pivotSource>
  <c:chart>
    <c:title>
      <c:tx>
        <c:rich>
          <a:bodyPr rot="0" spcFirstLastPara="1" vertOverflow="ellipsis" vert="horz" wrap="square" anchor="ctr" anchorCtr="1"/>
          <a:lstStyle/>
          <a:p>
            <a:pPr algn="ctr" rtl="0">
              <a:defRPr lang="en-US" sz="2800" b="1" i="0" u="none" strike="noStrike" kern="1200" spc="0" baseline="0">
                <a:solidFill>
                  <a:schemeClr val="bg1">
                    <a:lumMod val="50000"/>
                  </a:schemeClr>
                </a:solidFill>
                <a:latin typeface="Segoe UI Black" panose="020B0A02040204020203" pitchFamily="34" charset="0"/>
                <a:ea typeface="Segoe UI Black" panose="020B0A02040204020203" pitchFamily="34" charset="0"/>
                <a:cs typeface="+mn-cs"/>
              </a:defRPr>
            </a:pPr>
            <a:r>
              <a:rPr lang="en-US" sz="2800" b="1" i="0" u="none" strike="noStrike" kern="1200" spc="0" baseline="0">
                <a:solidFill>
                  <a:schemeClr val="bg1">
                    <a:lumMod val="50000"/>
                  </a:schemeClr>
                </a:solidFill>
                <a:latin typeface="Segoe UI Black" panose="020B0A02040204020203" pitchFamily="34" charset="0"/>
                <a:ea typeface="Segoe UI Black" panose="020B0A02040204020203" pitchFamily="34" charset="0"/>
                <a:cs typeface="+mn-cs"/>
              </a:rPr>
              <a:t>Growth/Week</a:t>
            </a:r>
          </a:p>
        </c:rich>
      </c:tx>
      <c:overlay val="0"/>
      <c:spPr>
        <a:noFill/>
        <a:ln>
          <a:noFill/>
        </a:ln>
        <a:effectLst/>
      </c:spPr>
      <c:txPr>
        <a:bodyPr rot="0" spcFirstLastPara="1" vertOverflow="ellipsis" vert="horz" wrap="square" anchor="ctr" anchorCtr="1"/>
        <a:lstStyle/>
        <a:p>
          <a:pPr algn="ctr" rtl="0">
            <a:defRPr lang="en-US" sz="2800" b="1" i="0" u="none" strike="noStrike" kern="1200" spc="0" baseline="0">
              <a:solidFill>
                <a:schemeClr val="bg1">
                  <a:lumMod val="50000"/>
                </a:schemeClr>
              </a:solidFill>
              <a:latin typeface="Segoe UI Black" panose="020B0A02040204020203" pitchFamily="34" charset="0"/>
              <a:ea typeface="Segoe UI Black" panose="020B0A02040204020203" pitchFamily="34" charset="0"/>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200" b="0" i="0" u="none" strike="noStrike" kern="1200" baseline="0">
                  <a:solidFill>
                    <a:schemeClr val="bg1">
                      <a:lumMod val="50000"/>
                    </a:schemeClr>
                  </a:solidFill>
                  <a:latin typeface="Segoe UI Black" panose="020B0A02040204020203" pitchFamily="34" charset="0"/>
                  <a:ea typeface="Segoe UI Black" panose="020B0A02040204020203" pitchFamily="34" charset="0"/>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1"/>
        <c:spPr>
          <a:solidFill>
            <a:srgbClr val="FDDFF7"/>
          </a:solidFill>
          <a:ln w="19050">
            <a:solidFill>
              <a:schemeClr val="lt1"/>
            </a:solidFill>
          </a:ln>
          <a:effectLst/>
        </c:spPr>
        <c:dLbl>
          <c:idx val="0"/>
          <c:layout>
            <c:manualLayout>
              <c:x val="3.4302500941054345E-2"/>
              <c:y val="-3.4030817065016192E-2"/>
            </c:manualLayout>
          </c:layout>
          <c:spPr>
            <a:noFill/>
            <a:ln>
              <a:noFill/>
            </a:ln>
            <a:effectLst/>
          </c:spPr>
          <c:txPr>
            <a:bodyPr rot="0" spcFirstLastPara="1" vertOverflow="ellipsis" vert="horz" wrap="square" lIns="38100" tIns="19050" rIns="38100" bIns="19050" anchor="ctr" anchorCtr="1">
              <a:spAutoFit/>
            </a:bodyPr>
            <a:lstStyle/>
            <a:p>
              <a:pPr>
                <a:defRPr lang="en-US" sz="1200" b="0" i="0" u="none" strike="noStrike" kern="1200" baseline="0">
                  <a:solidFill>
                    <a:schemeClr val="bg1">
                      <a:lumMod val="50000"/>
                    </a:schemeClr>
                  </a:solidFill>
                  <a:latin typeface="Segoe UI Black" panose="020B0A02040204020203" pitchFamily="34" charset="0"/>
                  <a:ea typeface="Segoe UI Black" panose="020B0A02040204020203" pitchFamily="34" charset="0"/>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2"/>
        <c:spPr>
          <a:solidFill>
            <a:srgbClr val="FF99CC"/>
          </a:solidFill>
          <a:ln w="19050">
            <a:solidFill>
              <a:schemeClr val="lt1"/>
            </a:solidFill>
          </a:ln>
          <a:effectLst/>
        </c:spPr>
        <c:dLbl>
          <c:idx val="0"/>
          <c:layout>
            <c:manualLayout>
              <c:x val="4.5326562844830019E-2"/>
              <c:y val="7.4092203404993329E-3"/>
            </c:manualLayout>
          </c:layout>
          <c:spPr>
            <a:noFill/>
            <a:ln>
              <a:noFill/>
            </a:ln>
            <a:effectLst/>
          </c:spPr>
          <c:txPr>
            <a:bodyPr rot="0" spcFirstLastPara="1" vertOverflow="ellipsis" vert="horz" wrap="square" lIns="38100" tIns="19050" rIns="38100" bIns="19050" anchor="ctr" anchorCtr="1">
              <a:spAutoFit/>
            </a:bodyPr>
            <a:lstStyle/>
            <a:p>
              <a:pPr>
                <a:defRPr lang="en-US" sz="1200" b="0" i="0" u="none" strike="noStrike" kern="1200" baseline="0">
                  <a:solidFill>
                    <a:schemeClr val="bg1">
                      <a:lumMod val="50000"/>
                    </a:schemeClr>
                  </a:solidFill>
                  <a:latin typeface="Segoe UI Black" panose="020B0A02040204020203" pitchFamily="34" charset="0"/>
                  <a:ea typeface="Segoe UI Black" panose="020B0A02040204020203" pitchFamily="34" charset="0"/>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3"/>
        <c:spPr>
          <a:solidFill>
            <a:srgbClr val="FF66CC"/>
          </a:solidFill>
          <a:ln w="19050">
            <a:solidFill>
              <a:schemeClr val="lt1"/>
            </a:solidFill>
          </a:ln>
          <a:effectLst/>
        </c:spPr>
        <c:dLbl>
          <c:idx val="0"/>
          <c:layout>
            <c:manualLayout>
              <c:x val="-5.5486451331244822E-2"/>
              <c:y val="1.052178925313595E-3"/>
            </c:manualLayout>
          </c:layout>
          <c:spPr>
            <a:noFill/>
            <a:ln>
              <a:noFill/>
            </a:ln>
            <a:effectLst/>
          </c:spPr>
          <c:txPr>
            <a:bodyPr rot="0" spcFirstLastPara="1" vertOverflow="ellipsis" vert="horz" wrap="square" lIns="38100" tIns="19050" rIns="38100" bIns="19050" anchor="ctr" anchorCtr="1">
              <a:spAutoFit/>
            </a:bodyPr>
            <a:lstStyle/>
            <a:p>
              <a:pPr>
                <a:defRPr lang="en-US" sz="1200" b="0" i="0" u="none" strike="noStrike" kern="1200" baseline="0">
                  <a:solidFill>
                    <a:schemeClr val="bg1">
                      <a:lumMod val="50000"/>
                    </a:schemeClr>
                  </a:solidFill>
                  <a:latin typeface="Segoe UI Black" panose="020B0A02040204020203" pitchFamily="34" charset="0"/>
                  <a:ea typeface="Segoe UI Black" panose="020B0A02040204020203" pitchFamily="34" charset="0"/>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4"/>
        <c:spPr>
          <a:solidFill>
            <a:srgbClr val="FF3399"/>
          </a:solidFill>
          <a:ln w="19050">
            <a:solidFill>
              <a:schemeClr val="lt1"/>
            </a:solidFill>
          </a:ln>
          <a:effectLst/>
        </c:spPr>
        <c:dLbl>
          <c:idx val="0"/>
          <c:layout>
            <c:manualLayout>
              <c:x val="-9.1723554620200057E-3"/>
              <c:y val="-4.2550979847977934E-2"/>
            </c:manualLayout>
          </c:layout>
          <c:spPr>
            <a:noFill/>
            <a:ln>
              <a:noFill/>
            </a:ln>
            <a:effectLst/>
          </c:spPr>
          <c:txPr>
            <a:bodyPr rot="0" spcFirstLastPara="1" vertOverflow="ellipsis" vert="horz" wrap="square" lIns="38100" tIns="19050" rIns="38100" bIns="19050" anchor="ctr" anchorCtr="1">
              <a:spAutoFit/>
            </a:bodyPr>
            <a:lstStyle/>
            <a:p>
              <a:pPr>
                <a:defRPr lang="en-US" sz="1200" b="0" i="0" u="none" strike="noStrike" kern="1200" baseline="0">
                  <a:solidFill>
                    <a:schemeClr val="bg1">
                      <a:lumMod val="50000"/>
                    </a:schemeClr>
                  </a:solidFill>
                  <a:latin typeface="Segoe UI Black" panose="020B0A02040204020203" pitchFamily="34" charset="0"/>
                  <a:ea typeface="Segoe UI Black" panose="020B0A02040204020203" pitchFamily="34" charset="0"/>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26726077586631142"/>
          <c:y val="0.37143965665801149"/>
          <c:w val="0.5071451240474899"/>
          <c:h val="0.62214827877104451"/>
        </c:manualLayout>
      </c:layout>
      <c:pieChart>
        <c:varyColors val="1"/>
        <c:ser>
          <c:idx val="0"/>
          <c:order val="0"/>
          <c:tx>
            <c:strRef>
              <c:f>'Pivot tables'!$C$35:$C$36</c:f>
              <c:strCache>
                <c:ptCount val="1"/>
                <c:pt idx="0">
                  <c:v>Instagram</c:v>
                </c:pt>
              </c:strCache>
            </c:strRef>
          </c:tx>
          <c:dPt>
            <c:idx val="0"/>
            <c:bubble3D val="0"/>
            <c:spPr>
              <a:solidFill>
                <a:srgbClr val="FDDFF7"/>
              </a:solidFill>
              <a:ln w="19050">
                <a:solidFill>
                  <a:schemeClr val="lt1"/>
                </a:solidFill>
              </a:ln>
              <a:effectLst/>
            </c:spPr>
            <c:extLst>
              <c:ext xmlns:c16="http://schemas.microsoft.com/office/drawing/2014/chart" uri="{C3380CC4-5D6E-409C-BE32-E72D297353CC}">
                <c16:uniqueId val="{00000001-B529-4A19-B260-46FC31C3912B}"/>
              </c:ext>
            </c:extLst>
          </c:dPt>
          <c:dPt>
            <c:idx val="1"/>
            <c:bubble3D val="0"/>
            <c:spPr>
              <a:solidFill>
                <a:srgbClr val="FF99CC"/>
              </a:solidFill>
              <a:ln w="19050">
                <a:solidFill>
                  <a:schemeClr val="lt1"/>
                </a:solidFill>
              </a:ln>
              <a:effectLst/>
            </c:spPr>
            <c:extLst>
              <c:ext xmlns:c16="http://schemas.microsoft.com/office/drawing/2014/chart" uri="{C3380CC4-5D6E-409C-BE32-E72D297353CC}">
                <c16:uniqueId val="{00000003-B529-4A19-B260-46FC31C3912B}"/>
              </c:ext>
            </c:extLst>
          </c:dPt>
          <c:dPt>
            <c:idx val="2"/>
            <c:bubble3D val="0"/>
            <c:spPr>
              <a:solidFill>
                <a:srgbClr val="FF66CC"/>
              </a:solidFill>
              <a:ln w="19050">
                <a:solidFill>
                  <a:schemeClr val="lt1"/>
                </a:solidFill>
              </a:ln>
              <a:effectLst/>
            </c:spPr>
            <c:extLst>
              <c:ext xmlns:c16="http://schemas.microsoft.com/office/drawing/2014/chart" uri="{C3380CC4-5D6E-409C-BE32-E72D297353CC}">
                <c16:uniqueId val="{00000005-B529-4A19-B260-46FC31C3912B}"/>
              </c:ext>
            </c:extLst>
          </c:dPt>
          <c:dPt>
            <c:idx val="3"/>
            <c:bubble3D val="0"/>
            <c:spPr>
              <a:solidFill>
                <a:srgbClr val="FF3399"/>
              </a:solidFill>
              <a:ln w="19050">
                <a:solidFill>
                  <a:schemeClr val="lt1"/>
                </a:solidFill>
              </a:ln>
              <a:effectLst/>
            </c:spPr>
            <c:extLst>
              <c:ext xmlns:c16="http://schemas.microsoft.com/office/drawing/2014/chart" uri="{C3380CC4-5D6E-409C-BE32-E72D297353CC}">
                <c16:uniqueId val="{00000007-B529-4A19-B260-46FC31C3912B}"/>
              </c:ext>
            </c:extLst>
          </c:dPt>
          <c:dLbls>
            <c:dLbl>
              <c:idx val="0"/>
              <c:layout>
                <c:manualLayout>
                  <c:x val="3.4302500941054345E-2"/>
                  <c:y val="-3.4030817065016192E-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B529-4A19-B260-46FC31C3912B}"/>
                </c:ext>
              </c:extLst>
            </c:dLbl>
            <c:dLbl>
              <c:idx val="1"/>
              <c:layout>
                <c:manualLayout>
                  <c:x val="4.5326562844830019E-2"/>
                  <c:y val="7.4092203404993329E-3"/>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B529-4A19-B260-46FC31C3912B}"/>
                </c:ext>
              </c:extLst>
            </c:dLbl>
            <c:dLbl>
              <c:idx val="2"/>
              <c:layout>
                <c:manualLayout>
                  <c:x val="-5.5486451331244822E-2"/>
                  <c:y val="1.052178925313595E-3"/>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B529-4A19-B260-46FC31C3912B}"/>
                </c:ext>
              </c:extLst>
            </c:dLbl>
            <c:dLbl>
              <c:idx val="3"/>
              <c:layout>
                <c:manualLayout>
                  <c:x val="-9.1723554620200057E-3"/>
                  <c:y val="-4.2550979847977934E-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7-B529-4A19-B260-46FC31C3912B}"/>
                </c:ext>
              </c:extLst>
            </c:dLbl>
            <c:spPr>
              <a:noFill/>
              <a:ln>
                <a:noFill/>
              </a:ln>
              <a:effectLst/>
            </c:spPr>
            <c:txPr>
              <a:bodyPr rot="0" spcFirstLastPara="1" vertOverflow="ellipsis" vert="horz" wrap="square" lIns="38100" tIns="19050" rIns="38100" bIns="19050" anchor="ctr" anchorCtr="1">
                <a:spAutoFit/>
              </a:bodyPr>
              <a:lstStyle/>
              <a:p>
                <a:pPr>
                  <a:defRPr lang="en-US" sz="1200" b="0" i="0" u="none" strike="noStrike" kern="1200" baseline="0">
                    <a:solidFill>
                      <a:schemeClr val="bg1">
                        <a:lumMod val="50000"/>
                      </a:schemeClr>
                    </a:solidFill>
                    <a:latin typeface="Segoe UI Black" panose="020B0A02040204020203" pitchFamily="34" charset="0"/>
                    <a:ea typeface="Segoe UI Black" panose="020B0A02040204020203" pitchFamily="34" charset="0"/>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tables'!$B$37:$B$41</c:f>
              <c:strCache>
                <c:ptCount val="4"/>
                <c:pt idx="0">
                  <c:v>1-13</c:v>
                </c:pt>
                <c:pt idx="1">
                  <c:v>14-26</c:v>
                </c:pt>
                <c:pt idx="2">
                  <c:v>27-39</c:v>
                </c:pt>
                <c:pt idx="3">
                  <c:v>40-52</c:v>
                </c:pt>
              </c:strCache>
            </c:strRef>
          </c:cat>
          <c:val>
            <c:numRef>
              <c:f>'Pivot tables'!$C$37:$C$41</c:f>
              <c:numCache>
                <c:formatCode>General</c:formatCode>
                <c:ptCount val="4"/>
                <c:pt idx="0">
                  <c:v>298</c:v>
                </c:pt>
                <c:pt idx="1">
                  <c:v>303</c:v>
                </c:pt>
                <c:pt idx="2">
                  <c:v>260</c:v>
                </c:pt>
                <c:pt idx="3">
                  <c:v>332</c:v>
                </c:pt>
              </c:numCache>
            </c:numRef>
          </c:val>
          <c:extLst>
            <c:ext xmlns:c16="http://schemas.microsoft.com/office/drawing/2014/chart" uri="{C3380CC4-5D6E-409C-BE32-E72D297353CC}">
              <c16:uniqueId val="{00000008-B529-4A19-B260-46FC31C3912B}"/>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t"/>
      <c:layout>
        <c:manualLayout>
          <c:xMode val="edge"/>
          <c:yMode val="edge"/>
          <c:x val="9.7360038792659406E-2"/>
          <c:y val="0.19308412382152879"/>
          <c:w val="0.80527970369197366"/>
          <c:h val="8.320069783697645E-2"/>
        </c:manualLayout>
      </c:layout>
      <c:overlay val="0"/>
      <c:spPr>
        <a:noFill/>
        <a:ln>
          <a:noFill/>
        </a:ln>
        <a:effectLst/>
      </c:spPr>
      <c:txPr>
        <a:bodyPr rot="0" spcFirstLastPara="1" vertOverflow="ellipsis" vert="horz" wrap="square" anchor="ctr" anchorCtr="1"/>
        <a:lstStyle/>
        <a:p>
          <a:pPr>
            <a:defRPr lang="en-US" sz="1600" b="1" i="0" u="none" strike="noStrike" kern="1200" baseline="0">
              <a:solidFill>
                <a:schemeClr val="bg1">
                  <a:lumMod val="50000"/>
                </a:schemeClr>
              </a:solidFill>
              <a:latin typeface="Segoe UI Black" panose="020B0A02040204020203" pitchFamily="34" charset="0"/>
              <a:ea typeface="Segoe UI Black" panose="020B0A02040204020203" pitchFamily="34" charset="0"/>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[Social-Media-Project (Sub).xlsx]Pivot tables!PivotTable62</c:name>
    <c:fmtId val="45"/>
  </c:pivotSource>
  <c:chart>
    <c:title>
      <c:tx>
        <c:rich>
          <a:bodyPr rot="0" spcFirstLastPara="1" vertOverflow="ellipsis" vert="horz" wrap="square" anchor="ctr" anchorCtr="1"/>
          <a:lstStyle/>
          <a:p>
            <a:pPr algn="ctr" rtl="0">
              <a:defRPr lang="en-US" sz="2800" b="1" i="0" u="none" strike="noStrike" kern="1200" spc="0" baseline="0">
                <a:solidFill>
                  <a:schemeClr val="bg1">
                    <a:lumMod val="50000"/>
                  </a:schemeClr>
                </a:solidFill>
                <a:latin typeface="Segoe UI Black" panose="020B0A02040204020203" pitchFamily="34" charset="0"/>
                <a:ea typeface="Segoe UI Black" panose="020B0A02040204020203" pitchFamily="34" charset="0"/>
                <a:cs typeface="+mn-cs"/>
              </a:defRPr>
            </a:pPr>
            <a:r>
              <a:rPr lang="en-US" sz="2800" b="1" i="0" u="none" strike="noStrike" kern="1200" spc="0" baseline="0">
                <a:solidFill>
                  <a:schemeClr val="bg1">
                    <a:lumMod val="50000"/>
                  </a:schemeClr>
                </a:solidFill>
                <a:latin typeface="Segoe UI Black" panose="020B0A02040204020203" pitchFamily="34" charset="0"/>
                <a:ea typeface="Segoe UI Black" panose="020B0A02040204020203" pitchFamily="34" charset="0"/>
                <a:cs typeface="+mn-cs"/>
              </a:rPr>
              <a:t>Growth/Week</a:t>
            </a:r>
          </a:p>
        </c:rich>
      </c:tx>
      <c:overlay val="0"/>
      <c:spPr>
        <a:noFill/>
        <a:ln>
          <a:noFill/>
        </a:ln>
        <a:effectLst/>
      </c:spPr>
      <c:txPr>
        <a:bodyPr rot="0" spcFirstLastPara="1" vertOverflow="ellipsis" vert="horz" wrap="square" anchor="ctr" anchorCtr="1"/>
        <a:lstStyle/>
        <a:p>
          <a:pPr algn="ctr" rtl="0">
            <a:defRPr lang="en-US" sz="2800" b="1" i="0" u="none" strike="noStrike" kern="1200" spc="0" baseline="0">
              <a:solidFill>
                <a:schemeClr val="bg1">
                  <a:lumMod val="50000"/>
                </a:schemeClr>
              </a:solidFill>
              <a:latin typeface="Segoe UI Black" panose="020B0A02040204020203" pitchFamily="34" charset="0"/>
              <a:ea typeface="Segoe UI Black" panose="020B0A02040204020203" pitchFamily="34" charset="0"/>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rtl="0">
                <a:defRPr lang="en-US" sz="1200" b="0" i="0" u="none" strike="noStrike" kern="1200" baseline="0">
                  <a:solidFill>
                    <a:sysClr val="window" lastClr="FFFFFF">
                      <a:lumMod val="50000"/>
                    </a:sysClr>
                  </a:solidFill>
                  <a:latin typeface="Segoe UI Black" panose="020B0A02040204020203" pitchFamily="34" charset="0"/>
                  <a:ea typeface="Segoe UI Black" panose="020B0A02040204020203" pitchFamily="34" charset="0"/>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5">
              <a:lumMod val="20000"/>
              <a:lumOff val="80000"/>
            </a:schemeClr>
          </a:solidFill>
          <a:ln w="19050">
            <a:solidFill>
              <a:schemeClr val="lt1"/>
            </a:solidFill>
          </a:ln>
          <a:effectLst/>
        </c:spPr>
        <c:dLbl>
          <c:idx val="0"/>
          <c:layout>
            <c:manualLayout>
              <c:x val="4.5884709388807499E-3"/>
              <c:y val="-1.2673148127635942E-2"/>
            </c:manualLayout>
          </c:layout>
          <c:tx>
            <c:rich>
              <a:bodyPr rot="0" spcFirstLastPara="1" vertOverflow="ellipsis" vert="horz" wrap="square" lIns="38100" tIns="19050" rIns="38100" bIns="19050" anchor="ctr" anchorCtr="0">
                <a:spAutoFit/>
              </a:bodyPr>
              <a:lstStyle/>
              <a:p>
                <a:pPr algn="ctr" rtl="0">
                  <a:defRPr lang="en-US" sz="1200" b="0" i="0" u="none" strike="noStrike" kern="1200" baseline="0">
                    <a:solidFill>
                      <a:sysClr val="window" lastClr="FFFFFF">
                        <a:lumMod val="50000"/>
                      </a:sysClr>
                    </a:solidFill>
                    <a:latin typeface="Segoe UI Black" panose="020B0A02040204020203" pitchFamily="34" charset="0"/>
                    <a:ea typeface="Segoe UI Black" panose="020B0A02040204020203" pitchFamily="34" charset="0"/>
                    <a:cs typeface="+mn-cs"/>
                  </a:defRPr>
                </a:pPr>
                <a:fld id="{CD014495-754A-41E1-9A12-BEA1B7CAC168}" type="PERCENTAGE">
                  <a:rPr lang="en-US" sz="1200" b="0" i="0" u="none" strike="noStrike" kern="1200" baseline="0">
                    <a:solidFill>
                      <a:sysClr val="window" lastClr="FFFFFF">
                        <a:lumMod val="50000"/>
                      </a:sysClr>
                    </a:solidFill>
                    <a:latin typeface="Segoe UI Black" panose="020B0A02040204020203" pitchFamily="34" charset="0"/>
                    <a:ea typeface="Segoe UI Black" panose="020B0A02040204020203" pitchFamily="34" charset="0"/>
                    <a:cs typeface="+mn-cs"/>
                  </a:rPr>
                  <a:pPr algn="ctr" rtl="0">
                    <a:defRPr lang="en-US" sz="1200" b="0" i="0" u="none" strike="noStrike" kern="1200" baseline="0">
                      <a:solidFill>
                        <a:sysClr val="window" lastClr="FFFFFF">
                          <a:lumMod val="50000"/>
                        </a:sysClr>
                      </a:solidFill>
                      <a:latin typeface="Segoe UI Black" panose="020B0A02040204020203" pitchFamily="34" charset="0"/>
                      <a:ea typeface="Segoe UI Black" panose="020B0A02040204020203" pitchFamily="34" charset="0"/>
                      <a:cs typeface="+mn-cs"/>
                    </a:defRPr>
                  </a:pPr>
                  <a:t>[PERCENTAGE]</a:t>
                </a:fld>
                <a:endParaRPr lang="en-US"/>
              </a:p>
            </c:rich>
          </c:tx>
          <c:spPr>
            <a:noFill/>
            <a:ln>
              <a:noFill/>
            </a:ln>
            <a:effectLst/>
          </c:spPr>
          <c:txPr>
            <a:bodyPr rot="0" spcFirstLastPara="1" vertOverflow="ellipsis" vert="horz" wrap="square" lIns="38100" tIns="19050" rIns="38100" bIns="19050" anchor="ctr" anchorCtr="0">
              <a:spAutoFit/>
            </a:bodyPr>
            <a:lstStyle/>
            <a:p>
              <a:pPr algn="ctr" rtl="0">
                <a:defRPr lang="en-US" sz="1200" b="0" i="0" u="none" strike="noStrike" kern="1200" baseline="0">
                  <a:solidFill>
                    <a:sysClr val="window" lastClr="FFFFFF">
                      <a:lumMod val="50000"/>
                    </a:sysClr>
                  </a:solidFill>
                  <a:latin typeface="Segoe UI Black" panose="020B0A02040204020203" pitchFamily="34" charset="0"/>
                  <a:ea typeface="Segoe UI Black" panose="020B0A02040204020203" pitchFamily="34" charset="0"/>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8"/>
        <c:spPr>
          <a:solidFill>
            <a:srgbClr val="9AC2E6"/>
          </a:solidFill>
          <a:ln w="19050">
            <a:solidFill>
              <a:schemeClr val="lt1"/>
            </a:solidFill>
          </a:ln>
          <a:effectLst/>
        </c:spPr>
        <c:dLbl>
          <c:idx val="0"/>
          <c:layout>
            <c:manualLayout>
              <c:x val="2.1137904988447344E-2"/>
              <c:y val="2.556935588476373E-2"/>
            </c:manualLayout>
          </c:layout>
          <c:spPr>
            <a:noFill/>
            <a:ln>
              <a:noFill/>
            </a:ln>
            <a:effectLst/>
          </c:spPr>
          <c:txPr>
            <a:bodyPr rot="0" spcFirstLastPara="1" vertOverflow="ellipsis" vert="horz" wrap="square" lIns="38100" tIns="19050" rIns="38100" bIns="19050" anchor="ctr" anchorCtr="0">
              <a:spAutoFit/>
            </a:bodyPr>
            <a:lstStyle/>
            <a:p>
              <a:pPr algn="ctr" rtl="0">
                <a:defRPr lang="en-US" sz="1200" b="0" i="0" u="none" strike="noStrike" kern="1200" baseline="0">
                  <a:solidFill>
                    <a:sysClr val="window" lastClr="FFFFFF">
                      <a:lumMod val="50000"/>
                    </a:sysClr>
                  </a:solidFill>
                  <a:latin typeface="Segoe UI Black" panose="020B0A02040204020203" pitchFamily="34" charset="0"/>
                  <a:ea typeface="Segoe UI Black" panose="020B0A02040204020203" pitchFamily="34" charset="0"/>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9"/>
        <c:spPr>
          <a:solidFill>
            <a:srgbClr val="63B5F9"/>
          </a:solidFill>
          <a:ln w="19050">
            <a:solidFill>
              <a:schemeClr val="lt1"/>
            </a:solidFill>
          </a:ln>
          <a:effectLst/>
        </c:spPr>
        <c:dLbl>
          <c:idx val="0"/>
          <c:layout>
            <c:manualLayout>
              <c:x val="-4.5088635386631236E-2"/>
              <c:y val="8.6295557573956624E-3"/>
            </c:manualLayout>
          </c:layout>
          <c:spPr>
            <a:noFill/>
            <a:ln>
              <a:noFill/>
            </a:ln>
            <a:effectLst/>
          </c:spPr>
          <c:txPr>
            <a:bodyPr rot="0" spcFirstLastPara="1" vertOverflow="ellipsis" vert="horz" wrap="square" lIns="38100" tIns="19050" rIns="38100" bIns="19050" anchor="ctr" anchorCtr="0">
              <a:spAutoFit/>
            </a:bodyPr>
            <a:lstStyle/>
            <a:p>
              <a:pPr algn="ctr" rtl="0">
                <a:defRPr lang="en-US" sz="1200" b="0" i="0" u="none" strike="noStrike" kern="1200" baseline="0">
                  <a:solidFill>
                    <a:sysClr val="window" lastClr="FFFFFF">
                      <a:lumMod val="50000"/>
                    </a:sysClr>
                  </a:solidFill>
                  <a:latin typeface="Segoe UI Black" panose="020B0A02040204020203" pitchFamily="34" charset="0"/>
                  <a:ea typeface="Segoe UI Black" panose="020B0A02040204020203" pitchFamily="34" charset="0"/>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0"/>
        <c:spPr>
          <a:solidFill>
            <a:srgbClr val="4E93D2"/>
          </a:solidFill>
          <a:ln w="19050">
            <a:solidFill>
              <a:schemeClr val="lt1"/>
            </a:solidFill>
          </a:ln>
          <a:effectLst/>
        </c:spPr>
        <c:dLbl>
          <c:idx val="0"/>
          <c:layout>
            <c:manualLayout>
              <c:x val="-4.0465507629434606E-2"/>
              <c:y val="-2.3078268721157893E-2"/>
            </c:manualLayout>
          </c:layout>
          <c:tx>
            <c:rich>
              <a:bodyPr rot="0" spcFirstLastPara="1" vertOverflow="ellipsis" vert="horz" wrap="square" lIns="38100" tIns="19050" rIns="38100" bIns="19050" anchor="ctr" anchorCtr="0">
                <a:spAutoFit/>
              </a:bodyPr>
              <a:lstStyle/>
              <a:p>
                <a:pPr algn="ctr" rtl="0">
                  <a:defRPr lang="en-US" sz="1200" b="0" i="0" u="none" strike="noStrike" kern="1200" baseline="0">
                    <a:solidFill>
                      <a:sysClr val="window" lastClr="FFFFFF">
                        <a:lumMod val="50000"/>
                      </a:sysClr>
                    </a:solidFill>
                    <a:latin typeface="Segoe UI Black" panose="020B0A02040204020203" pitchFamily="34" charset="0"/>
                    <a:ea typeface="Segoe UI Black" panose="020B0A02040204020203" pitchFamily="34" charset="0"/>
                    <a:cs typeface="+mn-cs"/>
                  </a:defRPr>
                </a:pPr>
                <a:fld id="{16DB3E53-11D3-4E32-BFD9-BC718FB14E75}" type="PERCENTAGE">
                  <a:rPr lang="en-US" sz="1200" b="0" i="0" u="none" strike="noStrike" kern="1200" baseline="0">
                    <a:solidFill>
                      <a:sysClr val="window" lastClr="FFFFFF">
                        <a:lumMod val="50000"/>
                      </a:sysClr>
                    </a:solidFill>
                    <a:latin typeface="Segoe UI Black" panose="020B0A02040204020203" pitchFamily="34" charset="0"/>
                    <a:ea typeface="Segoe UI Black" panose="020B0A02040204020203" pitchFamily="34" charset="0"/>
                    <a:cs typeface="+mn-cs"/>
                  </a:rPr>
                  <a:pPr algn="ctr" rtl="0">
                    <a:defRPr lang="en-US" sz="1200" b="0" i="0" u="none" strike="noStrike" kern="1200" baseline="0">
                      <a:solidFill>
                        <a:sysClr val="window" lastClr="FFFFFF">
                          <a:lumMod val="50000"/>
                        </a:sysClr>
                      </a:solidFill>
                      <a:latin typeface="Segoe UI Black" panose="020B0A02040204020203" pitchFamily="34" charset="0"/>
                      <a:ea typeface="Segoe UI Black" panose="020B0A02040204020203" pitchFamily="34" charset="0"/>
                      <a:cs typeface="+mn-cs"/>
                    </a:defRPr>
                  </a:pPr>
                  <a:t>[PERCENTAGE]</a:t>
                </a:fld>
                <a:endParaRPr lang="en-US"/>
              </a:p>
            </c:rich>
          </c:tx>
          <c:spPr>
            <a:noFill/>
            <a:ln>
              <a:noFill/>
            </a:ln>
            <a:effectLst/>
          </c:spPr>
          <c:txPr>
            <a:bodyPr rot="0" spcFirstLastPara="1" vertOverflow="ellipsis" vert="horz" wrap="square" lIns="38100" tIns="19050" rIns="38100" bIns="19050" anchor="ctr" anchorCtr="0">
              <a:spAutoFit/>
            </a:bodyPr>
            <a:lstStyle/>
            <a:p>
              <a:pPr algn="ctr" rtl="0">
                <a:defRPr lang="en-US" sz="1200" b="0" i="0" u="none" strike="noStrike" kern="1200" baseline="0">
                  <a:solidFill>
                    <a:sysClr val="window" lastClr="FFFFFF">
                      <a:lumMod val="50000"/>
                    </a:sysClr>
                  </a:solidFill>
                  <a:latin typeface="Segoe UI Black" panose="020B0A02040204020203" pitchFamily="34" charset="0"/>
                  <a:ea typeface="Segoe UI Black" panose="020B0A02040204020203" pitchFamily="34" charset="0"/>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s>
    <c:plotArea>
      <c:layout>
        <c:manualLayout>
          <c:layoutTarget val="inner"/>
          <c:xMode val="edge"/>
          <c:yMode val="edge"/>
          <c:x val="0.26473540207761886"/>
          <c:y val="0.39677801350058084"/>
          <c:w val="0.51716648607633631"/>
          <c:h val="0.57643596842889144"/>
        </c:manualLayout>
      </c:layout>
      <c:pieChart>
        <c:varyColors val="1"/>
        <c:ser>
          <c:idx val="0"/>
          <c:order val="0"/>
          <c:tx>
            <c:strRef>
              <c:f>'Pivot tables'!$F$35:$F$36</c:f>
              <c:strCache>
                <c:ptCount val="1"/>
                <c:pt idx="0">
                  <c:v>Linkedin</c:v>
                </c:pt>
              </c:strCache>
            </c:strRef>
          </c:tx>
          <c:dPt>
            <c:idx val="0"/>
            <c:bubble3D val="0"/>
            <c:spPr>
              <a:solidFill>
                <a:schemeClr val="accent5">
                  <a:lumMod val="20000"/>
                  <a:lumOff val="80000"/>
                </a:schemeClr>
              </a:solidFill>
              <a:ln w="19050">
                <a:solidFill>
                  <a:schemeClr val="lt1"/>
                </a:solidFill>
              </a:ln>
              <a:effectLst/>
            </c:spPr>
            <c:extLst>
              <c:ext xmlns:c16="http://schemas.microsoft.com/office/drawing/2014/chart" uri="{C3380CC4-5D6E-409C-BE32-E72D297353CC}">
                <c16:uniqueId val="{00000001-3849-4DAE-8602-BCCD96E86F6C}"/>
              </c:ext>
            </c:extLst>
          </c:dPt>
          <c:dPt>
            <c:idx val="1"/>
            <c:bubble3D val="0"/>
            <c:spPr>
              <a:solidFill>
                <a:srgbClr val="9AC2E6"/>
              </a:solidFill>
              <a:ln w="19050">
                <a:solidFill>
                  <a:schemeClr val="lt1"/>
                </a:solidFill>
              </a:ln>
              <a:effectLst/>
            </c:spPr>
            <c:extLst>
              <c:ext xmlns:c16="http://schemas.microsoft.com/office/drawing/2014/chart" uri="{C3380CC4-5D6E-409C-BE32-E72D297353CC}">
                <c16:uniqueId val="{00000003-3849-4DAE-8602-BCCD96E86F6C}"/>
              </c:ext>
            </c:extLst>
          </c:dPt>
          <c:dPt>
            <c:idx val="2"/>
            <c:bubble3D val="0"/>
            <c:spPr>
              <a:solidFill>
                <a:srgbClr val="63B5F9"/>
              </a:solidFill>
              <a:ln w="19050">
                <a:solidFill>
                  <a:schemeClr val="lt1"/>
                </a:solidFill>
              </a:ln>
              <a:effectLst/>
            </c:spPr>
            <c:extLst>
              <c:ext xmlns:c16="http://schemas.microsoft.com/office/drawing/2014/chart" uri="{C3380CC4-5D6E-409C-BE32-E72D297353CC}">
                <c16:uniqueId val="{00000005-3849-4DAE-8602-BCCD96E86F6C}"/>
              </c:ext>
            </c:extLst>
          </c:dPt>
          <c:dPt>
            <c:idx val="3"/>
            <c:bubble3D val="0"/>
            <c:spPr>
              <a:solidFill>
                <a:srgbClr val="4E93D2"/>
              </a:solidFill>
              <a:ln w="19050">
                <a:solidFill>
                  <a:schemeClr val="lt1"/>
                </a:solidFill>
              </a:ln>
              <a:effectLst/>
            </c:spPr>
            <c:extLst>
              <c:ext xmlns:c16="http://schemas.microsoft.com/office/drawing/2014/chart" uri="{C3380CC4-5D6E-409C-BE32-E72D297353CC}">
                <c16:uniqueId val="{00000007-3849-4DAE-8602-BCCD96E86F6C}"/>
              </c:ext>
            </c:extLst>
          </c:dPt>
          <c:dLbls>
            <c:dLbl>
              <c:idx val="0"/>
              <c:layout>
                <c:manualLayout>
                  <c:x val="4.5884709388807499E-3"/>
                  <c:y val="-1.2673148127635942E-2"/>
                </c:manualLayout>
              </c:layout>
              <c:tx>
                <c:rich>
                  <a:bodyPr/>
                  <a:lstStyle/>
                  <a:p>
                    <a:fld id="{CD014495-754A-41E1-9A12-BEA1B7CAC168}" type="PERCENTAGE">
                      <a:rPr lang="en-US" sz="1200" b="0" i="0" u="none" strike="noStrike" kern="1200" baseline="0">
                        <a:solidFill>
                          <a:sysClr val="window" lastClr="FFFFFF">
                            <a:lumMod val="50000"/>
                          </a:sysClr>
                        </a:solidFill>
                        <a:latin typeface="Segoe UI Black" panose="020B0A02040204020203" pitchFamily="34" charset="0"/>
                        <a:ea typeface="Segoe UI Black" panose="020B0A02040204020203" pitchFamily="34" charset="0"/>
                        <a:cs typeface="+mn-cs"/>
                      </a:rPr>
                      <a:pPr/>
                      <a:t>[PERCENTAGE]</a:t>
                    </a:fld>
                    <a:endParaRPr lang="en-US"/>
                  </a:p>
                </c:rich>
              </c:tx>
              <c:dLblPos val="bestFit"/>
              <c:showLegendKey val="0"/>
              <c:showVal val="0"/>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3849-4DAE-8602-BCCD96E86F6C}"/>
                </c:ext>
              </c:extLst>
            </c:dLbl>
            <c:dLbl>
              <c:idx val="1"/>
              <c:layout>
                <c:manualLayout>
                  <c:x val="2.1137904988447344E-2"/>
                  <c:y val="2.556935588476373E-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3849-4DAE-8602-BCCD96E86F6C}"/>
                </c:ext>
              </c:extLst>
            </c:dLbl>
            <c:dLbl>
              <c:idx val="2"/>
              <c:layout>
                <c:manualLayout>
                  <c:x val="-4.5088635386631236E-2"/>
                  <c:y val="8.6295557573956624E-3"/>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3849-4DAE-8602-BCCD96E86F6C}"/>
                </c:ext>
              </c:extLst>
            </c:dLbl>
            <c:dLbl>
              <c:idx val="3"/>
              <c:layout>
                <c:manualLayout>
                  <c:x val="-4.0465507629434606E-2"/>
                  <c:y val="-2.3078268721157893E-2"/>
                </c:manualLayout>
              </c:layout>
              <c:tx>
                <c:rich>
                  <a:bodyPr/>
                  <a:lstStyle/>
                  <a:p>
                    <a:fld id="{16DB3E53-11D3-4E32-BFD9-BC718FB14E75}" type="PERCENTAGE">
                      <a:rPr lang="en-US" sz="1200" b="0" i="0" u="none" strike="noStrike" kern="1200" baseline="0">
                        <a:solidFill>
                          <a:sysClr val="window" lastClr="FFFFFF">
                            <a:lumMod val="50000"/>
                          </a:sysClr>
                        </a:solidFill>
                        <a:latin typeface="Segoe UI Black" panose="020B0A02040204020203" pitchFamily="34" charset="0"/>
                        <a:ea typeface="Segoe UI Black" panose="020B0A02040204020203" pitchFamily="34" charset="0"/>
                        <a:cs typeface="+mn-cs"/>
                      </a:rPr>
                      <a:pPr/>
                      <a:t>[PERCENTAGE]</a:t>
                    </a:fld>
                    <a:endParaRPr lang="en-US"/>
                  </a:p>
                </c:rich>
              </c:tx>
              <c:dLblPos val="bestFit"/>
              <c:showLegendKey val="0"/>
              <c:showVal val="0"/>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7-3849-4DAE-8602-BCCD96E86F6C}"/>
                </c:ext>
              </c:extLst>
            </c:dLbl>
            <c:spPr>
              <a:noFill/>
              <a:ln>
                <a:noFill/>
              </a:ln>
              <a:effectLst/>
            </c:spPr>
            <c:txPr>
              <a:bodyPr rot="0" spcFirstLastPara="1" vertOverflow="ellipsis" vert="horz" wrap="square" lIns="38100" tIns="19050" rIns="38100" bIns="19050" anchor="ctr" anchorCtr="0">
                <a:spAutoFit/>
              </a:bodyPr>
              <a:lstStyle/>
              <a:p>
                <a:pPr algn="ctr" rtl="0">
                  <a:defRPr lang="en-US" sz="1200" b="0" i="0" u="none" strike="noStrike" kern="1200" baseline="0">
                    <a:solidFill>
                      <a:sysClr val="window" lastClr="FFFFFF">
                        <a:lumMod val="50000"/>
                      </a:sysClr>
                    </a:solidFill>
                    <a:latin typeface="Segoe UI Black" panose="020B0A02040204020203" pitchFamily="34" charset="0"/>
                    <a:ea typeface="Segoe UI Black" panose="020B0A02040204020203" pitchFamily="34" charset="0"/>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tables'!$E$37:$E$41</c:f>
              <c:strCache>
                <c:ptCount val="4"/>
                <c:pt idx="0">
                  <c:v>1-13</c:v>
                </c:pt>
                <c:pt idx="1">
                  <c:v>14-26</c:v>
                </c:pt>
                <c:pt idx="2">
                  <c:v>27-39</c:v>
                </c:pt>
                <c:pt idx="3">
                  <c:v>40-52</c:v>
                </c:pt>
              </c:strCache>
            </c:strRef>
          </c:cat>
          <c:val>
            <c:numRef>
              <c:f>'Pivot tables'!$F$37:$F$41</c:f>
              <c:numCache>
                <c:formatCode>General</c:formatCode>
                <c:ptCount val="4"/>
                <c:pt idx="0">
                  <c:v>201</c:v>
                </c:pt>
                <c:pt idx="1">
                  <c:v>220</c:v>
                </c:pt>
                <c:pt idx="2">
                  <c:v>193</c:v>
                </c:pt>
                <c:pt idx="3">
                  <c:v>236</c:v>
                </c:pt>
              </c:numCache>
            </c:numRef>
          </c:val>
          <c:extLst>
            <c:ext xmlns:c16="http://schemas.microsoft.com/office/drawing/2014/chart" uri="{C3380CC4-5D6E-409C-BE32-E72D297353CC}">
              <c16:uniqueId val="{00000008-3849-4DAE-8602-BCCD96E86F6C}"/>
            </c:ext>
          </c:extLst>
        </c:ser>
        <c:dLbls>
          <c:showLegendKey val="0"/>
          <c:showVal val="0"/>
          <c:showCatName val="0"/>
          <c:showSerName val="0"/>
          <c:showPercent val="0"/>
          <c:showBubbleSize val="0"/>
          <c:showLeaderLines val="1"/>
        </c:dLbls>
        <c:firstSliceAng val="0"/>
      </c:pieChart>
      <c:spPr>
        <a:noFill/>
        <a:ln>
          <a:noFill/>
        </a:ln>
        <a:effectLst/>
      </c:spPr>
    </c:plotArea>
    <c:legend>
      <c:legendPos val="t"/>
      <c:layout>
        <c:manualLayout>
          <c:xMode val="edge"/>
          <c:yMode val="edge"/>
          <c:x val="7.7492186723592593E-2"/>
          <c:y val="0.18184212716606288"/>
          <c:w val="0.84501539703746176"/>
          <c:h val="8.6648890932308528E-2"/>
        </c:manualLayout>
      </c:layout>
      <c:overlay val="0"/>
      <c:spPr>
        <a:noFill/>
        <a:ln>
          <a:noFill/>
        </a:ln>
        <a:effectLst/>
      </c:spPr>
      <c:txPr>
        <a:bodyPr rot="0" spcFirstLastPara="1" vertOverflow="ellipsis" vert="horz" wrap="square" anchor="ctr" anchorCtr="1"/>
        <a:lstStyle/>
        <a:p>
          <a:pPr>
            <a:defRPr lang="en-US" sz="1600" b="1" i="0" u="none" strike="noStrike" kern="1200" baseline="0">
              <a:solidFill>
                <a:schemeClr val="bg1">
                  <a:lumMod val="50000"/>
                </a:schemeClr>
              </a:solidFill>
              <a:latin typeface="Segoe UI Black" panose="020B0A02040204020203" pitchFamily="34" charset="0"/>
              <a:ea typeface="Segoe UI Black" panose="020B0A02040204020203" pitchFamily="34" charset="0"/>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[Social-Media-Project (Sub).xlsx]Pivot tables!PivotTable63</c:name>
    <c:fmtId val="44"/>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lang="en-US" sz="2800" b="1" i="0" u="none" strike="noStrike" kern="1200" spc="0" baseline="0">
                <a:solidFill>
                  <a:schemeClr val="bg1">
                    <a:lumMod val="50000"/>
                  </a:schemeClr>
                </a:solidFill>
                <a:latin typeface="Segoe UI Black" panose="020B0A02040204020203" pitchFamily="34" charset="0"/>
                <a:ea typeface="Segoe UI Black" panose="020B0A02040204020203" pitchFamily="34" charset="0"/>
                <a:cs typeface="+mn-cs"/>
              </a:defRPr>
            </a:pPr>
            <a:r>
              <a:rPr lang="en-US" sz="2800" b="1" i="0" u="none" strike="noStrike" kern="1200" spc="0" baseline="0">
                <a:solidFill>
                  <a:schemeClr val="bg1">
                    <a:lumMod val="50000"/>
                  </a:schemeClr>
                </a:solidFill>
                <a:latin typeface="Segoe UI Black" panose="020B0A02040204020203" pitchFamily="34" charset="0"/>
                <a:ea typeface="Segoe UI Black" panose="020B0A02040204020203" pitchFamily="34" charset="0"/>
                <a:cs typeface="+mn-cs"/>
              </a:rPr>
              <a:t>Growth/Week</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lang="en-US" sz="2800" b="1" i="0" u="none" strike="noStrike" kern="1200" spc="0" baseline="0">
              <a:solidFill>
                <a:schemeClr val="bg1">
                  <a:lumMod val="50000"/>
                </a:schemeClr>
              </a:solidFill>
              <a:latin typeface="Segoe UI Black" panose="020B0A02040204020203" pitchFamily="34" charset="0"/>
              <a:ea typeface="Segoe UI Black" panose="020B0A02040204020203" pitchFamily="34" charset="0"/>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rtl="0">
                <a:defRPr lang="en-US" sz="1200" b="0" i="0" u="none" strike="noStrike" kern="1200" baseline="0">
                  <a:solidFill>
                    <a:sysClr val="window" lastClr="FFFFFF">
                      <a:lumMod val="50000"/>
                    </a:sysClr>
                  </a:solidFill>
                  <a:latin typeface="Segoe UI Black" panose="020B0A02040204020203" pitchFamily="34" charset="0"/>
                  <a:ea typeface="Segoe UI Black" panose="020B0A02040204020203" pitchFamily="34" charset="0"/>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bg1">
              <a:lumMod val="85000"/>
            </a:schemeClr>
          </a:solidFill>
          <a:ln w="19050">
            <a:solidFill>
              <a:schemeClr val="lt1"/>
            </a:solidFill>
          </a:ln>
          <a:effectLst/>
        </c:spPr>
        <c:dLbl>
          <c:idx val="0"/>
          <c:layout>
            <c:manualLayout>
              <c:x val="3.4986001749781379E-2"/>
              <c:y val="-1.4726106771901613E-2"/>
            </c:manualLayout>
          </c:layout>
          <c:spPr>
            <a:noFill/>
            <a:ln>
              <a:noFill/>
            </a:ln>
            <a:effectLst/>
          </c:spPr>
          <c:txPr>
            <a:bodyPr rot="0" spcFirstLastPara="1" vertOverflow="ellipsis" vert="horz" wrap="square" lIns="38100" tIns="19050" rIns="38100" bIns="19050" anchor="ctr" anchorCtr="0">
              <a:spAutoFit/>
            </a:bodyPr>
            <a:lstStyle/>
            <a:p>
              <a:pPr algn="ctr" rtl="0">
                <a:defRPr lang="en-US" sz="1200" b="0" i="0" u="none" strike="noStrike" kern="1200" baseline="0">
                  <a:solidFill>
                    <a:sysClr val="window" lastClr="FFFFFF">
                      <a:lumMod val="50000"/>
                    </a:sysClr>
                  </a:solidFill>
                  <a:latin typeface="Segoe UI Black" panose="020B0A02040204020203" pitchFamily="34" charset="0"/>
                  <a:ea typeface="Segoe UI Black" panose="020B0A02040204020203" pitchFamily="34" charset="0"/>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bg1">
              <a:lumMod val="65000"/>
            </a:schemeClr>
          </a:solidFill>
          <a:ln w="19050">
            <a:solidFill>
              <a:schemeClr val="lt1"/>
            </a:solidFill>
          </a:ln>
          <a:effectLst/>
        </c:spPr>
        <c:dLbl>
          <c:idx val="0"/>
          <c:layout>
            <c:manualLayout>
              <c:x val="4.7705380577427819E-2"/>
              <c:y val="-2.2618110236220474E-2"/>
            </c:manualLayout>
          </c:layout>
          <c:spPr>
            <a:noFill/>
            <a:ln>
              <a:noFill/>
            </a:ln>
            <a:effectLst/>
          </c:spPr>
          <c:txPr>
            <a:bodyPr rot="0" spcFirstLastPara="1" vertOverflow="ellipsis" vert="horz" wrap="square" lIns="38100" tIns="19050" rIns="38100" bIns="19050" anchor="ctr" anchorCtr="0">
              <a:spAutoFit/>
            </a:bodyPr>
            <a:lstStyle/>
            <a:p>
              <a:pPr algn="ctr" rtl="0">
                <a:defRPr lang="en-US" sz="1200" b="0" i="0" u="none" strike="noStrike" kern="1200" baseline="0">
                  <a:solidFill>
                    <a:sysClr val="window" lastClr="FFFFFF">
                      <a:lumMod val="50000"/>
                    </a:sysClr>
                  </a:solidFill>
                  <a:latin typeface="Segoe UI Black" panose="020B0A02040204020203" pitchFamily="34" charset="0"/>
                  <a:ea typeface="Segoe UI Black" panose="020B0A02040204020203" pitchFamily="34" charset="0"/>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bg1">
              <a:lumMod val="50000"/>
            </a:schemeClr>
          </a:solidFill>
          <a:ln w="19050">
            <a:solidFill>
              <a:schemeClr val="lt1"/>
            </a:solidFill>
          </a:ln>
          <a:effectLst/>
        </c:spPr>
        <c:dLbl>
          <c:idx val="0"/>
          <c:layout>
            <c:manualLayout>
              <c:x val="-3.9254483814523185E-2"/>
              <c:y val="-3.1071375565949643E-2"/>
            </c:manualLayout>
          </c:layout>
          <c:spPr>
            <a:noFill/>
            <a:ln>
              <a:noFill/>
            </a:ln>
            <a:effectLst/>
          </c:spPr>
          <c:txPr>
            <a:bodyPr rot="0" spcFirstLastPara="1" vertOverflow="ellipsis" vert="horz" wrap="square" lIns="38100" tIns="19050" rIns="38100" bIns="19050" anchor="ctr" anchorCtr="0">
              <a:spAutoFit/>
            </a:bodyPr>
            <a:lstStyle/>
            <a:p>
              <a:pPr algn="ctr" rtl="0">
                <a:defRPr lang="en-US" sz="1200" b="0" i="0" u="none" strike="noStrike" kern="1200" baseline="0">
                  <a:solidFill>
                    <a:sysClr val="window" lastClr="FFFFFF">
                      <a:lumMod val="50000"/>
                    </a:sysClr>
                  </a:solidFill>
                  <a:latin typeface="Segoe UI Black" panose="020B0A02040204020203" pitchFamily="34" charset="0"/>
                  <a:ea typeface="Segoe UI Black" panose="020B0A02040204020203" pitchFamily="34" charset="0"/>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tx1">
              <a:lumMod val="65000"/>
              <a:lumOff val="35000"/>
            </a:schemeClr>
          </a:solidFill>
          <a:ln w="19050">
            <a:solidFill>
              <a:schemeClr val="lt1"/>
            </a:solidFill>
          </a:ln>
          <a:effectLst/>
        </c:spPr>
        <c:dLbl>
          <c:idx val="0"/>
          <c:layout>
            <c:manualLayout>
              <c:x val="-1.1690835520559955E-2"/>
              <c:y val="-3.4584776902887138E-2"/>
            </c:manualLayout>
          </c:layout>
          <c:spPr>
            <a:noFill/>
            <a:ln>
              <a:noFill/>
            </a:ln>
            <a:effectLst/>
          </c:spPr>
          <c:txPr>
            <a:bodyPr rot="0" spcFirstLastPara="1" vertOverflow="ellipsis" vert="horz" wrap="square" lIns="38100" tIns="19050" rIns="38100" bIns="19050" anchor="ctr" anchorCtr="0">
              <a:spAutoFit/>
            </a:bodyPr>
            <a:lstStyle/>
            <a:p>
              <a:pPr algn="ctr" rtl="0">
                <a:defRPr lang="en-US" sz="1200" b="0" i="0" u="none" strike="noStrike" kern="1200" baseline="0">
                  <a:solidFill>
                    <a:sysClr val="window" lastClr="FFFFFF">
                      <a:lumMod val="50000"/>
                    </a:sysClr>
                  </a:solidFill>
                  <a:latin typeface="Segoe UI Black" panose="020B0A02040204020203" pitchFamily="34" charset="0"/>
                  <a:ea typeface="Segoe UI Black" panose="020B0A02040204020203" pitchFamily="34" charset="0"/>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26433595800524934"/>
          <c:y val="0.42126252259619079"/>
          <c:w val="0.4824394138232721"/>
          <c:h val="0.57222401515890498"/>
        </c:manualLayout>
      </c:layout>
      <c:pieChart>
        <c:varyColors val="1"/>
        <c:ser>
          <c:idx val="0"/>
          <c:order val="0"/>
          <c:tx>
            <c:strRef>
              <c:f>'Pivot tables'!$I$35:$I$36</c:f>
              <c:strCache>
                <c:ptCount val="1"/>
                <c:pt idx="0">
                  <c:v>X</c:v>
                </c:pt>
              </c:strCache>
            </c:strRef>
          </c:tx>
          <c:dPt>
            <c:idx val="0"/>
            <c:bubble3D val="0"/>
            <c:spPr>
              <a:solidFill>
                <a:schemeClr val="bg1">
                  <a:lumMod val="85000"/>
                </a:schemeClr>
              </a:solidFill>
              <a:ln w="19050">
                <a:solidFill>
                  <a:schemeClr val="lt1"/>
                </a:solidFill>
              </a:ln>
              <a:effectLst/>
            </c:spPr>
            <c:extLst>
              <c:ext xmlns:c16="http://schemas.microsoft.com/office/drawing/2014/chart" uri="{C3380CC4-5D6E-409C-BE32-E72D297353CC}">
                <c16:uniqueId val="{00000001-32BC-4DDD-B7E2-ECF2DFD763F0}"/>
              </c:ext>
            </c:extLst>
          </c:dPt>
          <c:dPt>
            <c:idx val="1"/>
            <c:bubble3D val="0"/>
            <c:spPr>
              <a:solidFill>
                <a:schemeClr val="bg1">
                  <a:lumMod val="65000"/>
                </a:schemeClr>
              </a:solidFill>
              <a:ln w="19050">
                <a:solidFill>
                  <a:schemeClr val="lt1"/>
                </a:solidFill>
              </a:ln>
              <a:effectLst/>
            </c:spPr>
            <c:extLst>
              <c:ext xmlns:c16="http://schemas.microsoft.com/office/drawing/2014/chart" uri="{C3380CC4-5D6E-409C-BE32-E72D297353CC}">
                <c16:uniqueId val="{00000003-32BC-4DDD-B7E2-ECF2DFD763F0}"/>
              </c:ext>
            </c:extLst>
          </c:dPt>
          <c:dPt>
            <c:idx val="2"/>
            <c:bubble3D val="0"/>
            <c:spPr>
              <a:solidFill>
                <a:schemeClr val="bg1">
                  <a:lumMod val="50000"/>
                </a:schemeClr>
              </a:solidFill>
              <a:ln w="19050">
                <a:solidFill>
                  <a:schemeClr val="lt1"/>
                </a:solidFill>
              </a:ln>
              <a:effectLst/>
            </c:spPr>
            <c:extLst>
              <c:ext xmlns:c16="http://schemas.microsoft.com/office/drawing/2014/chart" uri="{C3380CC4-5D6E-409C-BE32-E72D297353CC}">
                <c16:uniqueId val="{00000005-32BC-4DDD-B7E2-ECF2DFD763F0}"/>
              </c:ext>
            </c:extLst>
          </c:dPt>
          <c:dPt>
            <c:idx val="3"/>
            <c:bubble3D val="0"/>
            <c:spPr>
              <a:solidFill>
                <a:schemeClr val="tx1">
                  <a:lumMod val="65000"/>
                  <a:lumOff val="35000"/>
                </a:schemeClr>
              </a:solidFill>
              <a:ln w="19050">
                <a:solidFill>
                  <a:schemeClr val="lt1"/>
                </a:solidFill>
              </a:ln>
              <a:effectLst/>
            </c:spPr>
            <c:extLst>
              <c:ext xmlns:c16="http://schemas.microsoft.com/office/drawing/2014/chart" uri="{C3380CC4-5D6E-409C-BE32-E72D297353CC}">
                <c16:uniqueId val="{00000007-32BC-4DDD-B7E2-ECF2DFD763F0}"/>
              </c:ext>
            </c:extLst>
          </c:dPt>
          <c:dLbls>
            <c:dLbl>
              <c:idx val="0"/>
              <c:layout>
                <c:manualLayout>
                  <c:x val="3.4986001749781379E-2"/>
                  <c:y val="-1.4726106771901613E-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32BC-4DDD-B7E2-ECF2DFD763F0}"/>
                </c:ext>
              </c:extLst>
            </c:dLbl>
            <c:dLbl>
              <c:idx val="1"/>
              <c:layout>
                <c:manualLayout>
                  <c:x val="4.7705380577427819E-2"/>
                  <c:y val="-2.2618110236220474E-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32BC-4DDD-B7E2-ECF2DFD763F0}"/>
                </c:ext>
              </c:extLst>
            </c:dLbl>
            <c:dLbl>
              <c:idx val="2"/>
              <c:layout>
                <c:manualLayout>
                  <c:x val="-3.9254483814523185E-2"/>
                  <c:y val="-3.1071375565949643E-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32BC-4DDD-B7E2-ECF2DFD763F0}"/>
                </c:ext>
              </c:extLst>
            </c:dLbl>
            <c:dLbl>
              <c:idx val="3"/>
              <c:layout>
                <c:manualLayout>
                  <c:x val="-1.1690835520559955E-2"/>
                  <c:y val="-3.4584776902887138E-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7-32BC-4DDD-B7E2-ECF2DFD763F0}"/>
                </c:ext>
              </c:extLst>
            </c:dLbl>
            <c:spPr>
              <a:noFill/>
              <a:ln>
                <a:noFill/>
              </a:ln>
              <a:effectLst/>
            </c:spPr>
            <c:txPr>
              <a:bodyPr rot="0" spcFirstLastPara="1" vertOverflow="ellipsis" vert="horz" wrap="square" lIns="38100" tIns="19050" rIns="38100" bIns="19050" anchor="ctr" anchorCtr="0">
                <a:spAutoFit/>
              </a:bodyPr>
              <a:lstStyle/>
              <a:p>
                <a:pPr algn="ctr" rtl="0">
                  <a:defRPr lang="en-US" sz="1200" b="0" i="0" u="none" strike="noStrike" kern="1200" baseline="0">
                    <a:solidFill>
                      <a:sysClr val="window" lastClr="FFFFFF">
                        <a:lumMod val="50000"/>
                      </a:sysClr>
                    </a:solidFill>
                    <a:latin typeface="Segoe UI Black" panose="020B0A02040204020203" pitchFamily="34" charset="0"/>
                    <a:ea typeface="Segoe UI Black" panose="020B0A02040204020203" pitchFamily="34" charset="0"/>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tables'!$H$37:$H$41</c:f>
              <c:strCache>
                <c:ptCount val="4"/>
                <c:pt idx="0">
                  <c:v>1-13</c:v>
                </c:pt>
                <c:pt idx="1">
                  <c:v>14-26</c:v>
                </c:pt>
                <c:pt idx="2">
                  <c:v>27-39</c:v>
                </c:pt>
                <c:pt idx="3">
                  <c:v>40-52</c:v>
                </c:pt>
              </c:strCache>
            </c:strRef>
          </c:cat>
          <c:val>
            <c:numRef>
              <c:f>'Pivot tables'!$I$37:$I$41</c:f>
              <c:numCache>
                <c:formatCode>General</c:formatCode>
                <c:ptCount val="4"/>
                <c:pt idx="0">
                  <c:v>321</c:v>
                </c:pt>
                <c:pt idx="1">
                  <c:v>336</c:v>
                </c:pt>
                <c:pt idx="2">
                  <c:v>291</c:v>
                </c:pt>
                <c:pt idx="3">
                  <c:v>362</c:v>
                </c:pt>
              </c:numCache>
            </c:numRef>
          </c:val>
          <c:extLst>
            <c:ext xmlns:c16="http://schemas.microsoft.com/office/drawing/2014/chart" uri="{C3380CC4-5D6E-409C-BE32-E72D297353CC}">
              <c16:uniqueId val="{00000008-32BC-4DDD-B7E2-ECF2DFD763F0}"/>
            </c:ext>
          </c:extLst>
        </c:ser>
        <c:dLbls>
          <c:showLegendKey val="0"/>
          <c:showVal val="0"/>
          <c:showCatName val="0"/>
          <c:showSerName val="0"/>
          <c:showPercent val="0"/>
          <c:showBubbleSize val="0"/>
          <c:showLeaderLines val="1"/>
        </c:dLbls>
        <c:firstSliceAng val="0"/>
      </c:pieChart>
      <c:spPr>
        <a:noFill/>
        <a:ln>
          <a:noFill/>
        </a:ln>
        <a:effectLst/>
      </c:spPr>
    </c:plotArea>
    <c:legend>
      <c:legendPos val="t"/>
      <c:layout>
        <c:manualLayout>
          <c:xMode val="edge"/>
          <c:yMode val="edge"/>
          <c:x val="0.10291579177602798"/>
          <c:y val="0.18671451145190382"/>
          <c:w val="0.80527952755905507"/>
          <c:h val="8.9179459932880747E-2"/>
        </c:manualLayout>
      </c:layout>
      <c:overlay val="0"/>
      <c:spPr>
        <a:noFill/>
        <a:ln>
          <a:noFill/>
        </a:ln>
        <a:effectLst/>
      </c:spPr>
      <c:txPr>
        <a:bodyPr rot="0" spcFirstLastPara="1" vertOverflow="ellipsis" vert="horz" wrap="square" anchor="ctr" anchorCtr="1"/>
        <a:lstStyle/>
        <a:p>
          <a:pPr>
            <a:defRPr lang="en-US" sz="1600" b="1" i="0" u="none" strike="noStrike" kern="1200" baseline="0">
              <a:solidFill>
                <a:schemeClr val="bg1">
                  <a:lumMod val="50000"/>
                </a:schemeClr>
              </a:solidFill>
              <a:latin typeface="Segoe UI Black" panose="020B0A02040204020203" pitchFamily="34" charset="0"/>
              <a:ea typeface="Segoe UI Black" panose="020B0A02040204020203" pitchFamily="34" charset="0"/>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2800" b="0" i="0" u="none" strike="noStrike" kern="1200" cap="all" spc="50" baseline="0">
                <a:solidFill>
                  <a:schemeClr val="bg1">
                    <a:lumMod val="50000"/>
                  </a:schemeClr>
                </a:solidFill>
                <a:latin typeface="Segoe UI Black" panose="020B0A02040204020203" pitchFamily="34" charset="0"/>
                <a:ea typeface="Segoe UI Black" panose="020B0A02040204020203" pitchFamily="34" charset="0"/>
                <a:cs typeface="+mn-cs"/>
              </a:defRPr>
            </a:pPr>
            <a:r>
              <a:rPr lang="en-US" sz="2800"/>
              <a:t>Most Effective Platform</a:t>
            </a:r>
          </a:p>
        </c:rich>
      </c:tx>
      <c:overlay val="0"/>
      <c:spPr>
        <a:noFill/>
        <a:ln>
          <a:noFill/>
        </a:ln>
        <a:effectLst/>
      </c:spPr>
      <c:txPr>
        <a:bodyPr rot="0" spcFirstLastPara="1" vertOverflow="ellipsis" vert="horz" wrap="square" anchor="ctr" anchorCtr="1"/>
        <a:lstStyle/>
        <a:p>
          <a:pPr>
            <a:defRPr lang="en-US" sz="2800" b="0" i="0" u="none" strike="noStrike" kern="1200" cap="all" spc="50" baseline="0">
              <a:solidFill>
                <a:schemeClr val="bg1">
                  <a:lumMod val="50000"/>
                </a:schemeClr>
              </a:solidFill>
              <a:latin typeface="Segoe UI Black" panose="020B0A02040204020203" pitchFamily="34" charset="0"/>
              <a:ea typeface="Segoe UI Black" panose="020B0A02040204020203" pitchFamily="34" charset="0"/>
              <a:cs typeface="+mn-cs"/>
            </a:defRPr>
          </a:pPr>
          <a:endParaRPr lang="en-US"/>
        </a:p>
      </c:txPr>
    </c:title>
    <c:autoTitleDeleted val="0"/>
    <c:plotArea>
      <c:layout/>
      <c:barChart>
        <c:barDir val="bar"/>
        <c:grouping val="clustered"/>
        <c:varyColors val="0"/>
        <c:ser>
          <c:idx val="0"/>
          <c:order val="0"/>
          <c:tx>
            <c:strRef>
              <c:f>'Pivot tables'!$H$53</c:f>
              <c:strCache>
                <c:ptCount val="1"/>
                <c:pt idx="0">
                  <c:v>Facebook</c:v>
                </c:pt>
              </c:strCache>
            </c:strRef>
          </c:tx>
          <c:spPr>
            <a:gradFill flip="none" rotWithShape="1">
              <a:gsLst>
                <a:gs pos="56000">
                  <a:srgbClr val="A2B9E2"/>
                </a:gs>
                <a:gs pos="100000">
                  <a:schemeClr val="accent1"/>
                </a:gs>
                <a:gs pos="4000">
                  <a:schemeClr val="bg1"/>
                </a:gs>
              </a:gsLst>
              <a:lin ang="0" scaled="0"/>
              <a:tileRect/>
            </a:gradFill>
            <a:ln>
              <a:noFill/>
            </a:ln>
            <a:effectLst/>
          </c:spPr>
          <c:invertIfNegative val="0"/>
          <c:dLbls>
            <c:spPr>
              <a:noFill/>
              <a:ln>
                <a:noFill/>
              </a:ln>
              <a:effectLst/>
            </c:spPr>
            <c:txPr>
              <a:bodyPr rot="0" spcFirstLastPara="1" vertOverflow="ellipsis" vert="horz" wrap="square" anchor="ctr" anchorCtr="1"/>
              <a:lstStyle/>
              <a:p>
                <a:pPr>
                  <a:defRPr lang="en-US" sz="1200" b="0" i="0" u="none" strike="noStrike" kern="1200" baseline="0">
                    <a:solidFill>
                      <a:schemeClr val="bg1">
                        <a:lumMod val="50000"/>
                      </a:schemeClr>
                    </a:solidFill>
                    <a:latin typeface="Segoe UI Black" panose="020B0A02040204020203" pitchFamily="34" charset="0"/>
                    <a:ea typeface="Segoe UI Black" panose="020B0A02040204020203" pitchFamily="34" charset="0"/>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tables'!$G$54:$G$57</c:f>
              <c:strCache>
                <c:ptCount val="4"/>
                <c:pt idx="0">
                  <c:v>Week (1-13)</c:v>
                </c:pt>
                <c:pt idx="1">
                  <c:v>Week (14-26)</c:v>
                </c:pt>
                <c:pt idx="2">
                  <c:v>Week (27-39)</c:v>
                </c:pt>
                <c:pt idx="3">
                  <c:v>Week (40-52)</c:v>
                </c:pt>
              </c:strCache>
            </c:strRef>
          </c:cat>
          <c:val>
            <c:numRef>
              <c:f>'Pivot tables'!$H$54:$H$57</c:f>
              <c:numCache>
                <c:formatCode>0%</c:formatCode>
                <c:ptCount val="4"/>
                <c:pt idx="0">
                  <c:v>0.22325013316138753</c:v>
                </c:pt>
                <c:pt idx="1">
                  <c:v>0.22765574860702109</c:v>
                </c:pt>
                <c:pt idx="2">
                  <c:v>0.22281563410118388</c:v>
                </c:pt>
                <c:pt idx="3">
                  <c:v>0.21294158561813442</c:v>
                </c:pt>
              </c:numCache>
            </c:numRef>
          </c:val>
          <c:extLst>
            <c:ext xmlns:c16="http://schemas.microsoft.com/office/drawing/2014/chart" uri="{C3380CC4-5D6E-409C-BE32-E72D297353CC}">
              <c16:uniqueId val="{00000000-B1AE-4D54-A351-D34696886D06}"/>
            </c:ext>
          </c:extLst>
        </c:ser>
        <c:ser>
          <c:idx val="1"/>
          <c:order val="1"/>
          <c:tx>
            <c:strRef>
              <c:f>'Pivot tables'!$I$53</c:f>
              <c:strCache>
                <c:ptCount val="1"/>
                <c:pt idx="0">
                  <c:v>Instagram</c:v>
                </c:pt>
              </c:strCache>
            </c:strRef>
          </c:tx>
          <c:spPr>
            <a:gradFill flip="none" rotWithShape="1">
              <a:gsLst>
                <a:gs pos="100000">
                  <a:srgbClr val="FF3399"/>
                </a:gs>
                <a:gs pos="58000">
                  <a:srgbClr val="FF99CC"/>
                </a:gs>
                <a:gs pos="4000">
                  <a:schemeClr val="bg1"/>
                </a:gs>
              </a:gsLst>
              <a:lin ang="0" scaled="0"/>
              <a:tileRect/>
            </a:gradFill>
            <a:ln>
              <a:noFill/>
            </a:ln>
            <a:effectLst/>
          </c:spPr>
          <c:invertIfNegative val="0"/>
          <c:dLbls>
            <c:spPr>
              <a:noFill/>
              <a:ln>
                <a:noFill/>
              </a:ln>
              <a:effectLst/>
            </c:spPr>
            <c:txPr>
              <a:bodyPr rot="0" spcFirstLastPara="1" vertOverflow="ellipsis" vert="horz" wrap="square" anchor="ctr" anchorCtr="1"/>
              <a:lstStyle/>
              <a:p>
                <a:pPr>
                  <a:defRPr lang="en-US" sz="1200" b="0" i="0" u="none" strike="noStrike" kern="1200" baseline="0">
                    <a:solidFill>
                      <a:schemeClr val="bg1">
                        <a:lumMod val="50000"/>
                      </a:schemeClr>
                    </a:solidFill>
                    <a:latin typeface="Segoe UI Black" panose="020B0A02040204020203" pitchFamily="34" charset="0"/>
                    <a:ea typeface="Segoe UI Black" panose="020B0A02040204020203" pitchFamily="34" charset="0"/>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tables'!$G$54:$G$57</c:f>
              <c:strCache>
                <c:ptCount val="4"/>
                <c:pt idx="0">
                  <c:v>Week (1-13)</c:v>
                </c:pt>
                <c:pt idx="1">
                  <c:v>Week (14-26)</c:v>
                </c:pt>
                <c:pt idx="2">
                  <c:v>Week (27-39)</c:v>
                </c:pt>
                <c:pt idx="3">
                  <c:v>Week (40-52)</c:v>
                </c:pt>
              </c:strCache>
            </c:strRef>
          </c:cat>
          <c:val>
            <c:numRef>
              <c:f>'Pivot tables'!$I$54:$I$57</c:f>
              <c:numCache>
                <c:formatCode>0%</c:formatCode>
                <c:ptCount val="4"/>
                <c:pt idx="0">
                  <c:v>0.2683090011976631</c:v>
                </c:pt>
                <c:pt idx="1">
                  <c:v>0.26215915438649601</c:v>
                </c:pt>
                <c:pt idx="2">
                  <c:v>0.2582334272521653</c:v>
                </c:pt>
                <c:pt idx="3">
                  <c:v>0.2699861871916428</c:v>
                </c:pt>
              </c:numCache>
            </c:numRef>
          </c:val>
          <c:extLst>
            <c:ext xmlns:c16="http://schemas.microsoft.com/office/drawing/2014/chart" uri="{C3380CC4-5D6E-409C-BE32-E72D297353CC}">
              <c16:uniqueId val="{00000001-B1AE-4D54-A351-D34696886D06}"/>
            </c:ext>
          </c:extLst>
        </c:ser>
        <c:ser>
          <c:idx val="2"/>
          <c:order val="2"/>
          <c:tx>
            <c:strRef>
              <c:f>'Pivot tables'!$J$53</c:f>
              <c:strCache>
                <c:ptCount val="1"/>
                <c:pt idx="0">
                  <c:v>Linkedin</c:v>
                </c:pt>
              </c:strCache>
            </c:strRef>
          </c:tx>
          <c:spPr>
            <a:gradFill flip="none" rotWithShape="1">
              <a:gsLst>
                <a:gs pos="100000">
                  <a:srgbClr val="00B0F0"/>
                </a:gs>
                <a:gs pos="61000">
                  <a:srgbClr val="9AC2E6"/>
                </a:gs>
                <a:gs pos="4000">
                  <a:schemeClr val="bg1"/>
                </a:gs>
              </a:gsLst>
              <a:lin ang="0" scaled="0"/>
              <a:tileRect/>
            </a:gradFill>
            <a:ln>
              <a:noFill/>
            </a:ln>
            <a:effectLst/>
          </c:spPr>
          <c:invertIfNegative val="0"/>
          <c:dLbls>
            <c:spPr>
              <a:noFill/>
              <a:ln>
                <a:noFill/>
              </a:ln>
              <a:effectLst/>
            </c:spPr>
            <c:txPr>
              <a:bodyPr rot="0" spcFirstLastPara="1" vertOverflow="ellipsis" vert="horz" wrap="square" anchor="ctr" anchorCtr="1"/>
              <a:lstStyle/>
              <a:p>
                <a:pPr>
                  <a:defRPr lang="en-US" sz="1200" b="0" i="0" u="none" strike="noStrike" kern="1200" baseline="0">
                    <a:solidFill>
                      <a:schemeClr val="bg1">
                        <a:lumMod val="50000"/>
                      </a:schemeClr>
                    </a:solidFill>
                    <a:latin typeface="Segoe UI Black" panose="020B0A02040204020203" pitchFamily="34" charset="0"/>
                    <a:ea typeface="Segoe UI Black" panose="020B0A02040204020203" pitchFamily="34" charset="0"/>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tables'!$G$54:$G$57</c:f>
              <c:strCache>
                <c:ptCount val="4"/>
                <c:pt idx="0">
                  <c:v>Week (1-13)</c:v>
                </c:pt>
                <c:pt idx="1">
                  <c:v>Week (14-26)</c:v>
                </c:pt>
                <c:pt idx="2">
                  <c:v>Week (27-39)</c:v>
                </c:pt>
                <c:pt idx="3">
                  <c:v>Week (40-52)</c:v>
                </c:pt>
              </c:strCache>
            </c:strRef>
          </c:cat>
          <c:val>
            <c:numRef>
              <c:f>'Pivot tables'!$J$54:$J$57</c:f>
              <c:numCache>
                <c:formatCode>0%</c:formatCode>
                <c:ptCount val="4"/>
                <c:pt idx="0">
                  <c:v>0.2112905187635008</c:v>
                </c:pt>
                <c:pt idx="1">
                  <c:v>0.21253820336062673</c:v>
                </c:pt>
                <c:pt idx="2">
                  <c:v>0.21165323637610353</c:v>
                </c:pt>
                <c:pt idx="3">
                  <c:v>0.21462305882403604</c:v>
                </c:pt>
              </c:numCache>
            </c:numRef>
          </c:val>
          <c:extLst>
            <c:ext xmlns:c16="http://schemas.microsoft.com/office/drawing/2014/chart" uri="{C3380CC4-5D6E-409C-BE32-E72D297353CC}">
              <c16:uniqueId val="{00000002-B1AE-4D54-A351-D34696886D06}"/>
            </c:ext>
          </c:extLst>
        </c:ser>
        <c:ser>
          <c:idx val="3"/>
          <c:order val="3"/>
          <c:tx>
            <c:strRef>
              <c:f>'Pivot tables'!$K$53</c:f>
              <c:strCache>
                <c:ptCount val="1"/>
                <c:pt idx="0">
                  <c:v>X</c:v>
                </c:pt>
              </c:strCache>
            </c:strRef>
          </c:tx>
          <c:spPr>
            <a:gradFill flip="none" rotWithShape="1">
              <a:gsLst>
                <a:gs pos="52000">
                  <a:srgbClr val="BFBFBF"/>
                </a:gs>
                <a:gs pos="100000">
                  <a:schemeClr val="bg1">
                    <a:lumMod val="50000"/>
                  </a:schemeClr>
                </a:gs>
                <a:gs pos="4000">
                  <a:schemeClr val="bg1"/>
                </a:gs>
              </a:gsLst>
              <a:lin ang="0" scaled="0"/>
              <a:tileRect/>
            </a:gradFill>
            <a:ln>
              <a:noFill/>
            </a:ln>
            <a:effectLst/>
          </c:spPr>
          <c:invertIfNegative val="0"/>
          <c:dLbls>
            <c:spPr>
              <a:noFill/>
              <a:ln>
                <a:noFill/>
              </a:ln>
              <a:effectLst/>
            </c:spPr>
            <c:txPr>
              <a:bodyPr rot="0" spcFirstLastPara="1" vertOverflow="ellipsis" vert="horz" wrap="square" anchor="ctr" anchorCtr="1"/>
              <a:lstStyle/>
              <a:p>
                <a:pPr>
                  <a:defRPr lang="en-US" sz="1200" b="0" i="0" u="none" strike="noStrike" kern="1200" baseline="0">
                    <a:solidFill>
                      <a:schemeClr val="bg1">
                        <a:lumMod val="50000"/>
                      </a:schemeClr>
                    </a:solidFill>
                    <a:latin typeface="Segoe UI Black" panose="020B0A02040204020203" pitchFamily="34" charset="0"/>
                    <a:ea typeface="Segoe UI Black" panose="020B0A02040204020203" pitchFamily="34" charset="0"/>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tables'!$G$54:$G$57</c:f>
              <c:strCache>
                <c:ptCount val="4"/>
                <c:pt idx="0">
                  <c:v>Week (1-13)</c:v>
                </c:pt>
                <c:pt idx="1">
                  <c:v>Week (14-26)</c:v>
                </c:pt>
                <c:pt idx="2">
                  <c:v>Week (27-39)</c:v>
                </c:pt>
                <c:pt idx="3">
                  <c:v>Week (40-52)</c:v>
                </c:pt>
              </c:strCache>
            </c:strRef>
          </c:cat>
          <c:val>
            <c:numRef>
              <c:f>'Pivot tables'!$K$54:$K$57</c:f>
              <c:numCache>
                <c:formatCode>0%</c:formatCode>
                <c:ptCount val="4"/>
                <c:pt idx="0">
                  <c:v>0.29715034687744862</c:v>
                </c:pt>
                <c:pt idx="1">
                  <c:v>0.29764689364585623</c:v>
                </c:pt>
                <c:pt idx="2">
                  <c:v>0.30729770227054731</c:v>
                </c:pt>
                <c:pt idx="3">
                  <c:v>0.30244916836618674</c:v>
                </c:pt>
              </c:numCache>
            </c:numRef>
          </c:val>
          <c:extLst>
            <c:ext xmlns:c16="http://schemas.microsoft.com/office/drawing/2014/chart" uri="{C3380CC4-5D6E-409C-BE32-E72D297353CC}">
              <c16:uniqueId val="{00000003-B1AE-4D54-A351-D34696886D06}"/>
            </c:ext>
          </c:extLst>
        </c:ser>
        <c:dLbls>
          <c:dLblPos val="outEnd"/>
          <c:showLegendKey val="0"/>
          <c:showVal val="1"/>
          <c:showCatName val="0"/>
          <c:showSerName val="0"/>
          <c:showPercent val="0"/>
          <c:showBubbleSize val="0"/>
        </c:dLbls>
        <c:gapWidth val="326"/>
        <c:overlap val="-58"/>
        <c:axId val="1606398816"/>
        <c:axId val="1550473040"/>
      </c:barChart>
      <c:catAx>
        <c:axId val="1606398816"/>
        <c:scaling>
          <c:orientation val="minMax"/>
        </c:scaling>
        <c:delete val="0"/>
        <c:axPos val="l"/>
        <c:numFmt formatCode="General" sourceLinked="1"/>
        <c:majorTickMark val="none"/>
        <c:minorTickMark val="none"/>
        <c:tickLblPos val="nextTo"/>
        <c:spPr>
          <a:noFill/>
          <a:ln w="19050" cap="flat" cmpd="sng" algn="ctr">
            <a:solidFill>
              <a:schemeClr val="tx1">
                <a:lumMod val="15000"/>
                <a:lumOff val="85000"/>
              </a:schemeClr>
            </a:solidFill>
            <a:round/>
            <a:headEnd type="none" w="sm" len="sm"/>
            <a:tailEnd type="none" w="sm" len="sm"/>
          </a:ln>
          <a:effectLst/>
        </c:spPr>
        <c:txPr>
          <a:bodyPr rot="-60000000" spcFirstLastPara="1" vertOverflow="ellipsis" vert="horz" wrap="square" anchor="ctr" anchorCtr="1"/>
          <a:lstStyle/>
          <a:p>
            <a:pPr>
              <a:defRPr lang="en-US" sz="1600" b="0" i="0" u="none" strike="noStrike" kern="1200" baseline="0">
                <a:solidFill>
                  <a:schemeClr val="bg1">
                    <a:lumMod val="50000"/>
                  </a:schemeClr>
                </a:solidFill>
                <a:latin typeface="Segoe UI Black" panose="020B0A02040204020203" pitchFamily="34" charset="0"/>
                <a:ea typeface="Segoe UI Black" panose="020B0A02040204020203" pitchFamily="34" charset="0"/>
                <a:cs typeface="+mn-cs"/>
              </a:defRPr>
            </a:pPr>
            <a:endParaRPr lang="en-US"/>
          </a:p>
        </c:txPr>
        <c:crossAx val="1550473040"/>
        <c:crosses val="autoZero"/>
        <c:auto val="1"/>
        <c:lblAlgn val="ctr"/>
        <c:lblOffset val="100"/>
        <c:noMultiLvlLbl val="0"/>
      </c:catAx>
      <c:valAx>
        <c:axId val="1550473040"/>
        <c:scaling>
          <c:orientation val="minMax"/>
        </c:scaling>
        <c:delete val="0"/>
        <c:axPos val="b"/>
        <c:majorGridlines>
          <c:spPr>
            <a:ln w="9525" cap="flat" cmpd="sng" algn="ctr">
              <a:gradFill>
                <a:gsLst>
                  <a:gs pos="99000">
                    <a:schemeClr val="tx1">
                      <a:lumMod val="25000"/>
                      <a:lumOff val="75000"/>
                    </a:schemeClr>
                  </a:gs>
                  <a:gs pos="0">
                    <a:schemeClr val="tx1">
                      <a:lumMod val="15000"/>
                      <a:lumOff val="85000"/>
                    </a:schemeClr>
                  </a:gs>
                </a:gsLst>
                <a:lin ang="5400000" scaled="0"/>
              </a:gra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lang="en-US" sz="1200" b="0" i="0" u="none" strike="noStrike" kern="1200" baseline="0">
                <a:solidFill>
                  <a:schemeClr val="bg1">
                    <a:lumMod val="50000"/>
                  </a:schemeClr>
                </a:solidFill>
                <a:latin typeface="Segoe UI Black" panose="020B0A02040204020203" pitchFamily="34" charset="0"/>
                <a:ea typeface="Segoe UI Black" panose="020B0A02040204020203" pitchFamily="34" charset="0"/>
                <a:cs typeface="+mn-cs"/>
              </a:defRPr>
            </a:pPr>
            <a:endParaRPr lang="en-US"/>
          </a:p>
        </c:txPr>
        <c:crossAx val="160639881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lang="en-US" sz="1800" b="0" i="0" u="none" strike="noStrike" kern="1200" baseline="0">
              <a:solidFill>
                <a:schemeClr val="bg1">
                  <a:lumMod val="50000"/>
                </a:schemeClr>
              </a:solidFill>
              <a:latin typeface="Segoe UI Black" panose="020B0A02040204020203" pitchFamily="34" charset="0"/>
              <a:ea typeface="Segoe UI Black" panose="020B0A02040204020203" pitchFamily="34" charset="0"/>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lgn="ctr">
        <a:defRPr lang="en-US" sz="1200" b="0" i="0" u="none" strike="noStrike" kern="1200" baseline="0">
          <a:solidFill>
            <a:schemeClr val="bg1">
              <a:lumMod val="50000"/>
            </a:schemeClr>
          </a:solidFill>
          <a:latin typeface="Segoe UI Black" panose="020B0A02040204020203" pitchFamily="34" charset="0"/>
          <a:ea typeface="Segoe UI Black" panose="020B0A02040204020203" pitchFamily="34" charset="0"/>
          <a:cs typeface="+mn-cs"/>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9050" cap="flat" cmpd="sng" algn="ctr">
        <a:solidFill>
          <a:schemeClr val="tx1">
            <a:lumMod val="15000"/>
            <a:lumOff val="8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99000">
              <a:schemeClr val="tx1">
                <a:lumMod val="25000"/>
                <a:lumOff val="75000"/>
              </a:schemeClr>
            </a:gs>
            <a:gs pos="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15000"/>
                <a:lumOff val="85000"/>
              </a:schemeClr>
            </a:gs>
            <a:gs pos="0">
              <a:schemeClr val="tx1">
                <a:lumMod val="5000"/>
                <a:lumOff val="9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3" Type="http://schemas.openxmlformats.org/officeDocument/2006/relationships/image" Target="../media/image3.svg"/><Relationship Id="rId7" Type="http://schemas.openxmlformats.org/officeDocument/2006/relationships/image" Target="../media/image7.png"/><Relationship Id="rId12" Type="http://schemas.openxmlformats.org/officeDocument/2006/relationships/image" Target="../media/image12.svg"/><Relationship Id="rId2" Type="http://schemas.openxmlformats.org/officeDocument/2006/relationships/image" Target="../media/image2.png"/><Relationship Id="rId16" Type="http://schemas.openxmlformats.org/officeDocument/2006/relationships/image" Target="../media/image16.pn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image" Target="../media/image11.png"/><Relationship Id="rId5" Type="http://schemas.openxmlformats.org/officeDocument/2006/relationships/image" Target="../media/image5.png"/><Relationship Id="rId15" Type="http://schemas.openxmlformats.org/officeDocument/2006/relationships/image" Target="../media/image1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svg"/><Relationship Id="rId14" Type="http://schemas.openxmlformats.org/officeDocument/2006/relationships/image" Target="../media/image14.png"/></Relationships>
</file>

<file path=xl/drawings/_rels/drawing3.xml.rels><?xml version="1.0" encoding="UTF-8" standalone="yes"?>
<Relationships xmlns="http://schemas.openxmlformats.org/package/2006/relationships"><Relationship Id="rId8" Type="http://schemas.openxmlformats.org/officeDocument/2006/relationships/image" Target="../media/image17.png"/><Relationship Id="rId13" Type="http://schemas.openxmlformats.org/officeDocument/2006/relationships/chart" Target="../charts/chart1.xml"/><Relationship Id="rId3" Type="http://schemas.openxmlformats.org/officeDocument/2006/relationships/image" Target="../media/image12.svg"/><Relationship Id="rId7" Type="http://schemas.openxmlformats.org/officeDocument/2006/relationships/image" Target="../media/image4.png"/><Relationship Id="rId12" Type="http://schemas.openxmlformats.org/officeDocument/2006/relationships/image" Target="../media/image20.svg"/><Relationship Id="rId17" Type="http://schemas.openxmlformats.org/officeDocument/2006/relationships/chart" Target="../charts/chart5.xml"/><Relationship Id="rId2" Type="http://schemas.openxmlformats.org/officeDocument/2006/relationships/image" Target="../media/image11.png"/><Relationship Id="rId16" Type="http://schemas.openxmlformats.org/officeDocument/2006/relationships/chart" Target="../charts/chart4.xml"/><Relationship Id="rId1" Type="http://schemas.openxmlformats.org/officeDocument/2006/relationships/image" Target="../media/image10.png"/><Relationship Id="rId6" Type="http://schemas.openxmlformats.org/officeDocument/2006/relationships/image" Target="../media/image3.svg"/><Relationship Id="rId11" Type="http://schemas.openxmlformats.org/officeDocument/2006/relationships/image" Target="../media/image19.png"/><Relationship Id="rId5" Type="http://schemas.openxmlformats.org/officeDocument/2006/relationships/image" Target="../media/image2.png"/><Relationship Id="rId15" Type="http://schemas.openxmlformats.org/officeDocument/2006/relationships/chart" Target="../charts/chart3.xml"/><Relationship Id="rId10" Type="http://schemas.openxmlformats.org/officeDocument/2006/relationships/image" Target="../media/image7.png"/><Relationship Id="rId4" Type="http://schemas.openxmlformats.org/officeDocument/2006/relationships/image" Target="../media/image1.png"/><Relationship Id="rId9" Type="http://schemas.openxmlformats.org/officeDocument/2006/relationships/image" Target="../media/image18.svg"/><Relationship Id="rId14"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1</xdr:col>
      <xdr:colOff>2160103</xdr:colOff>
      <xdr:row>10</xdr:row>
      <xdr:rowOff>8169</xdr:rowOff>
    </xdr:from>
    <xdr:to>
      <xdr:col>1</xdr:col>
      <xdr:colOff>2664103</xdr:colOff>
      <xdr:row>13</xdr:row>
      <xdr:rowOff>102504</xdr:rowOff>
    </xdr:to>
    <xdr:grpSp>
      <xdr:nvGrpSpPr>
        <xdr:cNvPr id="2" name="Group 1">
          <a:extLst>
            <a:ext uri="{FF2B5EF4-FFF2-40B4-BE49-F238E27FC236}">
              <a16:creationId xmlns:a16="http://schemas.microsoft.com/office/drawing/2014/main" id="{76B12A86-3C84-4D04-AAFE-A692785A5E36}"/>
            </a:ext>
          </a:extLst>
        </xdr:cNvPr>
        <xdr:cNvGrpSpPr/>
      </xdr:nvGrpSpPr>
      <xdr:grpSpPr>
        <a:xfrm>
          <a:off x="2451840" y="1854386"/>
          <a:ext cx="504000" cy="660392"/>
          <a:chOff x="7483171" y="702283"/>
          <a:chExt cx="504000" cy="655376"/>
        </a:xfrm>
      </xdr:grpSpPr>
      <xdr:grpSp>
        <xdr:nvGrpSpPr>
          <xdr:cNvPr id="3" name="Group 2">
            <a:extLst>
              <a:ext uri="{FF2B5EF4-FFF2-40B4-BE49-F238E27FC236}">
                <a16:creationId xmlns:a16="http://schemas.microsoft.com/office/drawing/2014/main" id="{697D1585-343B-742B-B285-773E16C73E4F}"/>
              </a:ext>
            </a:extLst>
          </xdr:cNvPr>
          <xdr:cNvGrpSpPr/>
        </xdr:nvGrpSpPr>
        <xdr:grpSpPr>
          <a:xfrm>
            <a:off x="7483171" y="702283"/>
            <a:ext cx="504000" cy="500515"/>
            <a:chOff x="7231380" y="791277"/>
            <a:chExt cx="576000" cy="586527"/>
          </a:xfrm>
        </xdr:grpSpPr>
        <xdr:sp macro="" textlink="">
          <xdr:nvSpPr>
            <xdr:cNvPr id="5" name="Rectangle: Rounded Corners 4">
              <a:extLst>
                <a:ext uri="{FF2B5EF4-FFF2-40B4-BE49-F238E27FC236}">
                  <a16:creationId xmlns:a16="http://schemas.microsoft.com/office/drawing/2014/main" id="{0E72E9B2-308E-24F2-E2D4-60FF2A07D9E2}"/>
                </a:ext>
              </a:extLst>
            </xdr:cNvPr>
            <xdr:cNvSpPr/>
          </xdr:nvSpPr>
          <xdr:spPr>
            <a:xfrm>
              <a:off x="7231380" y="791277"/>
              <a:ext cx="576000" cy="586527"/>
            </a:xfrm>
            <a:prstGeom prst="roundRect">
              <a:avLst/>
            </a:prstGeom>
            <a:noFill/>
            <a:ln w="285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pic>
          <xdr:nvPicPr>
            <xdr:cNvPr id="6" name="Picture 5">
              <a:extLst>
                <a:ext uri="{FF2B5EF4-FFF2-40B4-BE49-F238E27FC236}">
                  <a16:creationId xmlns:a16="http://schemas.microsoft.com/office/drawing/2014/main" id="{A2DFA2BF-3AD8-44FF-00AC-7BFBCF8E699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7274223" y="832540"/>
              <a:ext cx="499023" cy="504000"/>
            </a:xfrm>
            <a:prstGeom prst="rect">
              <a:avLst/>
            </a:prstGeom>
          </xdr:spPr>
        </xdr:pic>
      </xdr:grpSp>
      <xdr:pic>
        <xdr:nvPicPr>
          <xdr:cNvPr id="4" name="Graphic 3">
            <a:extLst>
              <a:ext uri="{FF2B5EF4-FFF2-40B4-BE49-F238E27FC236}">
                <a16:creationId xmlns:a16="http://schemas.microsoft.com/office/drawing/2014/main" id="{0B0B32B7-6DDC-1985-7D27-5E77B8DE9BB2}"/>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rot="16200000">
            <a:off x="7664293" y="1058427"/>
            <a:ext cx="130464" cy="468000"/>
          </a:xfrm>
          <a:prstGeom prst="rect">
            <a:avLst/>
          </a:prstGeom>
        </xdr:spPr>
      </xdr:pic>
    </xdr:grpSp>
    <xdr:clientData/>
  </xdr:twoCellAnchor>
  <xdr:twoCellAnchor>
    <xdr:from>
      <xdr:col>1</xdr:col>
      <xdr:colOff>720034</xdr:colOff>
      <xdr:row>10</xdr:row>
      <xdr:rowOff>8169</xdr:rowOff>
    </xdr:from>
    <xdr:to>
      <xdr:col>1</xdr:col>
      <xdr:colOff>1224034</xdr:colOff>
      <xdr:row>13</xdr:row>
      <xdr:rowOff>102504</xdr:rowOff>
    </xdr:to>
    <xdr:grpSp>
      <xdr:nvGrpSpPr>
        <xdr:cNvPr id="7" name="Group 6">
          <a:extLst>
            <a:ext uri="{FF2B5EF4-FFF2-40B4-BE49-F238E27FC236}">
              <a16:creationId xmlns:a16="http://schemas.microsoft.com/office/drawing/2014/main" id="{839F655B-2D35-4431-B1DD-A485132C4B2E}"/>
            </a:ext>
          </a:extLst>
        </xdr:cNvPr>
        <xdr:cNvGrpSpPr/>
      </xdr:nvGrpSpPr>
      <xdr:grpSpPr>
        <a:xfrm>
          <a:off x="1011771" y="1854386"/>
          <a:ext cx="504000" cy="660392"/>
          <a:chOff x="8351189" y="702283"/>
          <a:chExt cx="504000" cy="655376"/>
        </a:xfrm>
      </xdr:grpSpPr>
      <xdr:grpSp>
        <xdr:nvGrpSpPr>
          <xdr:cNvPr id="8" name="Group 7">
            <a:extLst>
              <a:ext uri="{FF2B5EF4-FFF2-40B4-BE49-F238E27FC236}">
                <a16:creationId xmlns:a16="http://schemas.microsoft.com/office/drawing/2014/main" id="{07DC39C3-E4E2-CD8D-81B6-8955C9158E6F}"/>
              </a:ext>
            </a:extLst>
          </xdr:cNvPr>
          <xdr:cNvGrpSpPr/>
        </xdr:nvGrpSpPr>
        <xdr:grpSpPr>
          <a:xfrm>
            <a:off x="8351189" y="702283"/>
            <a:ext cx="504000" cy="500515"/>
            <a:chOff x="7231380" y="791277"/>
            <a:chExt cx="576000" cy="586527"/>
          </a:xfrm>
        </xdr:grpSpPr>
        <xdr:sp macro="" textlink="">
          <xdr:nvSpPr>
            <xdr:cNvPr id="10" name="Rectangle: Rounded Corners 9">
              <a:extLst>
                <a:ext uri="{FF2B5EF4-FFF2-40B4-BE49-F238E27FC236}">
                  <a16:creationId xmlns:a16="http://schemas.microsoft.com/office/drawing/2014/main" id="{0A9859B0-AE73-5E6F-4621-9A75FBA4C0D3}"/>
                </a:ext>
              </a:extLst>
            </xdr:cNvPr>
            <xdr:cNvSpPr/>
          </xdr:nvSpPr>
          <xdr:spPr>
            <a:xfrm>
              <a:off x="7231380" y="791277"/>
              <a:ext cx="576000" cy="586527"/>
            </a:xfrm>
            <a:prstGeom prst="roundRect">
              <a:avLst/>
            </a:prstGeom>
            <a:noFill/>
            <a:ln w="28575">
              <a:solidFill>
                <a:srgbClr val="0070C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pic>
          <xdr:nvPicPr>
            <xdr:cNvPr id="11" name="Picture 10">
              <a:extLst>
                <a:ext uri="{FF2B5EF4-FFF2-40B4-BE49-F238E27FC236}">
                  <a16:creationId xmlns:a16="http://schemas.microsoft.com/office/drawing/2014/main" id="{0EB18EB7-6F10-09A5-AC81-06807022307E}"/>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xdr:blipFill>
          <xdr:spPr>
            <a:xfrm>
              <a:off x="7274223" y="836357"/>
              <a:ext cx="499023" cy="496367"/>
            </a:xfrm>
            <a:prstGeom prst="rect">
              <a:avLst/>
            </a:prstGeom>
          </xdr:spPr>
        </xdr:pic>
      </xdr:grpSp>
      <xdr:pic>
        <xdr:nvPicPr>
          <xdr:cNvPr id="9" name="Graphic 8">
            <a:extLst>
              <a:ext uri="{FF2B5EF4-FFF2-40B4-BE49-F238E27FC236}">
                <a16:creationId xmlns:a16="http://schemas.microsoft.com/office/drawing/2014/main" id="{86EA91F9-0D09-0B6A-BED5-F0BB9061D005}"/>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rot="16200000">
            <a:off x="8541523" y="1058427"/>
            <a:ext cx="130464" cy="468000"/>
          </a:xfrm>
          <a:prstGeom prst="rect">
            <a:avLst/>
          </a:prstGeom>
        </xdr:spPr>
      </xdr:pic>
    </xdr:grpSp>
    <xdr:clientData/>
  </xdr:twoCellAnchor>
  <xdr:twoCellAnchor>
    <xdr:from>
      <xdr:col>1</xdr:col>
      <xdr:colOff>1440068</xdr:colOff>
      <xdr:row>10</xdr:row>
      <xdr:rowOff>2177</xdr:rowOff>
    </xdr:from>
    <xdr:to>
      <xdr:col>1</xdr:col>
      <xdr:colOff>1944068</xdr:colOff>
      <xdr:row>13</xdr:row>
      <xdr:rowOff>110673</xdr:rowOff>
    </xdr:to>
    <xdr:grpSp>
      <xdr:nvGrpSpPr>
        <xdr:cNvPr id="12" name="Group 11">
          <a:extLst>
            <a:ext uri="{FF2B5EF4-FFF2-40B4-BE49-F238E27FC236}">
              <a16:creationId xmlns:a16="http://schemas.microsoft.com/office/drawing/2014/main" id="{1933AB36-320B-4F3A-99CA-B5D524F23B44}"/>
            </a:ext>
          </a:extLst>
        </xdr:cNvPr>
        <xdr:cNvGrpSpPr/>
      </xdr:nvGrpSpPr>
      <xdr:grpSpPr>
        <a:xfrm>
          <a:off x="1731805" y="1848394"/>
          <a:ext cx="504000" cy="674553"/>
          <a:chOff x="7483171" y="1505179"/>
          <a:chExt cx="504000" cy="671862"/>
        </a:xfrm>
      </xdr:grpSpPr>
      <xdr:grpSp>
        <xdr:nvGrpSpPr>
          <xdr:cNvPr id="13" name="Group 12">
            <a:extLst>
              <a:ext uri="{FF2B5EF4-FFF2-40B4-BE49-F238E27FC236}">
                <a16:creationId xmlns:a16="http://schemas.microsoft.com/office/drawing/2014/main" id="{08D5BC2F-0E69-6AC0-657F-F0B905790AA4}"/>
              </a:ext>
            </a:extLst>
          </xdr:cNvPr>
          <xdr:cNvGrpSpPr/>
        </xdr:nvGrpSpPr>
        <xdr:grpSpPr>
          <a:xfrm>
            <a:off x="7483171" y="1505179"/>
            <a:ext cx="504000" cy="500516"/>
            <a:chOff x="7231380" y="791277"/>
            <a:chExt cx="576000" cy="586527"/>
          </a:xfrm>
        </xdr:grpSpPr>
        <xdr:sp macro="" textlink="">
          <xdr:nvSpPr>
            <xdr:cNvPr id="15" name="Rectangle: Rounded Corners 14">
              <a:extLst>
                <a:ext uri="{FF2B5EF4-FFF2-40B4-BE49-F238E27FC236}">
                  <a16:creationId xmlns:a16="http://schemas.microsoft.com/office/drawing/2014/main" id="{9E758BD3-12CD-D1C7-0DB8-6C906828DAC6}"/>
                </a:ext>
              </a:extLst>
            </xdr:cNvPr>
            <xdr:cNvSpPr/>
          </xdr:nvSpPr>
          <xdr:spPr>
            <a:xfrm>
              <a:off x="7231380" y="791277"/>
              <a:ext cx="576000" cy="586527"/>
            </a:xfrm>
            <a:prstGeom prst="roundRect">
              <a:avLst/>
            </a:prstGeom>
            <a:noFill/>
            <a:ln w="28575">
              <a:solidFill>
                <a:srgbClr val="7ADDEA"/>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pic>
          <xdr:nvPicPr>
            <xdr:cNvPr id="16" name="Picture 15">
              <a:extLst>
                <a:ext uri="{FF2B5EF4-FFF2-40B4-BE49-F238E27FC236}">
                  <a16:creationId xmlns:a16="http://schemas.microsoft.com/office/drawing/2014/main" id="{B7C65DFE-5663-387E-ECAD-15298A9C03CA}"/>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xdr:blipFill>
          <xdr:spPr>
            <a:xfrm>
              <a:off x="7278215" y="832540"/>
              <a:ext cx="491039" cy="504000"/>
            </a:xfrm>
            <a:prstGeom prst="rect">
              <a:avLst/>
            </a:prstGeom>
          </xdr:spPr>
        </xdr:pic>
      </xdr:grpSp>
      <xdr:pic>
        <xdr:nvPicPr>
          <xdr:cNvPr id="14" name="Graphic 13">
            <a:extLst>
              <a:ext uri="{FF2B5EF4-FFF2-40B4-BE49-F238E27FC236}">
                <a16:creationId xmlns:a16="http://schemas.microsoft.com/office/drawing/2014/main" id="{0921798B-5812-70CB-5F4A-5EA080C74611}"/>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rot="16200000">
            <a:off x="7664294" y="1877810"/>
            <a:ext cx="130463" cy="468000"/>
          </a:xfrm>
          <a:prstGeom prst="rect">
            <a:avLst/>
          </a:prstGeom>
        </xdr:spPr>
      </xdr:pic>
    </xdr:grpSp>
    <xdr:clientData/>
  </xdr:twoCellAnchor>
  <xdr:twoCellAnchor>
    <xdr:from>
      <xdr:col>1</xdr:col>
      <xdr:colOff>0</xdr:colOff>
      <xdr:row>10</xdr:row>
      <xdr:rowOff>1</xdr:rowOff>
    </xdr:from>
    <xdr:to>
      <xdr:col>1</xdr:col>
      <xdr:colOff>504000</xdr:colOff>
      <xdr:row>13</xdr:row>
      <xdr:rowOff>110673</xdr:rowOff>
    </xdr:to>
    <xdr:grpSp>
      <xdr:nvGrpSpPr>
        <xdr:cNvPr id="17" name="Group 16">
          <a:extLst>
            <a:ext uri="{FF2B5EF4-FFF2-40B4-BE49-F238E27FC236}">
              <a16:creationId xmlns:a16="http://schemas.microsoft.com/office/drawing/2014/main" id="{FEC5E266-D3E7-4254-8D12-A82F1A8817DB}"/>
            </a:ext>
          </a:extLst>
        </xdr:cNvPr>
        <xdr:cNvGrpSpPr/>
      </xdr:nvGrpSpPr>
      <xdr:grpSpPr>
        <a:xfrm>
          <a:off x="291737" y="1846218"/>
          <a:ext cx="504000" cy="676729"/>
          <a:chOff x="8351189" y="1505180"/>
          <a:chExt cx="504000" cy="671861"/>
        </a:xfrm>
      </xdr:grpSpPr>
      <xdr:grpSp>
        <xdr:nvGrpSpPr>
          <xdr:cNvPr id="18" name="Group 17">
            <a:extLst>
              <a:ext uri="{FF2B5EF4-FFF2-40B4-BE49-F238E27FC236}">
                <a16:creationId xmlns:a16="http://schemas.microsoft.com/office/drawing/2014/main" id="{B22F69E9-526C-3148-CED0-4AFE6EB2CFB6}"/>
              </a:ext>
            </a:extLst>
          </xdr:cNvPr>
          <xdr:cNvGrpSpPr/>
        </xdr:nvGrpSpPr>
        <xdr:grpSpPr>
          <a:xfrm>
            <a:off x="8351189" y="1505180"/>
            <a:ext cx="504000" cy="500516"/>
            <a:chOff x="7231380" y="791278"/>
            <a:chExt cx="576000" cy="586527"/>
          </a:xfrm>
        </xdr:grpSpPr>
        <xdr:sp macro="" textlink="">
          <xdr:nvSpPr>
            <xdr:cNvPr id="20" name="Rectangle: Rounded Corners 19">
              <a:extLst>
                <a:ext uri="{FF2B5EF4-FFF2-40B4-BE49-F238E27FC236}">
                  <a16:creationId xmlns:a16="http://schemas.microsoft.com/office/drawing/2014/main" id="{6E19066F-D317-5123-A476-A0181A6BBC99}"/>
                </a:ext>
              </a:extLst>
            </xdr:cNvPr>
            <xdr:cNvSpPr/>
          </xdr:nvSpPr>
          <xdr:spPr>
            <a:xfrm>
              <a:off x="7231380" y="791278"/>
              <a:ext cx="576000" cy="586527"/>
            </a:xfrm>
            <a:prstGeom prst="roundRect">
              <a:avLst/>
            </a:prstGeom>
            <a:noFill/>
            <a:ln w="28575">
              <a:solidFill>
                <a:srgbClr val="475993"/>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pic>
          <xdr:nvPicPr>
            <xdr:cNvPr id="21" name="Picture 20">
              <a:extLst>
                <a:ext uri="{FF2B5EF4-FFF2-40B4-BE49-F238E27FC236}">
                  <a16:creationId xmlns:a16="http://schemas.microsoft.com/office/drawing/2014/main" id="{8E7C3874-85F5-10C7-20AC-376899FCC4A1}"/>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rcRect/>
            <a:stretch/>
          </xdr:blipFill>
          <xdr:spPr>
            <a:xfrm>
              <a:off x="7274223" y="836357"/>
              <a:ext cx="499023" cy="496367"/>
            </a:xfrm>
            <a:prstGeom prst="rect">
              <a:avLst/>
            </a:prstGeom>
          </xdr:spPr>
        </xdr:pic>
      </xdr:grpSp>
      <xdr:pic>
        <xdr:nvPicPr>
          <xdr:cNvPr id="19" name="Graphic 18">
            <a:extLst>
              <a:ext uri="{FF2B5EF4-FFF2-40B4-BE49-F238E27FC236}">
                <a16:creationId xmlns:a16="http://schemas.microsoft.com/office/drawing/2014/main" id="{1C99AB88-710A-564C-0AB5-C482812584D5}"/>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rot="16200000">
            <a:off x="8541524" y="1877810"/>
            <a:ext cx="130463" cy="468000"/>
          </a:xfrm>
          <a:prstGeom prst="rect">
            <a:avLst/>
          </a:prstGeom>
        </xdr:spPr>
      </xdr:pic>
    </xdr:grpSp>
    <xdr:clientData/>
  </xdr:twoCellAnchor>
  <xdr:twoCellAnchor editAs="oneCell">
    <xdr:from>
      <xdr:col>1</xdr:col>
      <xdr:colOff>337456</xdr:colOff>
      <xdr:row>14</xdr:row>
      <xdr:rowOff>92530</xdr:rowOff>
    </xdr:from>
    <xdr:to>
      <xdr:col>1</xdr:col>
      <xdr:colOff>769456</xdr:colOff>
      <xdr:row>16</xdr:row>
      <xdr:rowOff>154416</xdr:rowOff>
    </xdr:to>
    <xdr:pic>
      <xdr:nvPicPr>
        <xdr:cNvPr id="22" name="Picture 21">
          <a:extLst>
            <a:ext uri="{FF2B5EF4-FFF2-40B4-BE49-F238E27FC236}">
              <a16:creationId xmlns:a16="http://schemas.microsoft.com/office/drawing/2014/main" id="{1FCEECC1-03E7-44EF-96D4-AF1F12037D17}"/>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a:off x="627016" y="2683330"/>
          <a:ext cx="432000" cy="427646"/>
        </a:xfrm>
        <a:prstGeom prst="rect">
          <a:avLst/>
        </a:prstGeom>
      </xdr:spPr>
    </xdr:pic>
    <xdr:clientData/>
  </xdr:twoCellAnchor>
  <xdr:twoCellAnchor editAs="oneCell">
    <xdr:from>
      <xdr:col>1</xdr:col>
      <xdr:colOff>856342</xdr:colOff>
      <xdr:row>14</xdr:row>
      <xdr:rowOff>92530</xdr:rowOff>
    </xdr:from>
    <xdr:to>
      <xdr:col>1</xdr:col>
      <xdr:colOff>1288342</xdr:colOff>
      <xdr:row>16</xdr:row>
      <xdr:rowOff>154416</xdr:rowOff>
    </xdr:to>
    <xdr:pic>
      <xdr:nvPicPr>
        <xdr:cNvPr id="23" name="Picture 22">
          <a:extLst>
            <a:ext uri="{FF2B5EF4-FFF2-40B4-BE49-F238E27FC236}">
              <a16:creationId xmlns:a16="http://schemas.microsoft.com/office/drawing/2014/main" id="{DABB7772-84E6-4978-973D-DBA4DAAB1B17}"/>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tretch>
          <a:fillRect/>
        </a:stretch>
      </xdr:blipFill>
      <xdr:spPr>
        <a:xfrm>
          <a:off x="1148442" y="2696030"/>
          <a:ext cx="432000" cy="430186"/>
        </a:xfrm>
        <a:prstGeom prst="rect">
          <a:avLst/>
        </a:prstGeom>
      </xdr:spPr>
    </xdr:pic>
    <xdr:clientData/>
  </xdr:twoCellAnchor>
  <xdr:twoCellAnchor editAs="oneCell">
    <xdr:from>
      <xdr:col>1</xdr:col>
      <xdr:colOff>1349828</xdr:colOff>
      <xdr:row>14</xdr:row>
      <xdr:rowOff>92530</xdr:rowOff>
    </xdr:from>
    <xdr:to>
      <xdr:col>1</xdr:col>
      <xdr:colOff>1781828</xdr:colOff>
      <xdr:row>16</xdr:row>
      <xdr:rowOff>154416</xdr:rowOff>
    </xdr:to>
    <xdr:pic>
      <xdr:nvPicPr>
        <xdr:cNvPr id="24" name="Picture 23">
          <a:extLst>
            <a:ext uri="{FF2B5EF4-FFF2-40B4-BE49-F238E27FC236}">
              <a16:creationId xmlns:a16="http://schemas.microsoft.com/office/drawing/2014/main" id="{68C69B8F-08E2-4105-BAF0-FC3EC9EA1CF6}"/>
            </a:ext>
          </a:extLst>
        </xdr:cNvPr>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Lst>
        </a:blip>
        <a:stretch>
          <a:fillRect/>
        </a:stretch>
      </xdr:blipFill>
      <xdr:spPr>
        <a:xfrm>
          <a:off x="1639388" y="2683330"/>
          <a:ext cx="432000" cy="427646"/>
        </a:xfrm>
        <a:prstGeom prst="rect">
          <a:avLst/>
        </a:prstGeom>
      </xdr:spPr>
    </xdr:pic>
    <xdr:clientData/>
  </xdr:twoCellAnchor>
  <xdr:twoCellAnchor editAs="oneCell">
    <xdr:from>
      <xdr:col>1</xdr:col>
      <xdr:colOff>1856014</xdr:colOff>
      <xdr:row>14</xdr:row>
      <xdr:rowOff>92530</xdr:rowOff>
    </xdr:from>
    <xdr:to>
      <xdr:col>1</xdr:col>
      <xdr:colOff>2288014</xdr:colOff>
      <xdr:row>16</xdr:row>
      <xdr:rowOff>154416</xdr:rowOff>
    </xdr:to>
    <xdr:pic>
      <xdr:nvPicPr>
        <xdr:cNvPr id="25" name="Picture 24">
          <a:extLst>
            <a:ext uri="{FF2B5EF4-FFF2-40B4-BE49-F238E27FC236}">
              <a16:creationId xmlns:a16="http://schemas.microsoft.com/office/drawing/2014/main" id="{52136B99-87EB-40F1-8CA6-415433A8CA89}"/>
            </a:ext>
          </a:extLst>
        </xdr:cNvPr>
        <xdr:cNvPicPr>
          <a:picLocks noChangeAspect="1"/>
        </xdr:cNvPicPr>
      </xdr:nvPicPr>
      <xdr:blipFill>
        <a:blip xmlns:r="http://schemas.openxmlformats.org/officeDocument/2006/relationships" r:embed="rId16" cstate="print">
          <a:extLst>
            <a:ext uri="{28A0092B-C50C-407E-A947-70E740481C1C}">
              <a14:useLocalDpi xmlns:a14="http://schemas.microsoft.com/office/drawing/2010/main" val="0"/>
            </a:ext>
          </a:extLst>
        </a:blip>
        <a:stretch>
          <a:fillRect/>
        </a:stretch>
      </xdr:blipFill>
      <xdr:spPr>
        <a:xfrm>
          <a:off x="2145574" y="2683330"/>
          <a:ext cx="432000" cy="42764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8</xdr:col>
      <xdr:colOff>1039091</xdr:colOff>
      <xdr:row>93</xdr:row>
      <xdr:rowOff>41562</xdr:rowOff>
    </xdr:from>
    <xdr:to>
      <xdr:col>10</xdr:col>
      <xdr:colOff>1177637</xdr:colOff>
      <xdr:row>98</xdr:row>
      <xdr:rowOff>180108</xdr:rowOff>
    </xdr:to>
    <xdr:sp macro="" textlink="">
      <xdr:nvSpPr>
        <xdr:cNvPr id="18" name="TextBox 17">
          <a:extLst>
            <a:ext uri="{FF2B5EF4-FFF2-40B4-BE49-F238E27FC236}">
              <a16:creationId xmlns:a16="http://schemas.microsoft.com/office/drawing/2014/main" id="{75E71C40-0C61-4C63-8607-6A5A9C223E9B}"/>
            </a:ext>
          </a:extLst>
        </xdr:cNvPr>
        <xdr:cNvSpPr txBox="1"/>
      </xdr:nvSpPr>
      <xdr:spPr>
        <a:xfrm>
          <a:off x="11707091" y="16819417"/>
          <a:ext cx="3726873" cy="103909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400" b="1">
              <a:solidFill>
                <a:srgbClr val="00B0F0"/>
              </a:solidFill>
            </a:rPr>
            <a:t>Normalization Method</a:t>
          </a:r>
        </a:p>
        <a:p>
          <a:pPr algn="ctr"/>
          <a:r>
            <a:rPr lang="en-US" sz="2400" b="1">
              <a:solidFill>
                <a:srgbClr val="00B0F0"/>
              </a:solidFill>
            </a:rPr>
            <a:t>Test</a:t>
          </a:r>
        </a:p>
      </xdr:txBody>
    </xdr:sp>
    <xdr:clientData/>
  </xdr:twoCellAnchor>
  <xdr:twoCellAnchor>
    <xdr:from>
      <xdr:col>9</xdr:col>
      <xdr:colOff>27710</xdr:colOff>
      <xdr:row>25</xdr:row>
      <xdr:rowOff>96982</xdr:rowOff>
    </xdr:from>
    <xdr:to>
      <xdr:col>9</xdr:col>
      <xdr:colOff>1856510</xdr:colOff>
      <xdr:row>29</xdr:row>
      <xdr:rowOff>110838</xdr:rowOff>
    </xdr:to>
    <xdr:sp macro="" textlink="">
      <xdr:nvSpPr>
        <xdr:cNvPr id="19" name="TextBox 18">
          <a:extLst>
            <a:ext uri="{FF2B5EF4-FFF2-40B4-BE49-F238E27FC236}">
              <a16:creationId xmlns:a16="http://schemas.microsoft.com/office/drawing/2014/main" id="{11FF2BB6-3EE7-47C2-9C5A-488A016E3FF2}"/>
            </a:ext>
          </a:extLst>
        </xdr:cNvPr>
        <xdr:cNvSpPr txBox="1"/>
      </xdr:nvSpPr>
      <xdr:spPr>
        <a:xfrm>
          <a:off x="12330546" y="4641273"/>
          <a:ext cx="1828800" cy="73429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400" b="1">
              <a:solidFill>
                <a:srgbClr val="00B0F0"/>
              </a:solidFill>
            </a:rPr>
            <a:t>Charts</a:t>
          </a:r>
        </a:p>
      </xdr:txBody>
    </xdr:sp>
    <xdr:clientData/>
  </xdr:twoCellAnchor>
  <xdr:twoCellAnchor>
    <xdr:from>
      <xdr:col>10</xdr:col>
      <xdr:colOff>692728</xdr:colOff>
      <xdr:row>69</xdr:row>
      <xdr:rowOff>55418</xdr:rowOff>
    </xdr:from>
    <xdr:to>
      <xdr:col>11</xdr:col>
      <xdr:colOff>1524000</xdr:colOff>
      <xdr:row>73</xdr:row>
      <xdr:rowOff>69274</xdr:rowOff>
    </xdr:to>
    <xdr:sp macro="" textlink="">
      <xdr:nvSpPr>
        <xdr:cNvPr id="22" name="TextBox 21">
          <a:extLst>
            <a:ext uri="{FF2B5EF4-FFF2-40B4-BE49-F238E27FC236}">
              <a16:creationId xmlns:a16="http://schemas.microsoft.com/office/drawing/2014/main" id="{0FA9D97C-4224-4F1B-8C2E-A1D689918B3D}"/>
            </a:ext>
          </a:extLst>
        </xdr:cNvPr>
        <xdr:cNvSpPr txBox="1"/>
      </xdr:nvSpPr>
      <xdr:spPr>
        <a:xfrm>
          <a:off x="14949055" y="12552218"/>
          <a:ext cx="2092036" cy="73429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400" b="1">
              <a:solidFill>
                <a:srgbClr val="00B0F0"/>
              </a:solidFill>
            </a:rPr>
            <a:t>Effectiveness</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xdr:col>
      <xdr:colOff>274784</xdr:colOff>
      <xdr:row>20</xdr:row>
      <xdr:rowOff>31404</xdr:rowOff>
    </xdr:from>
    <xdr:to>
      <xdr:col>38</xdr:col>
      <xdr:colOff>335280</xdr:colOff>
      <xdr:row>82</xdr:row>
      <xdr:rowOff>22860</xdr:rowOff>
    </xdr:to>
    <xdr:grpSp>
      <xdr:nvGrpSpPr>
        <xdr:cNvPr id="53" name="Group 52">
          <a:extLst>
            <a:ext uri="{FF2B5EF4-FFF2-40B4-BE49-F238E27FC236}">
              <a16:creationId xmlns:a16="http://schemas.microsoft.com/office/drawing/2014/main" id="{BB4338CA-AF5C-4E3A-9C4A-97E751508EAB}"/>
            </a:ext>
          </a:extLst>
        </xdr:cNvPr>
        <xdr:cNvGrpSpPr/>
      </xdr:nvGrpSpPr>
      <xdr:grpSpPr>
        <a:xfrm>
          <a:off x="884384" y="3689004"/>
          <a:ext cx="22615696" cy="11330016"/>
          <a:chOff x="853904" y="3569162"/>
          <a:chExt cx="18015986" cy="11158737"/>
        </a:xfrm>
      </xdr:grpSpPr>
      <xdr:sp macro="" textlink="">
        <xdr:nvSpPr>
          <xdr:cNvPr id="41" name="Rectangle: Rounded Corners 40">
            <a:extLst>
              <a:ext uri="{FF2B5EF4-FFF2-40B4-BE49-F238E27FC236}">
                <a16:creationId xmlns:a16="http://schemas.microsoft.com/office/drawing/2014/main" id="{40F9F61F-31AE-401B-8F58-49515648A0AC}"/>
              </a:ext>
            </a:extLst>
          </xdr:cNvPr>
          <xdr:cNvSpPr/>
        </xdr:nvSpPr>
        <xdr:spPr>
          <a:xfrm>
            <a:off x="853904" y="3569162"/>
            <a:ext cx="18015986" cy="11158737"/>
          </a:xfrm>
          <a:prstGeom prst="roundRect">
            <a:avLst>
              <a:gd name="adj" fmla="val 6613"/>
            </a:avLst>
          </a:prstGeom>
          <a:noFill/>
          <a:ln w="28575">
            <a:solidFill>
              <a:srgbClr val="7030A0"/>
            </a:solidFill>
            <a:extLst>
              <a:ext uri="{C807C97D-BFC1-408E-A445-0C87EB9F89A2}">
                <ask:lineSketchStyleProps xmlns:ask="http://schemas.microsoft.com/office/drawing/2018/sketchyshapes" sd="852854689">
                  <a:custGeom>
                    <a:avLst/>
                    <a:gdLst>
                      <a:gd name="connsiteX0" fmla="*/ 0 w 13807440"/>
                      <a:gd name="connsiteY0" fmla="*/ 335287 h 2011680"/>
                      <a:gd name="connsiteX1" fmla="*/ 335287 w 13807440"/>
                      <a:gd name="connsiteY1" fmla="*/ 0 h 2011680"/>
                      <a:gd name="connsiteX2" fmla="*/ 13472153 w 13807440"/>
                      <a:gd name="connsiteY2" fmla="*/ 0 h 2011680"/>
                      <a:gd name="connsiteX3" fmla="*/ 13807440 w 13807440"/>
                      <a:gd name="connsiteY3" fmla="*/ 335287 h 2011680"/>
                      <a:gd name="connsiteX4" fmla="*/ 13807440 w 13807440"/>
                      <a:gd name="connsiteY4" fmla="*/ 1676393 h 2011680"/>
                      <a:gd name="connsiteX5" fmla="*/ 13472153 w 13807440"/>
                      <a:gd name="connsiteY5" fmla="*/ 2011680 h 2011680"/>
                      <a:gd name="connsiteX6" fmla="*/ 335287 w 13807440"/>
                      <a:gd name="connsiteY6" fmla="*/ 2011680 h 2011680"/>
                      <a:gd name="connsiteX7" fmla="*/ 0 w 13807440"/>
                      <a:gd name="connsiteY7" fmla="*/ 1676393 h 2011680"/>
                      <a:gd name="connsiteX8" fmla="*/ 0 w 13807440"/>
                      <a:gd name="connsiteY8" fmla="*/ 335287 h 201168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13807440" h="2011680" fill="none" extrusionOk="0">
                        <a:moveTo>
                          <a:pt x="0" y="335287"/>
                        </a:moveTo>
                        <a:cubicBezTo>
                          <a:pt x="1282" y="184811"/>
                          <a:pt x="153979" y="6489"/>
                          <a:pt x="335287" y="0"/>
                        </a:cubicBezTo>
                        <a:cubicBezTo>
                          <a:pt x="4241728" y="72427"/>
                          <a:pt x="8479298" y="61419"/>
                          <a:pt x="13472153" y="0"/>
                        </a:cubicBezTo>
                        <a:cubicBezTo>
                          <a:pt x="13656110" y="-8376"/>
                          <a:pt x="13776949" y="140890"/>
                          <a:pt x="13807440" y="335287"/>
                        </a:cubicBezTo>
                        <a:cubicBezTo>
                          <a:pt x="13865818" y="938334"/>
                          <a:pt x="13854187" y="1173546"/>
                          <a:pt x="13807440" y="1676393"/>
                        </a:cubicBezTo>
                        <a:cubicBezTo>
                          <a:pt x="13811608" y="1840411"/>
                          <a:pt x="13652161" y="2005889"/>
                          <a:pt x="13472153" y="2011680"/>
                        </a:cubicBezTo>
                        <a:cubicBezTo>
                          <a:pt x="10430650" y="2041507"/>
                          <a:pt x="2890455" y="1932374"/>
                          <a:pt x="335287" y="2011680"/>
                        </a:cubicBezTo>
                        <a:cubicBezTo>
                          <a:pt x="182787" y="2007986"/>
                          <a:pt x="-15008" y="1864535"/>
                          <a:pt x="0" y="1676393"/>
                        </a:cubicBezTo>
                        <a:cubicBezTo>
                          <a:pt x="-8642" y="1420970"/>
                          <a:pt x="-119608" y="980697"/>
                          <a:pt x="0" y="335287"/>
                        </a:cubicBezTo>
                        <a:close/>
                      </a:path>
                      <a:path w="13807440" h="2011680" stroke="0" extrusionOk="0">
                        <a:moveTo>
                          <a:pt x="0" y="335287"/>
                        </a:moveTo>
                        <a:cubicBezTo>
                          <a:pt x="33315" y="159194"/>
                          <a:pt x="163186" y="27238"/>
                          <a:pt x="335287" y="0"/>
                        </a:cubicBezTo>
                        <a:cubicBezTo>
                          <a:pt x="5852204" y="123000"/>
                          <a:pt x="7605169" y="-96860"/>
                          <a:pt x="13472153" y="0"/>
                        </a:cubicBezTo>
                        <a:cubicBezTo>
                          <a:pt x="13654227" y="-2363"/>
                          <a:pt x="13813986" y="136916"/>
                          <a:pt x="13807440" y="335287"/>
                        </a:cubicBezTo>
                        <a:cubicBezTo>
                          <a:pt x="13780740" y="808081"/>
                          <a:pt x="13825862" y="1007467"/>
                          <a:pt x="13807440" y="1676393"/>
                        </a:cubicBezTo>
                        <a:cubicBezTo>
                          <a:pt x="13776960" y="1872609"/>
                          <a:pt x="13637630" y="2008456"/>
                          <a:pt x="13472153" y="2011680"/>
                        </a:cubicBezTo>
                        <a:cubicBezTo>
                          <a:pt x="11355976" y="1850973"/>
                          <a:pt x="5898917" y="2051347"/>
                          <a:pt x="335287" y="2011680"/>
                        </a:cubicBezTo>
                        <a:cubicBezTo>
                          <a:pt x="116807" y="2004953"/>
                          <a:pt x="-26172" y="1849710"/>
                          <a:pt x="0" y="1676393"/>
                        </a:cubicBezTo>
                        <a:cubicBezTo>
                          <a:pt x="-102437" y="1279469"/>
                          <a:pt x="-39934" y="748300"/>
                          <a:pt x="0" y="335287"/>
                        </a:cubicBezTo>
                        <a:close/>
                      </a:path>
                    </a:pathLst>
                  </a:custGeom>
                  <ask:type>
                    <ask:lineSketchNone/>
                  </ask:type>
                </ask:lineSketchStyleProps>
              </a:ext>
            </a:extLst>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nvGrpSpPr>
          <xdr:cNvPr id="52" name="Group 51">
            <a:extLst>
              <a:ext uri="{FF2B5EF4-FFF2-40B4-BE49-F238E27FC236}">
                <a16:creationId xmlns:a16="http://schemas.microsoft.com/office/drawing/2014/main" id="{CCE61D47-21BF-4C68-9DB8-D12C70123F51}"/>
              </a:ext>
            </a:extLst>
          </xdr:cNvPr>
          <xdr:cNvGrpSpPr/>
        </xdr:nvGrpSpPr>
        <xdr:grpSpPr>
          <a:xfrm>
            <a:off x="926640" y="3638086"/>
            <a:ext cx="17884369" cy="10947222"/>
            <a:chOff x="940495" y="2691358"/>
            <a:chExt cx="17884369" cy="11114477"/>
          </a:xfrm>
        </xdr:grpSpPr>
        <xdr:sp macro="" textlink="">
          <xdr:nvSpPr>
            <xdr:cNvPr id="43" name="Rectangle: Rounded Corners 42">
              <a:extLst>
                <a:ext uri="{FF2B5EF4-FFF2-40B4-BE49-F238E27FC236}">
                  <a16:creationId xmlns:a16="http://schemas.microsoft.com/office/drawing/2014/main" id="{42D2291C-0E69-4995-9A7B-5AA243581EDB}"/>
                </a:ext>
              </a:extLst>
            </xdr:cNvPr>
            <xdr:cNvSpPr/>
          </xdr:nvSpPr>
          <xdr:spPr>
            <a:xfrm>
              <a:off x="940495" y="2719068"/>
              <a:ext cx="4390041" cy="11086767"/>
            </a:xfrm>
            <a:prstGeom prst="roundRect">
              <a:avLst>
                <a:gd name="adj" fmla="val 15450"/>
              </a:avLst>
            </a:prstGeom>
            <a:gradFill flip="none" rotWithShape="1">
              <a:gsLst>
                <a:gs pos="87000">
                  <a:srgbClr val="ECF6FE"/>
                </a:gs>
                <a:gs pos="100000">
                  <a:srgbClr val="ECF6FE"/>
                </a:gs>
                <a:gs pos="65000">
                  <a:schemeClr val="bg1"/>
                </a:gs>
                <a:gs pos="0">
                  <a:srgbClr val="FDFBFF"/>
                </a:gs>
              </a:gsLst>
              <a:path path="shape">
                <a:fillToRect l="50000" t="50000" r="50000" b="50000"/>
              </a:path>
              <a:tileRect/>
            </a:gradFill>
            <a:ln>
              <a:solidFill>
                <a:srgbClr val="FEF4FC"/>
              </a:solidFill>
              <a:extLst>
                <a:ext uri="{C807C97D-BFC1-408E-A445-0C87EB9F89A2}">
                  <ask:lineSketchStyleProps xmlns:ask="http://schemas.microsoft.com/office/drawing/2018/sketchyshapes" sd="852854689">
                    <a:custGeom>
                      <a:avLst/>
                      <a:gdLst>
                        <a:gd name="connsiteX0" fmla="*/ 0 w 13807440"/>
                        <a:gd name="connsiteY0" fmla="*/ 335287 h 2011680"/>
                        <a:gd name="connsiteX1" fmla="*/ 335287 w 13807440"/>
                        <a:gd name="connsiteY1" fmla="*/ 0 h 2011680"/>
                        <a:gd name="connsiteX2" fmla="*/ 13472153 w 13807440"/>
                        <a:gd name="connsiteY2" fmla="*/ 0 h 2011680"/>
                        <a:gd name="connsiteX3" fmla="*/ 13807440 w 13807440"/>
                        <a:gd name="connsiteY3" fmla="*/ 335287 h 2011680"/>
                        <a:gd name="connsiteX4" fmla="*/ 13807440 w 13807440"/>
                        <a:gd name="connsiteY4" fmla="*/ 1676393 h 2011680"/>
                        <a:gd name="connsiteX5" fmla="*/ 13472153 w 13807440"/>
                        <a:gd name="connsiteY5" fmla="*/ 2011680 h 2011680"/>
                        <a:gd name="connsiteX6" fmla="*/ 335287 w 13807440"/>
                        <a:gd name="connsiteY6" fmla="*/ 2011680 h 2011680"/>
                        <a:gd name="connsiteX7" fmla="*/ 0 w 13807440"/>
                        <a:gd name="connsiteY7" fmla="*/ 1676393 h 2011680"/>
                        <a:gd name="connsiteX8" fmla="*/ 0 w 13807440"/>
                        <a:gd name="connsiteY8" fmla="*/ 335287 h 201168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13807440" h="2011680" fill="none" extrusionOk="0">
                          <a:moveTo>
                            <a:pt x="0" y="335287"/>
                          </a:moveTo>
                          <a:cubicBezTo>
                            <a:pt x="1282" y="184811"/>
                            <a:pt x="153979" y="6489"/>
                            <a:pt x="335287" y="0"/>
                          </a:cubicBezTo>
                          <a:cubicBezTo>
                            <a:pt x="4241728" y="72427"/>
                            <a:pt x="8479298" y="61419"/>
                            <a:pt x="13472153" y="0"/>
                          </a:cubicBezTo>
                          <a:cubicBezTo>
                            <a:pt x="13656110" y="-8376"/>
                            <a:pt x="13776949" y="140890"/>
                            <a:pt x="13807440" y="335287"/>
                          </a:cubicBezTo>
                          <a:cubicBezTo>
                            <a:pt x="13865818" y="938334"/>
                            <a:pt x="13854187" y="1173546"/>
                            <a:pt x="13807440" y="1676393"/>
                          </a:cubicBezTo>
                          <a:cubicBezTo>
                            <a:pt x="13811608" y="1840411"/>
                            <a:pt x="13652161" y="2005889"/>
                            <a:pt x="13472153" y="2011680"/>
                          </a:cubicBezTo>
                          <a:cubicBezTo>
                            <a:pt x="10430650" y="2041507"/>
                            <a:pt x="2890455" y="1932374"/>
                            <a:pt x="335287" y="2011680"/>
                          </a:cubicBezTo>
                          <a:cubicBezTo>
                            <a:pt x="182787" y="2007986"/>
                            <a:pt x="-15008" y="1864535"/>
                            <a:pt x="0" y="1676393"/>
                          </a:cubicBezTo>
                          <a:cubicBezTo>
                            <a:pt x="-8642" y="1420970"/>
                            <a:pt x="-119608" y="980697"/>
                            <a:pt x="0" y="335287"/>
                          </a:cubicBezTo>
                          <a:close/>
                        </a:path>
                        <a:path w="13807440" h="2011680" stroke="0" extrusionOk="0">
                          <a:moveTo>
                            <a:pt x="0" y="335287"/>
                          </a:moveTo>
                          <a:cubicBezTo>
                            <a:pt x="33315" y="159194"/>
                            <a:pt x="163186" y="27238"/>
                            <a:pt x="335287" y="0"/>
                          </a:cubicBezTo>
                          <a:cubicBezTo>
                            <a:pt x="5852204" y="123000"/>
                            <a:pt x="7605169" y="-96860"/>
                            <a:pt x="13472153" y="0"/>
                          </a:cubicBezTo>
                          <a:cubicBezTo>
                            <a:pt x="13654227" y="-2363"/>
                            <a:pt x="13813986" y="136916"/>
                            <a:pt x="13807440" y="335287"/>
                          </a:cubicBezTo>
                          <a:cubicBezTo>
                            <a:pt x="13780740" y="808081"/>
                            <a:pt x="13825862" y="1007467"/>
                            <a:pt x="13807440" y="1676393"/>
                          </a:cubicBezTo>
                          <a:cubicBezTo>
                            <a:pt x="13776960" y="1872609"/>
                            <a:pt x="13637630" y="2008456"/>
                            <a:pt x="13472153" y="2011680"/>
                          </a:cubicBezTo>
                          <a:cubicBezTo>
                            <a:pt x="11355976" y="1850973"/>
                            <a:pt x="5898917" y="2051347"/>
                            <a:pt x="335287" y="2011680"/>
                          </a:cubicBezTo>
                          <a:cubicBezTo>
                            <a:pt x="116807" y="2004953"/>
                            <a:pt x="-26172" y="1849710"/>
                            <a:pt x="0" y="1676393"/>
                          </a:cubicBezTo>
                          <a:cubicBezTo>
                            <a:pt x="-102437" y="1279469"/>
                            <a:pt x="-39934" y="748300"/>
                            <a:pt x="0" y="335287"/>
                          </a:cubicBezTo>
                          <a:close/>
                        </a:path>
                      </a:pathLst>
                    </a:custGeom>
                    <ask:type>
                      <ask:lineSketchNone/>
                    </ask:type>
                  </ask:lineSketchStyleProps>
                </a:ext>
              </a:extLst>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49" name="Rectangle: Rounded Corners 48">
              <a:extLst>
                <a:ext uri="{FF2B5EF4-FFF2-40B4-BE49-F238E27FC236}">
                  <a16:creationId xmlns:a16="http://schemas.microsoft.com/office/drawing/2014/main" id="{DF2BEA87-DFAA-42D5-9B37-6B298B4FF099}"/>
                </a:ext>
              </a:extLst>
            </xdr:cNvPr>
            <xdr:cNvSpPr/>
          </xdr:nvSpPr>
          <xdr:spPr>
            <a:xfrm>
              <a:off x="5457077" y="2719068"/>
              <a:ext cx="4390041" cy="11066961"/>
            </a:xfrm>
            <a:prstGeom prst="roundRect">
              <a:avLst>
                <a:gd name="adj" fmla="val 15450"/>
              </a:avLst>
            </a:prstGeom>
            <a:gradFill flip="none" rotWithShape="1">
              <a:gsLst>
                <a:gs pos="100000">
                  <a:srgbClr val="FEF4FC"/>
                </a:gs>
                <a:gs pos="100000">
                  <a:schemeClr val="bg1"/>
                </a:gs>
                <a:gs pos="79000">
                  <a:schemeClr val="bg1"/>
                </a:gs>
                <a:gs pos="0">
                  <a:srgbClr val="FDFBFF"/>
                </a:gs>
              </a:gsLst>
              <a:path path="shape">
                <a:fillToRect l="50000" t="50000" r="50000" b="50000"/>
              </a:path>
              <a:tileRect/>
            </a:gradFill>
            <a:ln>
              <a:solidFill>
                <a:srgbClr val="FEF4FC"/>
              </a:solidFill>
              <a:extLst>
                <a:ext uri="{C807C97D-BFC1-408E-A445-0C87EB9F89A2}">
                  <ask:lineSketchStyleProps xmlns:ask="http://schemas.microsoft.com/office/drawing/2018/sketchyshapes" sd="852854689">
                    <a:custGeom>
                      <a:avLst/>
                      <a:gdLst>
                        <a:gd name="connsiteX0" fmla="*/ 0 w 13807440"/>
                        <a:gd name="connsiteY0" fmla="*/ 335287 h 2011680"/>
                        <a:gd name="connsiteX1" fmla="*/ 335287 w 13807440"/>
                        <a:gd name="connsiteY1" fmla="*/ 0 h 2011680"/>
                        <a:gd name="connsiteX2" fmla="*/ 13472153 w 13807440"/>
                        <a:gd name="connsiteY2" fmla="*/ 0 h 2011680"/>
                        <a:gd name="connsiteX3" fmla="*/ 13807440 w 13807440"/>
                        <a:gd name="connsiteY3" fmla="*/ 335287 h 2011680"/>
                        <a:gd name="connsiteX4" fmla="*/ 13807440 w 13807440"/>
                        <a:gd name="connsiteY4" fmla="*/ 1676393 h 2011680"/>
                        <a:gd name="connsiteX5" fmla="*/ 13472153 w 13807440"/>
                        <a:gd name="connsiteY5" fmla="*/ 2011680 h 2011680"/>
                        <a:gd name="connsiteX6" fmla="*/ 335287 w 13807440"/>
                        <a:gd name="connsiteY6" fmla="*/ 2011680 h 2011680"/>
                        <a:gd name="connsiteX7" fmla="*/ 0 w 13807440"/>
                        <a:gd name="connsiteY7" fmla="*/ 1676393 h 2011680"/>
                        <a:gd name="connsiteX8" fmla="*/ 0 w 13807440"/>
                        <a:gd name="connsiteY8" fmla="*/ 335287 h 201168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13807440" h="2011680" fill="none" extrusionOk="0">
                          <a:moveTo>
                            <a:pt x="0" y="335287"/>
                          </a:moveTo>
                          <a:cubicBezTo>
                            <a:pt x="1282" y="184811"/>
                            <a:pt x="153979" y="6489"/>
                            <a:pt x="335287" y="0"/>
                          </a:cubicBezTo>
                          <a:cubicBezTo>
                            <a:pt x="4241728" y="72427"/>
                            <a:pt x="8479298" y="61419"/>
                            <a:pt x="13472153" y="0"/>
                          </a:cubicBezTo>
                          <a:cubicBezTo>
                            <a:pt x="13656110" y="-8376"/>
                            <a:pt x="13776949" y="140890"/>
                            <a:pt x="13807440" y="335287"/>
                          </a:cubicBezTo>
                          <a:cubicBezTo>
                            <a:pt x="13865818" y="938334"/>
                            <a:pt x="13854187" y="1173546"/>
                            <a:pt x="13807440" y="1676393"/>
                          </a:cubicBezTo>
                          <a:cubicBezTo>
                            <a:pt x="13811608" y="1840411"/>
                            <a:pt x="13652161" y="2005889"/>
                            <a:pt x="13472153" y="2011680"/>
                          </a:cubicBezTo>
                          <a:cubicBezTo>
                            <a:pt x="10430650" y="2041507"/>
                            <a:pt x="2890455" y="1932374"/>
                            <a:pt x="335287" y="2011680"/>
                          </a:cubicBezTo>
                          <a:cubicBezTo>
                            <a:pt x="182787" y="2007986"/>
                            <a:pt x="-15008" y="1864535"/>
                            <a:pt x="0" y="1676393"/>
                          </a:cubicBezTo>
                          <a:cubicBezTo>
                            <a:pt x="-8642" y="1420970"/>
                            <a:pt x="-119608" y="980697"/>
                            <a:pt x="0" y="335287"/>
                          </a:cubicBezTo>
                          <a:close/>
                        </a:path>
                        <a:path w="13807440" h="2011680" stroke="0" extrusionOk="0">
                          <a:moveTo>
                            <a:pt x="0" y="335287"/>
                          </a:moveTo>
                          <a:cubicBezTo>
                            <a:pt x="33315" y="159194"/>
                            <a:pt x="163186" y="27238"/>
                            <a:pt x="335287" y="0"/>
                          </a:cubicBezTo>
                          <a:cubicBezTo>
                            <a:pt x="5852204" y="123000"/>
                            <a:pt x="7605169" y="-96860"/>
                            <a:pt x="13472153" y="0"/>
                          </a:cubicBezTo>
                          <a:cubicBezTo>
                            <a:pt x="13654227" y="-2363"/>
                            <a:pt x="13813986" y="136916"/>
                            <a:pt x="13807440" y="335287"/>
                          </a:cubicBezTo>
                          <a:cubicBezTo>
                            <a:pt x="13780740" y="808081"/>
                            <a:pt x="13825862" y="1007467"/>
                            <a:pt x="13807440" y="1676393"/>
                          </a:cubicBezTo>
                          <a:cubicBezTo>
                            <a:pt x="13776960" y="1872609"/>
                            <a:pt x="13637630" y="2008456"/>
                            <a:pt x="13472153" y="2011680"/>
                          </a:cubicBezTo>
                          <a:cubicBezTo>
                            <a:pt x="11355976" y="1850973"/>
                            <a:pt x="5898917" y="2051347"/>
                            <a:pt x="335287" y="2011680"/>
                          </a:cubicBezTo>
                          <a:cubicBezTo>
                            <a:pt x="116807" y="2004953"/>
                            <a:pt x="-26172" y="1849710"/>
                            <a:pt x="0" y="1676393"/>
                          </a:cubicBezTo>
                          <a:cubicBezTo>
                            <a:pt x="-102437" y="1279469"/>
                            <a:pt x="-39934" y="748300"/>
                            <a:pt x="0" y="335287"/>
                          </a:cubicBezTo>
                          <a:close/>
                        </a:path>
                      </a:pathLst>
                    </a:custGeom>
                    <ask:type>
                      <ask:lineSketchNone/>
                    </ask:type>
                  </ask:lineSketchStyleProps>
                </a:ext>
              </a:extLst>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50" name="Rectangle: Rounded Corners 49">
              <a:extLst>
                <a:ext uri="{FF2B5EF4-FFF2-40B4-BE49-F238E27FC236}">
                  <a16:creationId xmlns:a16="http://schemas.microsoft.com/office/drawing/2014/main" id="{0C4EB4C7-E9FB-4778-AE5C-2DB481FFEF58}"/>
                </a:ext>
              </a:extLst>
            </xdr:cNvPr>
            <xdr:cNvSpPr/>
          </xdr:nvSpPr>
          <xdr:spPr>
            <a:xfrm>
              <a:off x="9945950" y="2719068"/>
              <a:ext cx="4390041" cy="11085248"/>
            </a:xfrm>
            <a:prstGeom prst="roundRect">
              <a:avLst>
                <a:gd name="adj" fmla="val 15450"/>
              </a:avLst>
            </a:prstGeom>
            <a:gradFill flip="none" rotWithShape="1">
              <a:gsLst>
                <a:gs pos="100000">
                  <a:srgbClr val="E2F1FE"/>
                </a:gs>
                <a:gs pos="65000">
                  <a:schemeClr val="bg1"/>
                </a:gs>
                <a:gs pos="0">
                  <a:srgbClr val="FDFBFF"/>
                </a:gs>
              </a:gsLst>
              <a:path path="shape">
                <a:fillToRect l="50000" t="50000" r="50000" b="50000"/>
              </a:path>
              <a:tileRect/>
            </a:gradFill>
            <a:ln>
              <a:solidFill>
                <a:srgbClr val="FEF4FC"/>
              </a:solidFill>
              <a:extLst>
                <a:ext uri="{C807C97D-BFC1-408E-A445-0C87EB9F89A2}">
                  <ask:lineSketchStyleProps xmlns:ask="http://schemas.microsoft.com/office/drawing/2018/sketchyshapes" sd="852854689">
                    <a:custGeom>
                      <a:avLst/>
                      <a:gdLst>
                        <a:gd name="connsiteX0" fmla="*/ 0 w 13807440"/>
                        <a:gd name="connsiteY0" fmla="*/ 335287 h 2011680"/>
                        <a:gd name="connsiteX1" fmla="*/ 335287 w 13807440"/>
                        <a:gd name="connsiteY1" fmla="*/ 0 h 2011680"/>
                        <a:gd name="connsiteX2" fmla="*/ 13472153 w 13807440"/>
                        <a:gd name="connsiteY2" fmla="*/ 0 h 2011680"/>
                        <a:gd name="connsiteX3" fmla="*/ 13807440 w 13807440"/>
                        <a:gd name="connsiteY3" fmla="*/ 335287 h 2011680"/>
                        <a:gd name="connsiteX4" fmla="*/ 13807440 w 13807440"/>
                        <a:gd name="connsiteY4" fmla="*/ 1676393 h 2011680"/>
                        <a:gd name="connsiteX5" fmla="*/ 13472153 w 13807440"/>
                        <a:gd name="connsiteY5" fmla="*/ 2011680 h 2011680"/>
                        <a:gd name="connsiteX6" fmla="*/ 335287 w 13807440"/>
                        <a:gd name="connsiteY6" fmla="*/ 2011680 h 2011680"/>
                        <a:gd name="connsiteX7" fmla="*/ 0 w 13807440"/>
                        <a:gd name="connsiteY7" fmla="*/ 1676393 h 2011680"/>
                        <a:gd name="connsiteX8" fmla="*/ 0 w 13807440"/>
                        <a:gd name="connsiteY8" fmla="*/ 335287 h 201168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13807440" h="2011680" fill="none" extrusionOk="0">
                          <a:moveTo>
                            <a:pt x="0" y="335287"/>
                          </a:moveTo>
                          <a:cubicBezTo>
                            <a:pt x="1282" y="184811"/>
                            <a:pt x="153979" y="6489"/>
                            <a:pt x="335287" y="0"/>
                          </a:cubicBezTo>
                          <a:cubicBezTo>
                            <a:pt x="4241728" y="72427"/>
                            <a:pt x="8479298" y="61419"/>
                            <a:pt x="13472153" y="0"/>
                          </a:cubicBezTo>
                          <a:cubicBezTo>
                            <a:pt x="13656110" y="-8376"/>
                            <a:pt x="13776949" y="140890"/>
                            <a:pt x="13807440" y="335287"/>
                          </a:cubicBezTo>
                          <a:cubicBezTo>
                            <a:pt x="13865818" y="938334"/>
                            <a:pt x="13854187" y="1173546"/>
                            <a:pt x="13807440" y="1676393"/>
                          </a:cubicBezTo>
                          <a:cubicBezTo>
                            <a:pt x="13811608" y="1840411"/>
                            <a:pt x="13652161" y="2005889"/>
                            <a:pt x="13472153" y="2011680"/>
                          </a:cubicBezTo>
                          <a:cubicBezTo>
                            <a:pt x="10430650" y="2041507"/>
                            <a:pt x="2890455" y="1932374"/>
                            <a:pt x="335287" y="2011680"/>
                          </a:cubicBezTo>
                          <a:cubicBezTo>
                            <a:pt x="182787" y="2007986"/>
                            <a:pt x="-15008" y="1864535"/>
                            <a:pt x="0" y="1676393"/>
                          </a:cubicBezTo>
                          <a:cubicBezTo>
                            <a:pt x="-8642" y="1420970"/>
                            <a:pt x="-119608" y="980697"/>
                            <a:pt x="0" y="335287"/>
                          </a:cubicBezTo>
                          <a:close/>
                        </a:path>
                        <a:path w="13807440" h="2011680" stroke="0" extrusionOk="0">
                          <a:moveTo>
                            <a:pt x="0" y="335287"/>
                          </a:moveTo>
                          <a:cubicBezTo>
                            <a:pt x="33315" y="159194"/>
                            <a:pt x="163186" y="27238"/>
                            <a:pt x="335287" y="0"/>
                          </a:cubicBezTo>
                          <a:cubicBezTo>
                            <a:pt x="5852204" y="123000"/>
                            <a:pt x="7605169" y="-96860"/>
                            <a:pt x="13472153" y="0"/>
                          </a:cubicBezTo>
                          <a:cubicBezTo>
                            <a:pt x="13654227" y="-2363"/>
                            <a:pt x="13813986" y="136916"/>
                            <a:pt x="13807440" y="335287"/>
                          </a:cubicBezTo>
                          <a:cubicBezTo>
                            <a:pt x="13780740" y="808081"/>
                            <a:pt x="13825862" y="1007467"/>
                            <a:pt x="13807440" y="1676393"/>
                          </a:cubicBezTo>
                          <a:cubicBezTo>
                            <a:pt x="13776960" y="1872609"/>
                            <a:pt x="13637630" y="2008456"/>
                            <a:pt x="13472153" y="2011680"/>
                          </a:cubicBezTo>
                          <a:cubicBezTo>
                            <a:pt x="11355976" y="1850973"/>
                            <a:pt x="5898917" y="2051347"/>
                            <a:pt x="335287" y="2011680"/>
                          </a:cubicBezTo>
                          <a:cubicBezTo>
                            <a:pt x="116807" y="2004953"/>
                            <a:pt x="-26172" y="1849710"/>
                            <a:pt x="0" y="1676393"/>
                          </a:cubicBezTo>
                          <a:cubicBezTo>
                            <a:pt x="-102437" y="1279469"/>
                            <a:pt x="-39934" y="748300"/>
                            <a:pt x="0" y="335287"/>
                          </a:cubicBezTo>
                          <a:close/>
                        </a:path>
                      </a:pathLst>
                    </a:custGeom>
                    <ask:type>
                      <ask:lineSketchNone/>
                    </ask:type>
                  </ask:lineSketchStyleProps>
                </a:ext>
              </a:extLst>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51" name="Rectangle: Rounded Corners 50">
              <a:extLst>
                <a:ext uri="{FF2B5EF4-FFF2-40B4-BE49-F238E27FC236}">
                  <a16:creationId xmlns:a16="http://schemas.microsoft.com/office/drawing/2014/main" id="{84EEBCF2-CCCF-4C77-B726-3EB7561487AA}"/>
                </a:ext>
              </a:extLst>
            </xdr:cNvPr>
            <xdr:cNvSpPr/>
          </xdr:nvSpPr>
          <xdr:spPr>
            <a:xfrm>
              <a:off x="14434823" y="2691358"/>
              <a:ext cx="4390041" cy="11058098"/>
            </a:xfrm>
            <a:prstGeom prst="roundRect">
              <a:avLst>
                <a:gd name="adj" fmla="val 15450"/>
              </a:avLst>
            </a:prstGeom>
            <a:gradFill flip="none" rotWithShape="1">
              <a:gsLst>
                <a:gs pos="87000">
                  <a:srgbClr val="F8F8F8"/>
                </a:gs>
                <a:gs pos="100000">
                  <a:srgbClr val="F8F8F8"/>
                </a:gs>
                <a:gs pos="65000">
                  <a:schemeClr val="bg1"/>
                </a:gs>
                <a:gs pos="0">
                  <a:srgbClr val="FDFBFF"/>
                </a:gs>
              </a:gsLst>
              <a:path path="shape">
                <a:fillToRect l="50000" t="50000" r="50000" b="50000"/>
              </a:path>
              <a:tileRect/>
            </a:gradFill>
            <a:ln>
              <a:solidFill>
                <a:srgbClr val="FEF4FC"/>
              </a:solidFill>
              <a:extLst>
                <a:ext uri="{C807C97D-BFC1-408E-A445-0C87EB9F89A2}">
                  <ask:lineSketchStyleProps xmlns:ask="http://schemas.microsoft.com/office/drawing/2018/sketchyshapes" sd="852854689">
                    <a:custGeom>
                      <a:avLst/>
                      <a:gdLst>
                        <a:gd name="connsiteX0" fmla="*/ 0 w 13807440"/>
                        <a:gd name="connsiteY0" fmla="*/ 335287 h 2011680"/>
                        <a:gd name="connsiteX1" fmla="*/ 335287 w 13807440"/>
                        <a:gd name="connsiteY1" fmla="*/ 0 h 2011680"/>
                        <a:gd name="connsiteX2" fmla="*/ 13472153 w 13807440"/>
                        <a:gd name="connsiteY2" fmla="*/ 0 h 2011680"/>
                        <a:gd name="connsiteX3" fmla="*/ 13807440 w 13807440"/>
                        <a:gd name="connsiteY3" fmla="*/ 335287 h 2011680"/>
                        <a:gd name="connsiteX4" fmla="*/ 13807440 w 13807440"/>
                        <a:gd name="connsiteY4" fmla="*/ 1676393 h 2011680"/>
                        <a:gd name="connsiteX5" fmla="*/ 13472153 w 13807440"/>
                        <a:gd name="connsiteY5" fmla="*/ 2011680 h 2011680"/>
                        <a:gd name="connsiteX6" fmla="*/ 335287 w 13807440"/>
                        <a:gd name="connsiteY6" fmla="*/ 2011680 h 2011680"/>
                        <a:gd name="connsiteX7" fmla="*/ 0 w 13807440"/>
                        <a:gd name="connsiteY7" fmla="*/ 1676393 h 2011680"/>
                        <a:gd name="connsiteX8" fmla="*/ 0 w 13807440"/>
                        <a:gd name="connsiteY8" fmla="*/ 335287 h 201168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13807440" h="2011680" fill="none" extrusionOk="0">
                          <a:moveTo>
                            <a:pt x="0" y="335287"/>
                          </a:moveTo>
                          <a:cubicBezTo>
                            <a:pt x="1282" y="184811"/>
                            <a:pt x="153979" y="6489"/>
                            <a:pt x="335287" y="0"/>
                          </a:cubicBezTo>
                          <a:cubicBezTo>
                            <a:pt x="4241728" y="72427"/>
                            <a:pt x="8479298" y="61419"/>
                            <a:pt x="13472153" y="0"/>
                          </a:cubicBezTo>
                          <a:cubicBezTo>
                            <a:pt x="13656110" y="-8376"/>
                            <a:pt x="13776949" y="140890"/>
                            <a:pt x="13807440" y="335287"/>
                          </a:cubicBezTo>
                          <a:cubicBezTo>
                            <a:pt x="13865818" y="938334"/>
                            <a:pt x="13854187" y="1173546"/>
                            <a:pt x="13807440" y="1676393"/>
                          </a:cubicBezTo>
                          <a:cubicBezTo>
                            <a:pt x="13811608" y="1840411"/>
                            <a:pt x="13652161" y="2005889"/>
                            <a:pt x="13472153" y="2011680"/>
                          </a:cubicBezTo>
                          <a:cubicBezTo>
                            <a:pt x="10430650" y="2041507"/>
                            <a:pt x="2890455" y="1932374"/>
                            <a:pt x="335287" y="2011680"/>
                          </a:cubicBezTo>
                          <a:cubicBezTo>
                            <a:pt x="182787" y="2007986"/>
                            <a:pt x="-15008" y="1864535"/>
                            <a:pt x="0" y="1676393"/>
                          </a:cubicBezTo>
                          <a:cubicBezTo>
                            <a:pt x="-8642" y="1420970"/>
                            <a:pt x="-119608" y="980697"/>
                            <a:pt x="0" y="335287"/>
                          </a:cubicBezTo>
                          <a:close/>
                        </a:path>
                        <a:path w="13807440" h="2011680" stroke="0" extrusionOk="0">
                          <a:moveTo>
                            <a:pt x="0" y="335287"/>
                          </a:moveTo>
                          <a:cubicBezTo>
                            <a:pt x="33315" y="159194"/>
                            <a:pt x="163186" y="27238"/>
                            <a:pt x="335287" y="0"/>
                          </a:cubicBezTo>
                          <a:cubicBezTo>
                            <a:pt x="5852204" y="123000"/>
                            <a:pt x="7605169" y="-96860"/>
                            <a:pt x="13472153" y="0"/>
                          </a:cubicBezTo>
                          <a:cubicBezTo>
                            <a:pt x="13654227" y="-2363"/>
                            <a:pt x="13813986" y="136916"/>
                            <a:pt x="13807440" y="335287"/>
                          </a:cubicBezTo>
                          <a:cubicBezTo>
                            <a:pt x="13780740" y="808081"/>
                            <a:pt x="13825862" y="1007467"/>
                            <a:pt x="13807440" y="1676393"/>
                          </a:cubicBezTo>
                          <a:cubicBezTo>
                            <a:pt x="13776960" y="1872609"/>
                            <a:pt x="13637630" y="2008456"/>
                            <a:pt x="13472153" y="2011680"/>
                          </a:cubicBezTo>
                          <a:cubicBezTo>
                            <a:pt x="11355976" y="1850973"/>
                            <a:pt x="5898917" y="2051347"/>
                            <a:pt x="335287" y="2011680"/>
                          </a:cubicBezTo>
                          <a:cubicBezTo>
                            <a:pt x="116807" y="2004953"/>
                            <a:pt x="-26172" y="1849710"/>
                            <a:pt x="0" y="1676393"/>
                          </a:cubicBezTo>
                          <a:cubicBezTo>
                            <a:pt x="-102437" y="1279469"/>
                            <a:pt x="-39934" y="748300"/>
                            <a:pt x="0" y="335287"/>
                          </a:cubicBezTo>
                          <a:close/>
                        </a:path>
                      </a:pathLst>
                    </a:custGeom>
                    <ask:type>
                      <ask:lineSketchNone/>
                    </ask:type>
                  </ask:lineSketchStyleProps>
                </a:ext>
              </a:extLst>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grpSp>
    <xdr:clientData/>
  </xdr:twoCellAnchor>
  <xdr:twoCellAnchor>
    <xdr:from>
      <xdr:col>1</xdr:col>
      <xdr:colOff>416002</xdr:colOff>
      <xdr:row>0</xdr:row>
      <xdr:rowOff>57150</xdr:rowOff>
    </xdr:from>
    <xdr:to>
      <xdr:col>38</xdr:col>
      <xdr:colOff>361950</xdr:colOff>
      <xdr:row>18</xdr:row>
      <xdr:rowOff>152400</xdr:rowOff>
    </xdr:to>
    <xdr:sp macro="" textlink="">
      <xdr:nvSpPr>
        <xdr:cNvPr id="2" name="Rectangle: Rounded Corners 1">
          <a:extLst>
            <a:ext uri="{FF2B5EF4-FFF2-40B4-BE49-F238E27FC236}">
              <a16:creationId xmlns:a16="http://schemas.microsoft.com/office/drawing/2014/main" id="{59E24AB5-8D2A-482B-9687-3DCB8D2AAC44}"/>
            </a:ext>
          </a:extLst>
        </xdr:cNvPr>
        <xdr:cNvSpPr/>
      </xdr:nvSpPr>
      <xdr:spPr>
        <a:xfrm>
          <a:off x="1025602" y="57150"/>
          <a:ext cx="22501148" cy="3524250"/>
        </a:xfrm>
        <a:prstGeom prst="roundRect">
          <a:avLst>
            <a:gd name="adj" fmla="val 27242"/>
          </a:avLst>
        </a:prstGeom>
        <a:noFill/>
        <a:ln w="38100">
          <a:solidFill>
            <a:srgbClr val="7030A0"/>
          </a:solidFill>
          <a:extLst>
            <a:ext uri="{C807C97D-BFC1-408E-A445-0C87EB9F89A2}">
              <ask:lineSketchStyleProps xmlns:ask="http://schemas.microsoft.com/office/drawing/2018/sketchyshapes" sd="852854689">
                <a:custGeom>
                  <a:avLst/>
                  <a:gdLst>
                    <a:gd name="connsiteX0" fmla="*/ 0 w 13807440"/>
                    <a:gd name="connsiteY0" fmla="*/ 335287 h 2011680"/>
                    <a:gd name="connsiteX1" fmla="*/ 335287 w 13807440"/>
                    <a:gd name="connsiteY1" fmla="*/ 0 h 2011680"/>
                    <a:gd name="connsiteX2" fmla="*/ 13472153 w 13807440"/>
                    <a:gd name="connsiteY2" fmla="*/ 0 h 2011680"/>
                    <a:gd name="connsiteX3" fmla="*/ 13807440 w 13807440"/>
                    <a:gd name="connsiteY3" fmla="*/ 335287 h 2011680"/>
                    <a:gd name="connsiteX4" fmla="*/ 13807440 w 13807440"/>
                    <a:gd name="connsiteY4" fmla="*/ 1676393 h 2011680"/>
                    <a:gd name="connsiteX5" fmla="*/ 13472153 w 13807440"/>
                    <a:gd name="connsiteY5" fmla="*/ 2011680 h 2011680"/>
                    <a:gd name="connsiteX6" fmla="*/ 335287 w 13807440"/>
                    <a:gd name="connsiteY6" fmla="*/ 2011680 h 2011680"/>
                    <a:gd name="connsiteX7" fmla="*/ 0 w 13807440"/>
                    <a:gd name="connsiteY7" fmla="*/ 1676393 h 2011680"/>
                    <a:gd name="connsiteX8" fmla="*/ 0 w 13807440"/>
                    <a:gd name="connsiteY8" fmla="*/ 335287 h 201168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13807440" h="2011680" fill="none" extrusionOk="0">
                      <a:moveTo>
                        <a:pt x="0" y="335287"/>
                      </a:moveTo>
                      <a:cubicBezTo>
                        <a:pt x="1282" y="184811"/>
                        <a:pt x="153979" y="6489"/>
                        <a:pt x="335287" y="0"/>
                      </a:cubicBezTo>
                      <a:cubicBezTo>
                        <a:pt x="4241728" y="72427"/>
                        <a:pt x="8479298" y="61419"/>
                        <a:pt x="13472153" y="0"/>
                      </a:cubicBezTo>
                      <a:cubicBezTo>
                        <a:pt x="13656110" y="-8376"/>
                        <a:pt x="13776949" y="140890"/>
                        <a:pt x="13807440" y="335287"/>
                      </a:cubicBezTo>
                      <a:cubicBezTo>
                        <a:pt x="13865818" y="938334"/>
                        <a:pt x="13854187" y="1173546"/>
                        <a:pt x="13807440" y="1676393"/>
                      </a:cubicBezTo>
                      <a:cubicBezTo>
                        <a:pt x="13811608" y="1840411"/>
                        <a:pt x="13652161" y="2005889"/>
                        <a:pt x="13472153" y="2011680"/>
                      </a:cubicBezTo>
                      <a:cubicBezTo>
                        <a:pt x="10430650" y="2041507"/>
                        <a:pt x="2890455" y="1932374"/>
                        <a:pt x="335287" y="2011680"/>
                      </a:cubicBezTo>
                      <a:cubicBezTo>
                        <a:pt x="182787" y="2007986"/>
                        <a:pt x="-15008" y="1864535"/>
                        <a:pt x="0" y="1676393"/>
                      </a:cubicBezTo>
                      <a:cubicBezTo>
                        <a:pt x="-8642" y="1420970"/>
                        <a:pt x="-119608" y="980697"/>
                        <a:pt x="0" y="335287"/>
                      </a:cubicBezTo>
                      <a:close/>
                    </a:path>
                    <a:path w="13807440" h="2011680" stroke="0" extrusionOk="0">
                      <a:moveTo>
                        <a:pt x="0" y="335287"/>
                      </a:moveTo>
                      <a:cubicBezTo>
                        <a:pt x="33315" y="159194"/>
                        <a:pt x="163186" y="27238"/>
                        <a:pt x="335287" y="0"/>
                      </a:cubicBezTo>
                      <a:cubicBezTo>
                        <a:pt x="5852204" y="123000"/>
                        <a:pt x="7605169" y="-96860"/>
                        <a:pt x="13472153" y="0"/>
                      </a:cubicBezTo>
                      <a:cubicBezTo>
                        <a:pt x="13654227" y="-2363"/>
                        <a:pt x="13813986" y="136916"/>
                        <a:pt x="13807440" y="335287"/>
                      </a:cubicBezTo>
                      <a:cubicBezTo>
                        <a:pt x="13780740" y="808081"/>
                        <a:pt x="13825862" y="1007467"/>
                        <a:pt x="13807440" y="1676393"/>
                      </a:cubicBezTo>
                      <a:cubicBezTo>
                        <a:pt x="13776960" y="1872609"/>
                        <a:pt x="13637630" y="2008456"/>
                        <a:pt x="13472153" y="2011680"/>
                      </a:cubicBezTo>
                      <a:cubicBezTo>
                        <a:pt x="11355976" y="1850973"/>
                        <a:pt x="5898917" y="2051347"/>
                        <a:pt x="335287" y="2011680"/>
                      </a:cubicBezTo>
                      <a:cubicBezTo>
                        <a:pt x="116807" y="2004953"/>
                        <a:pt x="-26172" y="1849710"/>
                        <a:pt x="0" y="1676393"/>
                      </a:cubicBezTo>
                      <a:cubicBezTo>
                        <a:pt x="-102437" y="1279469"/>
                        <a:pt x="-39934" y="748300"/>
                        <a:pt x="0" y="335287"/>
                      </a:cubicBezTo>
                      <a:close/>
                    </a:path>
                  </a:pathLst>
                </a:custGeom>
                <ask:type>
                  <ask:lineSketchNone/>
                </ask:type>
              </ask:lineSketchStyleProps>
            </a:ext>
          </a:extLst>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245313</xdr:colOff>
      <xdr:row>10</xdr:row>
      <xdr:rowOff>59727</xdr:rowOff>
    </xdr:from>
    <xdr:to>
      <xdr:col>38</xdr:col>
      <xdr:colOff>57150</xdr:colOff>
      <xdr:row>17</xdr:row>
      <xdr:rowOff>149554</xdr:rowOff>
    </xdr:to>
    <xdr:grpSp>
      <xdr:nvGrpSpPr>
        <xdr:cNvPr id="34" name="Group 33">
          <a:extLst>
            <a:ext uri="{FF2B5EF4-FFF2-40B4-BE49-F238E27FC236}">
              <a16:creationId xmlns:a16="http://schemas.microsoft.com/office/drawing/2014/main" id="{70F043CC-1C0D-456D-8EC9-E3E6375739B5}"/>
            </a:ext>
          </a:extLst>
        </xdr:cNvPr>
        <xdr:cNvGrpSpPr/>
      </xdr:nvGrpSpPr>
      <xdr:grpSpPr>
        <a:xfrm>
          <a:off x="1464513" y="1888527"/>
          <a:ext cx="21757437" cy="1369987"/>
          <a:chOff x="1084728" y="923364"/>
          <a:chExt cx="13482915" cy="1336326"/>
        </a:xfrm>
      </xdr:grpSpPr>
      <xdr:sp macro="" textlink="'Pivot tables'!G15">
        <xdr:nvSpPr>
          <xdr:cNvPr id="4" name="TextBox 3">
            <a:extLst>
              <a:ext uri="{FF2B5EF4-FFF2-40B4-BE49-F238E27FC236}">
                <a16:creationId xmlns:a16="http://schemas.microsoft.com/office/drawing/2014/main" id="{48302737-B634-4851-82C8-3B3F10D2B6CF}"/>
              </a:ext>
            </a:extLst>
          </xdr:cNvPr>
          <xdr:cNvSpPr txBox="1"/>
        </xdr:nvSpPr>
        <xdr:spPr>
          <a:xfrm>
            <a:off x="1447487" y="1649507"/>
            <a:ext cx="1335742" cy="523427"/>
          </a:xfrm>
          <a:prstGeom prst="rect">
            <a:avLst/>
          </a:prstGeom>
          <a:noFill/>
          <a:ln w="9525" cmpd="sng">
            <a:noFill/>
          </a:ln>
          <a:effectLst>
            <a:softEdge rad="31750"/>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D4AB3ADC-0144-4CE2-86B4-0EAB2285374D}" type="TxLink">
              <a:rPr lang="en-US" sz="2800" b="0" i="0" u="none" strike="noStrike">
                <a:solidFill>
                  <a:schemeClr val="bg1">
                    <a:lumMod val="50000"/>
                  </a:schemeClr>
                </a:solidFill>
                <a:latin typeface="Segoe UI Black" panose="020B0A02040204020203" pitchFamily="34" charset="0"/>
                <a:ea typeface="Segoe UI Black" panose="020B0A02040204020203" pitchFamily="34" charset="0"/>
                <a:cs typeface="Calibri"/>
              </a:rPr>
              <a:pPr marL="0" indent="0"/>
              <a:t> 2,341,079 </a:t>
            </a:fld>
            <a:endParaRPr lang="en-US" sz="2800" b="0" i="0" u="none" strike="noStrike">
              <a:solidFill>
                <a:schemeClr val="bg1">
                  <a:lumMod val="50000"/>
                </a:schemeClr>
              </a:solidFill>
              <a:latin typeface="Segoe UI Black" panose="020B0A02040204020203" pitchFamily="34" charset="0"/>
              <a:ea typeface="Segoe UI Black" panose="020B0A02040204020203" pitchFamily="34" charset="0"/>
              <a:cs typeface="Calibri"/>
            </a:endParaRPr>
          </a:p>
        </xdr:txBody>
      </xdr:sp>
      <xdr:sp macro="" textlink="'Pivot tables'!B15">
        <xdr:nvSpPr>
          <xdr:cNvPr id="5" name="TextBox 4">
            <a:extLst>
              <a:ext uri="{FF2B5EF4-FFF2-40B4-BE49-F238E27FC236}">
                <a16:creationId xmlns:a16="http://schemas.microsoft.com/office/drawing/2014/main" id="{7250EFD7-F135-4503-B1B0-09258DA22122}"/>
              </a:ext>
            </a:extLst>
          </xdr:cNvPr>
          <xdr:cNvSpPr txBox="1"/>
        </xdr:nvSpPr>
        <xdr:spPr>
          <a:xfrm>
            <a:off x="1084728" y="1156445"/>
            <a:ext cx="2303930" cy="484094"/>
          </a:xfrm>
          <a:prstGeom prst="rect">
            <a:avLst/>
          </a:prstGeom>
          <a:noFill/>
          <a:ln w="9525" cmpd="sng">
            <a:noFill/>
          </a:ln>
          <a:effectLst>
            <a:softEdge rad="31750"/>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800">
                <a:solidFill>
                  <a:schemeClr val="bg1">
                    <a:lumMod val="50000"/>
                  </a:schemeClr>
                </a:solidFill>
                <a:latin typeface="Segoe UI Black" panose="020B0A02040204020203" pitchFamily="34" charset="0"/>
                <a:ea typeface="Segoe UI Black" panose="020B0A02040204020203" pitchFamily="34" charset="0"/>
              </a:rPr>
              <a:t>Total</a:t>
            </a:r>
            <a:r>
              <a:rPr lang="en-US" sz="2800" baseline="0">
                <a:solidFill>
                  <a:schemeClr val="bg1">
                    <a:lumMod val="50000"/>
                  </a:schemeClr>
                </a:solidFill>
                <a:latin typeface="Segoe UI Black" panose="020B0A02040204020203" pitchFamily="34" charset="0"/>
                <a:ea typeface="Segoe UI Black" panose="020B0A02040204020203" pitchFamily="34" charset="0"/>
              </a:rPr>
              <a:t> impressions</a:t>
            </a:r>
            <a:endParaRPr lang="en-US" sz="2800">
              <a:solidFill>
                <a:schemeClr val="bg1">
                  <a:lumMod val="50000"/>
                </a:schemeClr>
              </a:solidFill>
              <a:latin typeface="Segoe UI Black" panose="020B0A02040204020203" pitchFamily="34" charset="0"/>
              <a:ea typeface="Segoe UI Black" panose="020B0A02040204020203" pitchFamily="34" charset="0"/>
            </a:endParaRPr>
          </a:p>
        </xdr:txBody>
      </xdr:sp>
      <xdr:sp macro="" textlink="'Pivot tables'!B15">
        <xdr:nvSpPr>
          <xdr:cNvPr id="6" name="TextBox 5">
            <a:extLst>
              <a:ext uri="{FF2B5EF4-FFF2-40B4-BE49-F238E27FC236}">
                <a16:creationId xmlns:a16="http://schemas.microsoft.com/office/drawing/2014/main" id="{4470F499-93A1-4388-868D-DB45EC06FF9F}"/>
              </a:ext>
            </a:extLst>
          </xdr:cNvPr>
          <xdr:cNvSpPr txBox="1"/>
        </xdr:nvSpPr>
        <xdr:spPr>
          <a:xfrm>
            <a:off x="3488780" y="1165410"/>
            <a:ext cx="2303930" cy="484094"/>
          </a:xfrm>
          <a:prstGeom prst="rect">
            <a:avLst/>
          </a:prstGeom>
          <a:noFill/>
          <a:ln w="9525" cmpd="sng">
            <a:noFill/>
          </a:ln>
          <a:effectLst>
            <a:softEdge rad="31750"/>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800">
                <a:solidFill>
                  <a:schemeClr val="bg1">
                    <a:lumMod val="50000"/>
                  </a:schemeClr>
                </a:solidFill>
                <a:latin typeface="Segoe UI Black" panose="020B0A02040204020203" pitchFamily="34" charset="0"/>
                <a:ea typeface="Segoe UI Black" panose="020B0A02040204020203" pitchFamily="34" charset="0"/>
              </a:rPr>
              <a:t>Total</a:t>
            </a:r>
            <a:r>
              <a:rPr lang="en-US" sz="2800" baseline="0">
                <a:solidFill>
                  <a:schemeClr val="bg1">
                    <a:lumMod val="50000"/>
                  </a:schemeClr>
                </a:solidFill>
                <a:latin typeface="Segoe UI Black" panose="020B0A02040204020203" pitchFamily="34" charset="0"/>
                <a:ea typeface="Segoe UI Black" panose="020B0A02040204020203" pitchFamily="34" charset="0"/>
              </a:rPr>
              <a:t> Posts Reach</a:t>
            </a:r>
            <a:endParaRPr lang="en-US" sz="2800">
              <a:solidFill>
                <a:schemeClr val="bg1">
                  <a:lumMod val="50000"/>
                </a:schemeClr>
              </a:solidFill>
              <a:latin typeface="Segoe UI Black" panose="020B0A02040204020203" pitchFamily="34" charset="0"/>
              <a:ea typeface="Segoe UI Black" panose="020B0A02040204020203" pitchFamily="34" charset="0"/>
            </a:endParaRPr>
          </a:p>
        </xdr:txBody>
      </xdr:sp>
      <xdr:sp macro="" textlink="'Pivot tables'!C15">
        <xdr:nvSpPr>
          <xdr:cNvPr id="7" name="TextBox 6">
            <a:extLst>
              <a:ext uri="{FF2B5EF4-FFF2-40B4-BE49-F238E27FC236}">
                <a16:creationId xmlns:a16="http://schemas.microsoft.com/office/drawing/2014/main" id="{828DA57A-FE61-454F-B146-9176A6D6AE6A}"/>
              </a:ext>
            </a:extLst>
          </xdr:cNvPr>
          <xdr:cNvSpPr txBox="1"/>
        </xdr:nvSpPr>
        <xdr:spPr>
          <a:xfrm>
            <a:off x="3888463" y="1613649"/>
            <a:ext cx="1353669" cy="639745"/>
          </a:xfrm>
          <a:prstGeom prst="rect">
            <a:avLst/>
          </a:prstGeom>
          <a:noFill/>
          <a:ln w="9525" cmpd="sng">
            <a:noFill/>
          </a:ln>
          <a:effectLst>
            <a:softEdge rad="31750"/>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95960BB9-ADD0-48DA-ADED-559222D41E29}" type="TxLink">
              <a:rPr lang="en-US" sz="2800" b="0" i="0" u="none" strike="noStrike">
                <a:solidFill>
                  <a:schemeClr val="bg1">
                    <a:lumMod val="50000"/>
                  </a:schemeClr>
                </a:solidFill>
                <a:latin typeface="Segoe UI Black" panose="020B0A02040204020203" pitchFamily="34" charset="0"/>
                <a:ea typeface="Segoe UI Black" panose="020B0A02040204020203" pitchFamily="34" charset="0"/>
                <a:cs typeface="Calibri"/>
              </a:rPr>
              <a:pPr marL="0" indent="0"/>
              <a:t> 1,643,498 </a:t>
            </a:fld>
            <a:endParaRPr lang="en-US" sz="2800" b="0" i="0" u="none" strike="noStrike">
              <a:solidFill>
                <a:schemeClr val="bg1">
                  <a:lumMod val="50000"/>
                </a:schemeClr>
              </a:solidFill>
              <a:latin typeface="Segoe UI Black" panose="020B0A02040204020203" pitchFamily="34" charset="0"/>
              <a:ea typeface="Segoe UI Black" panose="020B0A02040204020203" pitchFamily="34" charset="0"/>
              <a:cs typeface="Calibri"/>
            </a:endParaRPr>
          </a:p>
        </xdr:txBody>
      </xdr:sp>
      <xdr:sp macro="" textlink="'Pivot tables'!B15">
        <xdr:nvSpPr>
          <xdr:cNvPr id="16" name="TextBox 15">
            <a:extLst>
              <a:ext uri="{FF2B5EF4-FFF2-40B4-BE49-F238E27FC236}">
                <a16:creationId xmlns:a16="http://schemas.microsoft.com/office/drawing/2014/main" id="{493DB4A5-199F-414D-BA3A-F47D19407663}"/>
              </a:ext>
            </a:extLst>
          </xdr:cNvPr>
          <xdr:cNvSpPr txBox="1"/>
        </xdr:nvSpPr>
        <xdr:spPr>
          <a:xfrm>
            <a:off x="5684406" y="923364"/>
            <a:ext cx="2841029" cy="878542"/>
          </a:xfrm>
          <a:prstGeom prst="rect">
            <a:avLst/>
          </a:prstGeom>
          <a:noFill/>
          <a:ln w="9525" cmpd="sng">
            <a:noFill/>
          </a:ln>
          <a:effectLst>
            <a:softEdge rad="31750"/>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800">
                <a:solidFill>
                  <a:schemeClr val="bg1">
                    <a:lumMod val="50000"/>
                  </a:schemeClr>
                </a:solidFill>
                <a:latin typeface="Segoe UI Black" panose="020B0A02040204020203" pitchFamily="34" charset="0"/>
                <a:ea typeface="Segoe UI Black" panose="020B0A02040204020203" pitchFamily="34" charset="0"/>
              </a:rPr>
              <a:t>Avg.</a:t>
            </a:r>
            <a:r>
              <a:rPr lang="en-US" sz="2800" baseline="0">
                <a:solidFill>
                  <a:schemeClr val="bg1">
                    <a:lumMod val="50000"/>
                  </a:schemeClr>
                </a:solidFill>
                <a:latin typeface="Segoe UI Black" panose="020B0A02040204020203" pitchFamily="34" charset="0"/>
                <a:ea typeface="Segoe UI Black" panose="020B0A02040204020203" pitchFamily="34" charset="0"/>
              </a:rPr>
              <a:t> Engagement Rate</a:t>
            </a:r>
            <a:endParaRPr lang="en-US" sz="2800">
              <a:solidFill>
                <a:schemeClr val="bg1">
                  <a:lumMod val="50000"/>
                </a:schemeClr>
              </a:solidFill>
              <a:latin typeface="Segoe UI Black" panose="020B0A02040204020203" pitchFamily="34" charset="0"/>
              <a:ea typeface="Segoe UI Black" panose="020B0A02040204020203" pitchFamily="34" charset="0"/>
            </a:endParaRPr>
          </a:p>
        </xdr:txBody>
      </xdr:sp>
      <xdr:sp macro="" textlink="'Pivot tables'!E15">
        <xdr:nvSpPr>
          <xdr:cNvPr id="17" name="TextBox 16">
            <a:extLst>
              <a:ext uri="{FF2B5EF4-FFF2-40B4-BE49-F238E27FC236}">
                <a16:creationId xmlns:a16="http://schemas.microsoft.com/office/drawing/2014/main" id="{BBA84846-C496-45EA-9D9B-B7485A249C5F}"/>
              </a:ext>
            </a:extLst>
          </xdr:cNvPr>
          <xdr:cNvSpPr txBox="1"/>
        </xdr:nvSpPr>
        <xdr:spPr>
          <a:xfrm>
            <a:off x="6911154" y="1631576"/>
            <a:ext cx="726142" cy="628114"/>
          </a:xfrm>
          <a:prstGeom prst="rect">
            <a:avLst/>
          </a:prstGeom>
          <a:noFill/>
          <a:ln w="9525" cmpd="sng">
            <a:noFill/>
          </a:ln>
          <a:effectLst>
            <a:softEdge rad="31750"/>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5E56F4A0-E400-4EB8-BF16-A1557487392F}" type="TxLink">
              <a:rPr lang="en-US" sz="2800" b="0" i="0" u="none" strike="noStrike">
                <a:solidFill>
                  <a:schemeClr val="bg1">
                    <a:lumMod val="50000"/>
                  </a:schemeClr>
                </a:solidFill>
                <a:latin typeface="Segoe UI Black" panose="020B0A02040204020203" pitchFamily="34" charset="0"/>
                <a:ea typeface="Segoe UI Black" panose="020B0A02040204020203" pitchFamily="34" charset="0"/>
                <a:cs typeface="Calibri"/>
              </a:rPr>
              <a:pPr marL="0" indent="0"/>
              <a:t>2%</a:t>
            </a:fld>
            <a:endParaRPr lang="en-US" sz="2800" b="0" i="0" u="none" strike="noStrike">
              <a:solidFill>
                <a:schemeClr val="bg1">
                  <a:lumMod val="50000"/>
                </a:schemeClr>
              </a:solidFill>
              <a:latin typeface="Segoe UI Black" panose="020B0A02040204020203" pitchFamily="34" charset="0"/>
              <a:ea typeface="Segoe UI Black" panose="020B0A02040204020203" pitchFamily="34" charset="0"/>
              <a:cs typeface="Calibri"/>
            </a:endParaRPr>
          </a:p>
        </xdr:txBody>
      </xdr:sp>
      <xdr:sp macro="" textlink="'Pivot tables'!B15">
        <xdr:nvSpPr>
          <xdr:cNvPr id="22" name="TextBox 21">
            <a:extLst>
              <a:ext uri="{FF2B5EF4-FFF2-40B4-BE49-F238E27FC236}">
                <a16:creationId xmlns:a16="http://schemas.microsoft.com/office/drawing/2014/main" id="{A70D8932-76DD-4392-B0D2-BB19C8B41EE9}"/>
              </a:ext>
            </a:extLst>
          </xdr:cNvPr>
          <xdr:cNvSpPr txBox="1"/>
        </xdr:nvSpPr>
        <xdr:spPr>
          <a:xfrm>
            <a:off x="13178112" y="1613647"/>
            <a:ext cx="726142" cy="628114"/>
          </a:xfrm>
          <a:prstGeom prst="rect">
            <a:avLst/>
          </a:prstGeom>
          <a:noFill/>
          <a:ln w="9525" cmpd="sng">
            <a:noFill/>
          </a:ln>
          <a:effectLst>
            <a:softEdge rad="31750"/>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25753F1-452A-49C4-AE17-55A701808CC4}" type="TxLink">
              <a:rPr lang="en-US" sz="2800" b="0" i="0" u="none" strike="noStrike">
                <a:solidFill>
                  <a:schemeClr val="bg1">
                    <a:lumMod val="50000"/>
                  </a:schemeClr>
                </a:solidFill>
                <a:latin typeface="Segoe UI Black" panose="020B0A02040204020203" pitchFamily="34" charset="0"/>
                <a:ea typeface="Segoe UI Black" panose="020B0A02040204020203" pitchFamily="34" charset="0"/>
                <a:cs typeface="Calibri"/>
              </a:rPr>
              <a:t>4195</a:t>
            </a:fld>
            <a:endParaRPr lang="en-US" sz="2800">
              <a:solidFill>
                <a:schemeClr val="bg1">
                  <a:lumMod val="50000"/>
                </a:schemeClr>
              </a:solidFill>
              <a:latin typeface="Segoe UI Black" panose="020B0A02040204020203" pitchFamily="34" charset="0"/>
              <a:ea typeface="Segoe UI Black" panose="020B0A02040204020203" pitchFamily="34" charset="0"/>
            </a:endParaRPr>
          </a:p>
        </xdr:txBody>
      </xdr:sp>
      <xdr:sp macro="" textlink="'Pivot tables'!B15">
        <xdr:nvSpPr>
          <xdr:cNvPr id="23" name="TextBox 22">
            <a:extLst>
              <a:ext uri="{FF2B5EF4-FFF2-40B4-BE49-F238E27FC236}">
                <a16:creationId xmlns:a16="http://schemas.microsoft.com/office/drawing/2014/main" id="{5F3253DE-3C62-485C-9C66-BC7034375816}"/>
              </a:ext>
            </a:extLst>
          </xdr:cNvPr>
          <xdr:cNvSpPr txBox="1"/>
        </xdr:nvSpPr>
        <xdr:spPr>
          <a:xfrm>
            <a:off x="12756773" y="1165408"/>
            <a:ext cx="1810870" cy="484094"/>
          </a:xfrm>
          <a:prstGeom prst="rect">
            <a:avLst/>
          </a:prstGeom>
          <a:noFill/>
          <a:ln w="9525" cmpd="sng">
            <a:noFill/>
          </a:ln>
          <a:effectLst>
            <a:softEdge rad="31750"/>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800">
                <a:solidFill>
                  <a:schemeClr val="bg1">
                    <a:lumMod val="50000"/>
                  </a:schemeClr>
                </a:solidFill>
                <a:latin typeface="Segoe UI Black" panose="020B0A02040204020203" pitchFamily="34" charset="0"/>
                <a:ea typeface="Segoe UI Black" panose="020B0A02040204020203" pitchFamily="34" charset="0"/>
              </a:rPr>
              <a:t>Total</a:t>
            </a:r>
            <a:r>
              <a:rPr lang="en-US" sz="2800" baseline="0">
                <a:solidFill>
                  <a:schemeClr val="bg1">
                    <a:lumMod val="50000"/>
                  </a:schemeClr>
                </a:solidFill>
                <a:latin typeface="Segoe UI Black" panose="020B0A02040204020203" pitchFamily="34" charset="0"/>
                <a:ea typeface="Segoe UI Black" panose="020B0A02040204020203" pitchFamily="34" charset="0"/>
              </a:rPr>
              <a:t> Growth</a:t>
            </a:r>
            <a:endParaRPr lang="en-US" sz="2800">
              <a:solidFill>
                <a:schemeClr val="bg1">
                  <a:lumMod val="50000"/>
                </a:schemeClr>
              </a:solidFill>
              <a:latin typeface="Segoe UI Black" panose="020B0A02040204020203" pitchFamily="34" charset="0"/>
              <a:ea typeface="Segoe UI Black" panose="020B0A02040204020203" pitchFamily="34" charset="0"/>
            </a:endParaRPr>
          </a:p>
        </xdr:txBody>
      </xdr:sp>
      <xdr:sp macro="" textlink="'Pivot tables'!B15">
        <xdr:nvSpPr>
          <xdr:cNvPr id="24" name="TextBox 23">
            <a:extLst>
              <a:ext uri="{FF2B5EF4-FFF2-40B4-BE49-F238E27FC236}">
                <a16:creationId xmlns:a16="http://schemas.microsoft.com/office/drawing/2014/main" id="{4F179492-DD28-4006-BB95-901F229F8B8E}"/>
              </a:ext>
            </a:extLst>
          </xdr:cNvPr>
          <xdr:cNvSpPr txBox="1"/>
        </xdr:nvSpPr>
        <xdr:spPr>
          <a:xfrm>
            <a:off x="8579224" y="959228"/>
            <a:ext cx="2510117" cy="815790"/>
          </a:xfrm>
          <a:prstGeom prst="rect">
            <a:avLst/>
          </a:prstGeom>
          <a:noFill/>
          <a:ln w="9525" cmpd="sng">
            <a:noFill/>
          </a:ln>
          <a:effectLst>
            <a:softEdge rad="31750"/>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800">
                <a:solidFill>
                  <a:schemeClr val="bg1">
                    <a:lumMod val="50000"/>
                  </a:schemeClr>
                </a:solidFill>
                <a:latin typeface="Segoe UI Black" panose="020B0A02040204020203" pitchFamily="34" charset="0"/>
                <a:ea typeface="Segoe UI Black" panose="020B0A02040204020203" pitchFamily="34" charset="0"/>
              </a:rPr>
              <a:t>Avg.</a:t>
            </a:r>
            <a:r>
              <a:rPr lang="en-US" sz="2800" baseline="0">
                <a:solidFill>
                  <a:schemeClr val="bg1">
                    <a:lumMod val="50000"/>
                  </a:schemeClr>
                </a:solidFill>
                <a:latin typeface="Segoe UI Black" panose="020B0A02040204020203" pitchFamily="34" charset="0"/>
                <a:ea typeface="Segoe UI Black" panose="020B0A02040204020203" pitchFamily="34" charset="0"/>
              </a:rPr>
              <a:t> Response Rate</a:t>
            </a:r>
            <a:endParaRPr lang="en-US" sz="2800">
              <a:solidFill>
                <a:schemeClr val="bg1">
                  <a:lumMod val="50000"/>
                </a:schemeClr>
              </a:solidFill>
              <a:latin typeface="Segoe UI Black" panose="020B0A02040204020203" pitchFamily="34" charset="0"/>
              <a:ea typeface="Segoe UI Black" panose="020B0A02040204020203" pitchFamily="34" charset="0"/>
            </a:endParaRPr>
          </a:p>
        </xdr:txBody>
      </xdr:sp>
      <xdr:sp macro="" textlink="'Pivot tables'!F15">
        <xdr:nvSpPr>
          <xdr:cNvPr id="25" name="TextBox 24">
            <a:extLst>
              <a:ext uri="{FF2B5EF4-FFF2-40B4-BE49-F238E27FC236}">
                <a16:creationId xmlns:a16="http://schemas.microsoft.com/office/drawing/2014/main" id="{D108D803-CE6B-4FC9-8BBF-F76639023C66}"/>
              </a:ext>
            </a:extLst>
          </xdr:cNvPr>
          <xdr:cNvSpPr txBox="1"/>
        </xdr:nvSpPr>
        <xdr:spPr>
          <a:xfrm>
            <a:off x="9641413" y="1622614"/>
            <a:ext cx="726142" cy="628114"/>
          </a:xfrm>
          <a:prstGeom prst="rect">
            <a:avLst/>
          </a:prstGeom>
          <a:noFill/>
          <a:ln w="9525" cmpd="sng">
            <a:noFill/>
          </a:ln>
          <a:effectLst>
            <a:softEdge rad="31750"/>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5FAA522F-E1B4-4C25-AF17-7B831E401E52}" type="TxLink">
              <a:rPr lang="en-US" sz="2800" b="0" i="0" u="none" strike="noStrike">
                <a:solidFill>
                  <a:schemeClr val="bg1">
                    <a:lumMod val="50000"/>
                  </a:schemeClr>
                </a:solidFill>
                <a:latin typeface="Segoe UI Black" panose="020B0A02040204020203" pitchFamily="34" charset="0"/>
                <a:ea typeface="Segoe UI Black" panose="020B0A02040204020203" pitchFamily="34" charset="0"/>
                <a:cs typeface="Calibri"/>
              </a:rPr>
              <a:pPr marL="0" indent="0"/>
              <a:t>85%</a:t>
            </a:fld>
            <a:endParaRPr lang="en-US" sz="2800" b="0" i="0" u="none" strike="noStrike">
              <a:solidFill>
                <a:schemeClr val="bg1">
                  <a:lumMod val="50000"/>
                </a:schemeClr>
              </a:solidFill>
              <a:latin typeface="Segoe UI Black" panose="020B0A02040204020203" pitchFamily="34" charset="0"/>
              <a:ea typeface="Segoe UI Black" panose="020B0A02040204020203" pitchFamily="34" charset="0"/>
              <a:cs typeface="Calibri"/>
            </a:endParaRPr>
          </a:p>
        </xdr:txBody>
      </xdr:sp>
      <xdr:sp macro="" textlink="'Pivot tables'!B15">
        <xdr:nvSpPr>
          <xdr:cNvPr id="26" name="TextBox 25">
            <a:extLst>
              <a:ext uri="{FF2B5EF4-FFF2-40B4-BE49-F238E27FC236}">
                <a16:creationId xmlns:a16="http://schemas.microsoft.com/office/drawing/2014/main" id="{4797A7F2-8540-45B2-B6B9-1D370056F287}"/>
              </a:ext>
            </a:extLst>
          </xdr:cNvPr>
          <xdr:cNvSpPr txBox="1"/>
        </xdr:nvSpPr>
        <xdr:spPr>
          <a:xfrm>
            <a:off x="11232778" y="1156449"/>
            <a:ext cx="1389529" cy="484094"/>
          </a:xfrm>
          <a:prstGeom prst="rect">
            <a:avLst/>
          </a:prstGeom>
          <a:noFill/>
          <a:ln w="9525" cmpd="sng">
            <a:noFill/>
          </a:ln>
          <a:effectLst>
            <a:softEdge rad="31750"/>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800">
                <a:solidFill>
                  <a:schemeClr val="bg1">
                    <a:lumMod val="50000"/>
                  </a:schemeClr>
                </a:solidFill>
                <a:latin typeface="Segoe UI Black" panose="020B0A02040204020203" pitchFamily="34" charset="0"/>
                <a:ea typeface="Segoe UI Black" panose="020B0A02040204020203" pitchFamily="34" charset="0"/>
              </a:rPr>
              <a:t>Total likes</a:t>
            </a:r>
          </a:p>
        </xdr:txBody>
      </xdr:sp>
      <xdr:sp macro="" textlink="'Pivot tables'!D15">
        <xdr:nvSpPr>
          <xdr:cNvPr id="27" name="TextBox 26">
            <a:extLst>
              <a:ext uri="{FF2B5EF4-FFF2-40B4-BE49-F238E27FC236}">
                <a16:creationId xmlns:a16="http://schemas.microsoft.com/office/drawing/2014/main" id="{BD13D51D-356A-4643-9A42-9419EBDEA432}"/>
              </a:ext>
            </a:extLst>
          </xdr:cNvPr>
          <xdr:cNvSpPr txBox="1"/>
        </xdr:nvSpPr>
        <xdr:spPr>
          <a:xfrm>
            <a:off x="11438969" y="1613649"/>
            <a:ext cx="1075760" cy="604847"/>
          </a:xfrm>
          <a:prstGeom prst="rect">
            <a:avLst/>
          </a:prstGeom>
          <a:noFill/>
          <a:ln w="9525" cmpd="sng">
            <a:noFill/>
          </a:ln>
          <a:effectLst>
            <a:softEdge rad="31750"/>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646CBBC1-45F0-48F6-B4C2-A55F42F11373}" type="TxLink">
              <a:rPr lang="en-US" sz="2800" b="0" i="0" u="none" strike="noStrike">
                <a:solidFill>
                  <a:schemeClr val="bg1">
                    <a:lumMod val="50000"/>
                  </a:schemeClr>
                </a:solidFill>
                <a:latin typeface="Segoe UI Black" panose="020B0A02040204020203" pitchFamily="34" charset="0"/>
                <a:ea typeface="Segoe UI Black" panose="020B0A02040204020203" pitchFamily="34" charset="0"/>
                <a:cs typeface="Calibri"/>
              </a:rPr>
              <a:pPr marL="0" indent="0"/>
              <a:t> 216,038 </a:t>
            </a:fld>
            <a:endParaRPr lang="en-US" sz="2800" b="0" i="0" u="none" strike="noStrike">
              <a:solidFill>
                <a:schemeClr val="bg1">
                  <a:lumMod val="50000"/>
                </a:schemeClr>
              </a:solidFill>
              <a:latin typeface="Segoe UI Black" panose="020B0A02040204020203" pitchFamily="34" charset="0"/>
              <a:ea typeface="Segoe UI Black" panose="020B0A02040204020203" pitchFamily="34" charset="0"/>
              <a:cs typeface="Calibri"/>
            </a:endParaRPr>
          </a:p>
        </xdr:txBody>
      </xdr:sp>
    </xdr:grpSp>
    <xdr:clientData/>
  </xdr:twoCellAnchor>
  <xdr:twoCellAnchor>
    <xdr:from>
      <xdr:col>14</xdr:col>
      <xdr:colOff>224921</xdr:colOff>
      <xdr:row>0</xdr:row>
      <xdr:rowOff>10478</xdr:rowOff>
    </xdr:from>
    <xdr:to>
      <xdr:col>26</xdr:col>
      <xdr:colOff>99414</xdr:colOff>
      <xdr:row>4</xdr:row>
      <xdr:rowOff>172659</xdr:rowOff>
    </xdr:to>
    <xdr:sp macro="" textlink="'Pivot tables'!B15">
      <xdr:nvSpPr>
        <xdr:cNvPr id="32" name="TextBox 31">
          <a:extLst>
            <a:ext uri="{FF2B5EF4-FFF2-40B4-BE49-F238E27FC236}">
              <a16:creationId xmlns:a16="http://schemas.microsoft.com/office/drawing/2014/main" id="{A20B7F1C-4AB5-49A5-A31D-543936CE33CC}"/>
            </a:ext>
          </a:extLst>
        </xdr:cNvPr>
        <xdr:cNvSpPr txBox="1"/>
      </xdr:nvSpPr>
      <xdr:spPr>
        <a:xfrm>
          <a:off x="8759321" y="10478"/>
          <a:ext cx="7189693" cy="924181"/>
        </a:xfrm>
        <a:prstGeom prst="rect">
          <a:avLst/>
        </a:prstGeom>
        <a:noFill/>
        <a:ln w="9525" cmpd="sng">
          <a:noFill/>
        </a:ln>
        <a:effectLst>
          <a:softEdge rad="31750"/>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4000" baseline="0">
              <a:solidFill>
                <a:schemeClr val="bg1">
                  <a:lumMod val="50000"/>
                </a:schemeClr>
              </a:solidFill>
              <a:latin typeface="Segoe UI Black" panose="020B0A02040204020203" pitchFamily="34" charset="0"/>
              <a:ea typeface="Segoe UI Black" panose="020B0A02040204020203" pitchFamily="34" charset="0"/>
            </a:rPr>
            <a:t> </a:t>
          </a:r>
          <a:r>
            <a:rPr lang="en-US" sz="4000">
              <a:solidFill>
                <a:schemeClr val="bg1">
                  <a:lumMod val="50000"/>
                </a:schemeClr>
              </a:solidFill>
              <a:latin typeface="Segoe UI Black" panose="020B0A02040204020203" pitchFamily="34" charset="0"/>
              <a:ea typeface="Segoe UI Black" panose="020B0A02040204020203" pitchFamily="34" charset="0"/>
            </a:rPr>
            <a:t>Performance</a:t>
          </a:r>
          <a:r>
            <a:rPr lang="en-US" sz="4000" baseline="0">
              <a:solidFill>
                <a:schemeClr val="bg1">
                  <a:lumMod val="50000"/>
                </a:schemeClr>
              </a:solidFill>
              <a:latin typeface="Segoe UI Black" panose="020B0A02040204020203" pitchFamily="34" charset="0"/>
              <a:ea typeface="Segoe UI Black" panose="020B0A02040204020203" pitchFamily="34" charset="0"/>
            </a:rPr>
            <a:t> indicator</a:t>
          </a:r>
          <a:endParaRPr lang="en-US" sz="4000">
            <a:solidFill>
              <a:schemeClr val="bg1">
                <a:lumMod val="50000"/>
              </a:schemeClr>
            </a:solidFill>
            <a:latin typeface="Segoe UI Black" panose="020B0A02040204020203" pitchFamily="34" charset="0"/>
            <a:ea typeface="Segoe UI Black" panose="020B0A02040204020203" pitchFamily="34" charset="0"/>
          </a:endParaRPr>
        </a:p>
      </xdr:txBody>
    </xdr:sp>
    <xdr:clientData/>
  </xdr:twoCellAnchor>
  <xdr:twoCellAnchor>
    <xdr:from>
      <xdr:col>17</xdr:col>
      <xdr:colOff>223901</xdr:colOff>
      <xdr:row>5</xdr:row>
      <xdr:rowOff>14829</xdr:rowOff>
    </xdr:from>
    <xdr:to>
      <xdr:col>23</xdr:col>
      <xdr:colOff>306533</xdr:colOff>
      <xdr:row>10</xdr:row>
      <xdr:rowOff>152400</xdr:rowOff>
    </xdr:to>
    <xdr:grpSp>
      <xdr:nvGrpSpPr>
        <xdr:cNvPr id="54" name="Group 53">
          <a:extLst>
            <a:ext uri="{FF2B5EF4-FFF2-40B4-BE49-F238E27FC236}">
              <a16:creationId xmlns:a16="http://schemas.microsoft.com/office/drawing/2014/main" id="{7D3152FC-E48B-4970-81BD-4C2D05FE4AD4}"/>
            </a:ext>
          </a:extLst>
        </xdr:cNvPr>
        <xdr:cNvGrpSpPr/>
      </xdr:nvGrpSpPr>
      <xdr:grpSpPr>
        <a:xfrm>
          <a:off x="10587101" y="929229"/>
          <a:ext cx="3740232" cy="1051971"/>
          <a:chOff x="8811986" y="783756"/>
          <a:chExt cx="3740232" cy="986906"/>
        </a:xfrm>
        <a:noFill/>
      </xdr:grpSpPr>
      <xdr:sp macro="" textlink="">
        <xdr:nvSpPr>
          <xdr:cNvPr id="39" name="Rectangle: Rounded Corners 38">
            <a:extLst>
              <a:ext uri="{FF2B5EF4-FFF2-40B4-BE49-F238E27FC236}">
                <a16:creationId xmlns:a16="http://schemas.microsoft.com/office/drawing/2014/main" id="{78C552A2-0A02-47CA-A809-F78B152D4D02}"/>
              </a:ext>
            </a:extLst>
          </xdr:cNvPr>
          <xdr:cNvSpPr/>
        </xdr:nvSpPr>
        <xdr:spPr>
          <a:xfrm>
            <a:off x="8811986" y="783756"/>
            <a:ext cx="3740232" cy="986906"/>
          </a:xfrm>
          <a:prstGeom prst="roundRect">
            <a:avLst>
              <a:gd name="adj" fmla="val 25955"/>
            </a:avLst>
          </a:prstGeom>
          <a:grpFill/>
          <a:ln w="28575">
            <a:solidFill>
              <a:srgbClr val="FDDFF7"/>
            </a:solidFill>
            <a:extLst>
              <a:ext uri="{C807C97D-BFC1-408E-A445-0C87EB9F89A2}">
                <ask:lineSketchStyleProps xmlns:ask="http://schemas.microsoft.com/office/drawing/2018/sketchyshapes" sd="852854689">
                  <a:custGeom>
                    <a:avLst/>
                    <a:gdLst>
                      <a:gd name="connsiteX0" fmla="*/ 0 w 13807440"/>
                      <a:gd name="connsiteY0" fmla="*/ 335287 h 2011680"/>
                      <a:gd name="connsiteX1" fmla="*/ 335287 w 13807440"/>
                      <a:gd name="connsiteY1" fmla="*/ 0 h 2011680"/>
                      <a:gd name="connsiteX2" fmla="*/ 13472153 w 13807440"/>
                      <a:gd name="connsiteY2" fmla="*/ 0 h 2011680"/>
                      <a:gd name="connsiteX3" fmla="*/ 13807440 w 13807440"/>
                      <a:gd name="connsiteY3" fmla="*/ 335287 h 2011680"/>
                      <a:gd name="connsiteX4" fmla="*/ 13807440 w 13807440"/>
                      <a:gd name="connsiteY4" fmla="*/ 1676393 h 2011680"/>
                      <a:gd name="connsiteX5" fmla="*/ 13472153 w 13807440"/>
                      <a:gd name="connsiteY5" fmla="*/ 2011680 h 2011680"/>
                      <a:gd name="connsiteX6" fmla="*/ 335287 w 13807440"/>
                      <a:gd name="connsiteY6" fmla="*/ 2011680 h 2011680"/>
                      <a:gd name="connsiteX7" fmla="*/ 0 w 13807440"/>
                      <a:gd name="connsiteY7" fmla="*/ 1676393 h 2011680"/>
                      <a:gd name="connsiteX8" fmla="*/ 0 w 13807440"/>
                      <a:gd name="connsiteY8" fmla="*/ 335287 h 201168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13807440" h="2011680" fill="none" extrusionOk="0">
                        <a:moveTo>
                          <a:pt x="0" y="335287"/>
                        </a:moveTo>
                        <a:cubicBezTo>
                          <a:pt x="1282" y="184811"/>
                          <a:pt x="153979" y="6489"/>
                          <a:pt x="335287" y="0"/>
                        </a:cubicBezTo>
                        <a:cubicBezTo>
                          <a:pt x="4241728" y="72427"/>
                          <a:pt x="8479298" y="61419"/>
                          <a:pt x="13472153" y="0"/>
                        </a:cubicBezTo>
                        <a:cubicBezTo>
                          <a:pt x="13656110" y="-8376"/>
                          <a:pt x="13776949" y="140890"/>
                          <a:pt x="13807440" y="335287"/>
                        </a:cubicBezTo>
                        <a:cubicBezTo>
                          <a:pt x="13865818" y="938334"/>
                          <a:pt x="13854187" y="1173546"/>
                          <a:pt x="13807440" y="1676393"/>
                        </a:cubicBezTo>
                        <a:cubicBezTo>
                          <a:pt x="13811608" y="1840411"/>
                          <a:pt x="13652161" y="2005889"/>
                          <a:pt x="13472153" y="2011680"/>
                        </a:cubicBezTo>
                        <a:cubicBezTo>
                          <a:pt x="10430650" y="2041507"/>
                          <a:pt x="2890455" y="1932374"/>
                          <a:pt x="335287" y="2011680"/>
                        </a:cubicBezTo>
                        <a:cubicBezTo>
                          <a:pt x="182787" y="2007986"/>
                          <a:pt x="-15008" y="1864535"/>
                          <a:pt x="0" y="1676393"/>
                        </a:cubicBezTo>
                        <a:cubicBezTo>
                          <a:pt x="-8642" y="1420970"/>
                          <a:pt x="-119608" y="980697"/>
                          <a:pt x="0" y="335287"/>
                        </a:cubicBezTo>
                        <a:close/>
                      </a:path>
                      <a:path w="13807440" h="2011680" stroke="0" extrusionOk="0">
                        <a:moveTo>
                          <a:pt x="0" y="335287"/>
                        </a:moveTo>
                        <a:cubicBezTo>
                          <a:pt x="33315" y="159194"/>
                          <a:pt x="163186" y="27238"/>
                          <a:pt x="335287" y="0"/>
                        </a:cubicBezTo>
                        <a:cubicBezTo>
                          <a:pt x="5852204" y="123000"/>
                          <a:pt x="7605169" y="-96860"/>
                          <a:pt x="13472153" y="0"/>
                        </a:cubicBezTo>
                        <a:cubicBezTo>
                          <a:pt x="13654227" y="-2363"/>
                          <a:pt x="13813986" y="136916"/>
                          <a:pt x="13807440" y="335287"/>
                        </a:cubicBezTo>
                        <a:cubicBezTo>
                          <a:pt x="13780740" y="808081"/>
                          <a:pt x="13825862" y="1007467"/>
                          <a:pt x="13807440" y="1676393"/>
                        </a:cubicBezTo>
                        <a:cubicBezTo>
                          <a:pt x="13776960" y="1872609"/>
                          <a:pt x="13637630" y="2008456"/>
                          <a:pt x="13472153" y="2011680"/>
                        </a:cubicBezTo>
                        <a:cubicBezTo>
                          <a:pt x="11355976" y="1850973"/>
                          <a:pt x="5898917" y="2051347"/>
                          <a:pt x="335287" y="2011680"/>
                        </a:cubicBezTo>
                        <a:cubicBezTo>
                          <a:pt x="116807" y="2004953"/>
                          <a:pt x="-26172" y="1849710"/>
                          <a:pt x="0" y="1676393"/>
                        </a:cubicBezTo>
                        <a:cubicBezTo>
                          <a:pt x="-102437" y="1279469"/>
                          <a:pt x="-39934" y="748300"/>
                          <a:pt x="0" y="335287"/>
                        </a:cubicBezTo>
                        <a:close/>
                      </a:path>
                    </a:pathLst>
                  </a:custGeom>
                  <ask:type>
                    <ask:lineSketchNone/>
                  </ask:type>
                </ask:lineSketchStyleProps>
              </a:ext>
            </a:extLst>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nvGrpSpPr>
          <xdr:cNvPr id="38" name="Group 37">
            <a:extLst>
              <a:ext uri="{FF2B5EF4-FFF2-40B4-BE49-F238E27FC236}">
                <a16:creationId xmlns:a16="http://schemas.microsoft.com/office/drawing/2014/main" id="{F020BF4A-89FB-4771-9772-3E0D641CF7CA}"/>
              </a:ext>
            </a:extLst>
          </xdr:cNvPr>
          <xdr:cNvGrpSpPr/>
        </xdr:nvGrpSpPr>
        <xdr:grpSpPr>
          <a:xfrm>
            <a:off x="8909796" y="813588"/>
            <a:ext cx="3549018" cy="929611"/>
            <a:chOff x="6033246" y="873499"/>
            <a:chExt cx="3549018" cy="941238"/>
          </a:xfrm>
          <a:grpFill/>
        </xdr:grpSpPr>
        <mc:AlternateContent xmlns:mc="http://schemas.openxmlformats.org/markup-compatibility/2006">
          <mc:Choice xmlns:a14="http://schemas.microsoft.com/office/drawing/2010/main" Requires="a14">
            <xdr:graphicFrame macro="">
              <xdr:nvGraphicFramePr>
                <xdr:cNvPr id="33" name="Week 1">
                  <a:extLst>
                    <a:ext uri="{FF2B5EF4-FFF2-40B4-BE49-F238E27FC236}">
                      <a16:creationId xmlns:a16="http://schemas.microsoft.com/office/drawing/2014/main" id="{A1A63316-4349-40E6-8275-FF851E383103}"/>
                    </a:ext>
                  </a:extLst>
                </xdr:cNvPr>
                <xdr:cNvGraphicFramePr/>
              </xdr:nvGraphicFramePr>
              <xdr:xfrm>
                <a:off x="6033246" y="1258856"/>
                <a:ext cx="3549018" cy="555881"/>
              </xdr:xfrm>
              <a:graphic>
                <a:graphicData uri="http://schemas.microsoft.com/office/drawing/2010/slicer">
                  <sle:slicer xmlns:sle="http://schemas.microsoft.com/office/drawing/2010/slicer" name="Week 1"/>
                </a:graphicData>
              </a:graphic>
            </xdr:graphicFrame>
          </mc:Choice>
          <mc:Fallback>
            <xdr:sp macro="" textlink="">
              <xdr:nvSpPr>
                <xdr:cNvPr id="0" name=""/>
                <xdr:cNvSpPr>
                  <a:spLocks noTextEdit="1"/>
                </xdr:cNvSpPr>
              </xdr:nvSpPr>
              <xdr:spPr>
                <a:xfrm>
                  <a:off x="10684911" y="1366717"/>
                  <a:ext cx="3549018" cy="58521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sp macro="" textlink="'Pivot tables'!B15">
          <xdr:nvSpPr>
            <xdr:cNvPr id="35" name="TextBox 34">
              <a:extLst>
                <a:ext uri="{FF2B5EF4-FFF2-40B4-BE49-F238E27FC236}">
                  <a16:creationId xmlns:a16="http://schemas.microsoft.com/office/drawing/2014/main" id="{B9152E74-FCD9-4A95-87B5-0663144EF754}"/>
                </a:ext>
              </a:extLst>
            </xdr:cNvPr>
            <xdr:cNvSpPr txBox="1"/>
          </xdr:nvSpPr>
          <xdr:spPr>
            <a:xfrm>
              <a:off x="6539141" y="873499"/>
              <a:ext cx="2510117" cy="408239"/>
            </a:xfrm>
            <a:prstGeom prst="rect">
              <a:avLst/>
            </a:prstGeom>
            <a:grpFill/>
            <a:ln w="9525" cmpd="sng">
              <a:noFill/>
            </a:ln>
            <a:effectLst>
              <a:softEdge rad="31750"/>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400">
                  <a:solidFill>
                    <a:schemeClr val="bg1">
                      <a:lumMod val="50000"/>
                    </a:schemeClr>
                  </a:solidFill>
                  <a:latin typeface="Segoe UI Black" panose="020B0A02040204020203" pitchFamily="34" charset="0"/>
                  <a:ea typeface="Segoe UI Black" panose="020B0A02040204020203" pitchFamily="34" charset="0"/>
                </a:rPr>
                <a:t>Weekly</a:t>
              </a:r>
            </a:p>
          </xdr:txBody>
        </xdr:sp>
      </xdr:grpSp>
    </xdr:grpSp>
    <xdr:clientData/>
  </xdr:twoCellAnchor>
  <xdr:twoCellAnchor>
    <xdr:from>
      <xdr:col>5</xdr:col>
      <xdr:colOff>181495</xdr:colOff>
      <xdr:row>23</xdr:row>
      <xdr:rowOff>94209</xdr:rowOff>
    </xdr:from>
    <xdr:to>
      <xdr:col>6</xdr:col>
      <xdr:colOff>354676</xdr:colOff>
      <xdr:row>29</xdr:row>
      <xdr:rowOff>80352</xdr:rowOff>
    </xdr:to>
    <xdr:grpSp>
      <xdr:nvGrpSpPr>
        <xdr:cNvPr id="44" name="Group 43">
          <a:extLst>
            <a:ext uri="{FF2B5EF4-FFF2-40B4-BE49-F238E27FC236}">
              <a16:creationId xmlns:a16="http://schemas.microsoft.com/office/drawing/2014/main" id="{424ADCD2-67C3-450B-AA23-01974595BA66}"/>
            </a:ext>
          </a:extLst>
        </xdr:cNvPr>
        <xdr:cNvGrpSpPr/>
      </xdr:nvGrpSpPr>
      <xdr:grpSpPr>
        <a:xfrm>
          <a:off x="3229495" y="4300449"/>
          <a:ext cx="782781" cy="1083423"/>
          <a:chOff x="8351189" y="1505180"/>
          <a:chExt cx="504000" cy="671861"/>
        </a:xfrm>
      </xdr:grpSpPr>
      <xdr:grpSp>
        <xdr:nvGrpSpPr>
          <xdr:cNvPr id="45" name="Group 44">
            <a:extLst>
              <a:ext uri="{FF2B5EF4-FFF2-40B4-BE49-F238E27FC236}">
                <a16:creationId xmlns:a16="http://schemas.microsoft.com/office/drawing/2014/main" id="{1DC4D29C-0910-46A0-9B0F-653E4DD845A6}"/>
              </a:ext>
            </a:extLst>
          </xdr:cNvPr>
          <xdr:cNvGrpSpPr/>
        </xdr:nvGrpSpPr>
        <xdr:grpSpPr>
          <a:xfrm>
            <a:off x="8351189" y="1505180"/>
            <a:ext cx="504000" cy="500516"/>
            <a:chOff x="7231380" y="791278"/>
            <a:chExt cx="576000" cy="586527"/>
          </a:xfrm>
        </xdr:grpSpPr>
        <xdr:sp macro="" textlink="">
          <xdr:nvSpPr>
            <xdr:cNvPr id="47" name="Rectangle: Rounded Corners 46">
              <a:extLst>
                <a:ext uri="{FF2B5EF4-FFF2-40B4-BE49-F238E27FC236}">
                  <a16:creationId xmlns:a16="http://schemas.microsoft.com/office/drawing/2014/main" id="{A8EF5236-E1AB-4AEC-95F0-B4CDD6802D31}"/>
                </a:ext>
              </a:extLst>
            </xdr:cNvPr>
            <xdr:cNvSpPr/>
          </xdr:nvSpPr>
          <xdr:spPr>
            <a:xfrm>
              <a:off x="7231380" y="791278"/>
              <a:ext cx="576000" cy="586527"/>
            </a:xfrm>
            <a:prstGeom prst="roundRect">
              <a:avLst/>
            </a:prstGeom>
            <a:noFill/>
            <a:ln w="28575">
              <a:solidFill>
                <a:srgbClr val="475993"/>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pic>
          <xdr:nvPicPr>
            <xdr:cNvPr id="48" name="Picture 47">
              <a:extLst>
                <a:ext uri="{FF2B5EF4-FFF2-40B4-BE49-F238E27FC236}">
                  <a16:creationId xmlns:a16="http://schemas.microsoft.com/office/drawing/2014/main" id="{706DA444-B3FE-408E-9A8C-7B5DA7B32C8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7274223" y="836357"/>
              <a:ext cx="499023" cy="496367"/>
            </a:xfrm>
            <a:prstGeom prst="rect">
              <a:avLst/>
            </a:prstGeom>
          </xdr:spPr>
        </xdr:pic>
      </xdr:grpSp>
      <xdr:pic>
        <xdr:nvPicPr>
          <xdr:cNvPr id="46" name="Graphic 45">
            <a:extLst>
              <a:ext uri="{FF2B5EF4-FFF2-40B4-BE49-F238E27FC236}">
                <a16:creationId xmlns:a16="http://schemas.microsoft.com/office/drawing/2014/main" id="{098AAD19-39B2-4F26-9E26-42855E0F7AC8}"/>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rot="16200000">
            <a:off x="8541524" y="1877810"/>
            <a:ext cx="130463" cy="468000"/>
          </a:xfrm>
          <a:prstGeom prst="rect">
            <a:avLst/>
          </a:prstGeom>
        </xdr:spPr>
      </xdr:pic>
    </xdr:grpSp>
    <xdr:clientData/>
  </xdr:twoCellAnchor>
  <xdr:twoCellAnchor>
    <xdr:from>
      <xdr:col>33</xdr:col>
      <xdr:colOff>255147</xdr:colOff>
      <xdr:row>23</xdr:row>
      <xdr:rowOff>32657</xdr:rowOff>
    </xdr:from>
    <xdr:to>
      <xdr:col>34</xdr:col>
      <xdr:colOff>380641</xdr:colOff>
      <xdr:row>28</xdr:row>
      <xdr:rowOff>84854</xdr:rowOff>
    </xdr:to>
    <xdr:grpSp>
      <xdr:nvGrpSpPr>
        <xdr:cNvPr id="55" name="Group 54">
          <a:extLst>
            <a:ext uri="{FF2B5EF4-FFF2-40B4-BE49-F238E27FC236}">
              <a16:creationId xmlns:a16="http://schemas.microsoft.com/office/drawing/2014/main" id="{620A897D-1D9A-476B-B944-BA8B37D74E6B}"/>
            </a:ext>
          </a:extLst>
        </xdr:cNvPr>
        <xdr:cNvGrpSpPr/>
      </xdr:nvGrpSpPr>
      <xdr:grpSpPr>
        <a:xfrm>
          <a:off x="20371947" y="4238897"/>
          <a:ext cx="735094" cy="966597"/>
          <a:chOff x="7483171" y="702283"/>
          <a:chExt cx="504000" cy="655376"/>
        </a:xfrm>
      </xdr:grpSpPr>
      <xdr:grpSp>
        <xdr:nvGrpSpPr>
          <xdr:cNvPr id="56" name="Group 55">
            <a:extLst>
              <a:ext uri="{FF2B5EF4-FFF2-40B4-BE49-F238E27FC236}">
                <a16:creationId xmlns:a16="http://schemas.microsoft.com/office/drawing/2014/main" id="{829639D9-A537-4C0A-9831-0091FCFBE33E}"/>
              </a:ext>
            </a:extLst>
          </xdr:cNvPr>
          <xdr:cNvGrpSpPr/>
        </xdr:nvGrpSpPr>
        <xdr:grpSpPr>
          <a:xfrm>
            <a:off x="7483171" y="702283"/>
            <a:ext cx="504000" cy="500515"/>
            <a:chOff x="7231380" y="791277"/>
            <a:chExt cx="576000" cy="586527"/>
          </a:xfrm>
        </xdr:grpSpPr>
        <xdr:sp macro="" textlink="">
          <xdr:nvSpPr>
            <xdr:cNvPr id="58" name="Rectangle: Rounded Corners 57">
              <a:extLst>
                <a:ext uri="{FF2B5EF4-FFF2-40B4-BE49-F238E27FC236}">
                  <a16:creationId xmlns:a16="http://schemas.microsoft.com/office/drawing/2014/main" id="{C17366C0-DFC2-42D3-9DDD-71D66CD4CD57}"/>
                </a:ext>
              </a:extLst>
            </xdr:cNvPr>
            <xdr:cNvSpPr/>
          </xdr:nvSpPr>
          <xdr:spPr>
            <a:xfrm>
              <a:off x="7231380" y="791277"/>
              <a:ext cx="576000" cy="586527"/>
            </a:xfrm>
            <a:prstGeom prst="roundRect">
              <a:avLst/>
            </a:prstGeom>
            <a:noFill/>
            <a:ln w="285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pic>
          <xdr:nvPicPr>
            <xdr:cNvPr id="59" name="Picture 58">
              <a:extLst>
                <a:ext uri="{FF2B5EF4-FFF2-40B4-BE49-F238E27FC236}">
                  <a16:creationId xmlns:a16="http://schemas.microsoft.com/office/drawing/2014/main" id="{D70F5393-BD18-4324-A1CD-1CC3AD446AFC}"/>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xdr:blipFill>
          <xdr:spPr>
            <a:xfrm>
              <a:off x="7274223" y="832540"/>
              <a:ext cx="499023" cy="504000"/>
            </a:xfrm>
            <a:prstGeom prst="rect">
              <a:avLst/>
            </a:prstGeom>
          </xdr:spPr>
        </xdr:pic>
      </xdr:grpSp>
      <xdr:pic>
        <xdr:nvPicPr>
          <xdr:cNvPr id="57" name="Graphic 56">
            <a:extLst>
              <a:ext uri="{FF2B5EF4-FFF2-40B4-BE49-F238E27FC236}">
                <a16:creationId xmlns:a16="http://schemas.microsoft.com/office/drawing/2014/main" id="{1F75292F-D892-4F09-807B-5C38F908BD1B}"/>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rot="16200000">
            <a:off x="7664293" y="1058427"/>
            <a:ext cx="130464" cy="468000"/>
          </a:xfrm>
          <a:prstGeom prst="rect">
            <a:avLst/>
          </a:prstGeom>
        </xdr:spPr>
      </xdr:pic>
    </xdr:grpSp>
    <xdr:clientData/>
  </xdr:twoCellAnchor>
  <xdr:twoCellAnchor>
    <xdr:from>
      <xdr:col>24</xdr:col>
      <xdr:colOff>8293</xdr:colOff>
      <xdr:row>23</xdr:row>
      <xdr:rowOff>66785</xdr:rowOff>
    </xdr:from>
    <xdr:to>
      <xdr:col>25</xdr:col>
      <xdr:colOff>133787</xdr:colOff>
      <xdr:row>28</xdr:row>
      <xdr:rowOff>117027</xdr:rowOff>
    </xdr:to>
    <xdr:grpSp>
      <xdr:nvGrpSpPr>
        <xdr:cNvPr id="60" name="Group 59">
          <a:extLst>
            <a:ext uri="{FF2B5EF4-FFF2-40B4-BE49-F238E27FC236}">
              <a16:creationId xmlns:a16="http://schemas.microsoft.com/office/drawing/2014/main" id="{25BB4179-CC9A-4778-9665-5B60B2F30B3E}"/>
            </a:ext>
          </a:extLst>
        </xdr:cNvPr>
        <xdr:cNvGrpSpPr/>
      </xdr:nvGrpSpPr>
      <xdr:grpSpPr>
        <a:xfrm>
          <a:off x="14638693" y="4273025"/>
          <a:ext cx="735094" cy="964642"/>
          <a:chOff x="8351189" y="702283"/>
          <a:chExt cx="504000" cy="655376"/>
        </a:xfrm>
      </xdr:grpSpPr>
      <xdr:grpSp>
        <xdr:nvGrpSpPr>
          <xdr:cNvPr id="61" name="Group 60">
            <a:extLst>
              <a:ext uri="{FF2B5EF4-FFF2-40B4-BE49-F238E27FC236}">
                <a16:creationId xmlns:a16="http://schemas.microsoft.com/office/drawing/2014/main" id="{65781E73-5C1D-429D-9B82-8E413DAA441B}"/>
              </a:ext>
            </a:extLst>
          </xdr:cNvPr>
          <xdr:cNvGrpSpPr/>
        </xdr:nvGrpSpPr>
        <xdr:grpSpPr>
          <a:xfrm>
            <a:off x="8351189" y="702283"/>
            <a:ext cx="504000" cy="500515"/>
            <a:chOff x="7231380" y="791277"/>
            <a:chExt cx="576000" cy="586527"/>
          </a:xfrm>
        </xdr:grpSpPr>
        <xdr:sp macro="" textlink="">
          <xdr:nvSpPr>
            <xdr:cNvPr id="63" name="Rectangle: Rounded Corners 62">
              <a:extLst>
                <a:ext uri="{FF2B5EF4-FFF2-40B4-BE49-F238E27FC236}">
                  <a16:creationId xmlns:a16="http://schemas.microsoft.com/office/drawing/2014/main" id="{06D0E731-BEFB-4609-B5DD-6AE9859C8E36}"/>
                </a:ext>
              </a:extLst>
            </xdr:cNvPr>
            <xdr:cNvSpPr/>
          </xdr:nvSpPr>
          <xdr:spPr>
            <a:xfrm>
              <a:off x="7231380" y="791277"/>
              <a:ext cx="576000" cy="586527"/>
            </a:xfrm>
            <a:prstGeom prst="roundRect">
              <a:avLst/>
            </a:prstGeom>
            <a:noFill/>
            <a:ln w="28575">
              <a:solidFill>
                <a:srgbClr val="0070C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pic>
          <xdr:nvPicPr>
            <xdr:cNvPr id="64" name="Picture 63">
              <a:extLst>
                <a:ext uri="{FF2B5EF4-FFF2-40B4-BE49-F238E27FC236}">
                  <a16:creationId xmlns:a16="http://schemas.microsoft.com/office/drawing/2014/main" id="{FF4ECE05-8ECC-4598-8269-C8BBC501779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xdr:blipFill>
          <xdr:spPr>
            <a:xfrm>
              <a:off x="7274223" y="836357"/>
              <a:ext cx="499023" cy="496367"/>
            </a:xfrm>
            <a:prstGeom prst="rect">
              <a:avLst/>
            </a:prstGeom>
          </xdr:spPr>
        </xdr:pic>
      </xdr:grpSp>
      <xdr:pic>
        <xdr:nvPicPr>
          <xdr:cNvPr id="62" name="Graphic 61">
            <a:extLst>
              <a:ext uri="{FF2B5EF4-FFF2-40B4-BE49-F238E27FC236}">
                <a16:creationId xmlns:a16="http://schemas.microsoft.com/office/drawing/2014/main" id="{92CABBA1-796C-4343-9E1C-52707A6443FE}"/>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rot="16200000">
            <a:off x="8541523" y="1058427"/>
            <a:ext cx="130464" cy="468000"/>
          </a:xfrm>
          <a:prstGeom prst="rect">
            <a:avLst/>
          </a:prstGeom>
        </xdr:spPr>
      </xdr:pic>
    </xdr:grpSp>
    <xdr:clientData/>
  </xdr:twoCellAnchor>
  <xdr:twoCellAnchor>
    <xdr:from>
      <xdr:col>14</xdr:col>
      <xdr:colOff>395832</xdr:colOff>
      <xdr:row>23</xdr:row>
      <xdr:rowOff>60795</xdr:rowOff>
    </xdr:from>
    <xdr:to>
      <xdr:col>16</xdr:col>
      <xdr:colOff>22167</xdr:colOff>
      <xdr:row>29</xdr:row>
      <xdr:rowOff>47462</xdr:rowOff>
    </xdr:to>
    <xdr:grpSp>
      <xdr:nvGrpSpPr>
        <xdr:cNvPr id="65" name="Group 64">
          <a:extLst>
            <a:ext uri="{FF2B5EF4-FFF2-40B4-BE49-F238E27FC236}">
              <a16:creationId xmlns:a16="http://schemas.microsoft.com/office/drawing/2014/main" id="{E92D0D90-91A2-41AA-8478-C2C9F7CE9C16}"/>
            </a:ext>
          </a:extLst>
        </xdr:cNvPr>
        <xdr:cNvGrpSpPr/>
      </xdr:nvGrpSpPr>
      <xdr:grpSpPr>
        <a:xfrm>
          <a:off x="8930232" y="4267035"/>
          <a:ext cx="845535" cy="1083947"/>
          <a:chOff x="7483170" y="1505179"/>
          <a:chExt cx="504000" cy="671862"/>
        </a:xfrm>
      </xdr:grpSpPr>
      <xdr:grpSp>
        <xdr:nvGrpSpPr>
          <xdr:cNvPr id="66" name="Group 65">
            <a:extLst>
              <a:ext uri="{FF2B5EF4-FFF2-40B4-BE49-F238E27FC236}">
                <a16:creationId xmlns:a16="http://schemas.microsoft.com/office/drawing/2014/main" id="{D62BE3F9-77FC-484A-B625-AF5D9E49C6A7}"/>
              </a:ext>
            </a:extLst>
          </xdr:cNvPr>
          <xdr:cNvGrpSpPr/>
        </xdr:nvGrpSpPr>
        <xdr:grpSpPr>
          <a:xfrm>
            <a:off x="7483170" y="1505179"/>
            <a:ext cx="504000" cy="500516"/>
            <a:chOff x="7231378" y="791277"/>
            <a:chExt cx="576000" cy="586527"/>
          </a:xfrm>
        </xdr:grpSpPr>
        <xdr:sp macro="" textlink="">
          <xdr:nvSpPr>
            <xdr:cNvPr id="68" name="Rectangle: Rounded Corners 67">
              <a:extLst>
                <a:ext uri="{FF2B5EF4-FFF2-40B4-BE49-F238E27FC236}">
                  <a16:creationId xmlns:a16="http://schemas.microsoft.com/office/drawing/2014/main" id="{A16815C0-A8A2-43D6-88E7-564606D054C2}"/>
                </a:ext>
              </a:extLst>
            </xdr:cNvPr>
            <xdr:cNvSpPr/>
          </xdr:nvSpPr>
          <xdr:spPr>
            <a:xfrm>
              <a:off x="7231378" y="791277"/>
              <a:ext cx="576000" cy="586527"/>
            </a:xfrm>
            <a:prstGeom prst="roundRect">
              <a:avLst/>
            </a:prstGeom>
            <a:noFill/>
            <a:ln w="28575">
              <a:solidFill>
                <a:srgbClr val="FF99CC"/>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pic>
          <xdr:nvPicPr>
            <xdr:cNvPr id="69" name="Picture 68">
              <a:extLst>
                <a:ext uri="{FF2B5EF4-FFF2-40B4-BE49-F238E27FC236}">
                  <a16:creationId xmlns:a16="http://schemas.microsoft.com/office/drawing/2014/main" id="{35E2CC9E-20D1-4844-8E9D-A385884429B8}"/>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rcRect/>
            <a:stretch/>
          </xdr:blipFill>
          <xdr:spPr>
            <a:xfrm>
              <a:off x="7278215" y="832540"/>
              <a:ext cx="491039" cy="504000"/>
            </a:xfrm>
            <a:prstGeom prst="rect">
              <a:avLst/>
            </a:prstGeom>
          </xdr:spPr>
        </xdr:pic>
      </xdr:grpSp>
      <xdr:pic>
        <xdr:nvPicPr>
          <xdr:cNvPr id="67" name="Graphic 66">
            <a:extLst>
              <a:ext uri="{FF2B5EF4-FFF2-40B4-BE49-F238E27FC236}">
                <a16:creationId xmlns:a16="http://schemas.microsoft.com/office/drawing/2014/main" id="{56319A27-0B72-47C9-B834-D8F6582CAE8C}"/>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rot="16200000">
            <a:off x="7664294" y="1877810"/>
            <a:ext cx="130463" cy="468000"/>
          </a:xfrm>
          <a:prstGeom prst="rect">
            <a:avLst/>
          </a:prstGeom>
        </xdr:spPr>
      </xdr:pic>
    </xdr:grpSp>
    <xdr:clientData/>
  </xdr:twoCellAnchor>
  <xdr:twoCellAnchor>
    <xdr:from>
      <xdr:col>4</xdr:col>
      <xdr:colOff>73514</xdr:colOff>
      <xdr:row>30</xdr:row>
      <xdr:rowOff>36176</xdr:rowOff>
    </xdr:from>
    <xdr:to>
      <xdr:col>7</xdr:col>
      <xdr:colOff>548638</xdr:colOff>
      <xdr:row>35</xdr:row>
      <xdr:rowOff>80357</xdr:rowOff>
    </xdr:to>
    <xdr:grpSp>
      <xdr:nvGrpSpPr>
        <xdr:cNvPr id="79" name="Group 78">
          <a:extLst>
            <a:ext uri="{FF2B5EF4-FFF2-40B4-BE49-F238E27FC236}">
              <a16:creationId xmlns:a16="http://schemas.microsoft.com/office/drawing/2014/main" id="{D058184D-4D92-4010-A7E1-7984FB10C0A5}"/>
            </a:ext>
          </a:extLst>
        </xdr:cNvPr>
        <xdr:cNvGrpSpPr/>
      </xdr:nvGrpSpPr>
      <xdr:grpSpPr>
        <a:xfrm>
          <a:off x="2511914" y="5522576"/>
          <a:ext cx="2303924" cy="958581"/>
          <a:chOff x="1963274" y="5400656"/>
          <a:chExt cx="2303924" cy="996681"/>
        </a:xfrm>
      </xdr:grpSpPr>
      <xdr:sp macro="" textlink="'Pivot tables'!H4">
        <xdr:nvSpPr>
          <xdr:cNvPr id="70" name="TextBox 69">
            <a:extLst>
              <a:ext uri="{FF2B5EF4-FFF2-40B4-BE49-F238E27FC236}">
                <a16:creationId xmlns:a16="http://schemas.microsoft.com/office/drawing/2014/main" id="{D7D93868-8C8C-403C-A8C5-955145EB9B37}"/>
              </a:ext>
            </a:extLst>
          </xdr:cNvPr>
          <xdr:cNvSpPr txBox="1"/>
        </xdr:nvSpPr>
        <xdr:spPr>
          <a:xfrm>
            <a:off x="2439594" y="5874959"/>
            <a:ext cx="1328841" cy="522378"/>
          </a:xfrm>
          <a:prstGeom prst="rect">
            <a:avLst/>
          </a:prstGeom>
          <a:noFill/>
          <a:ln w="9525" cmpd="sng">
            <a:noFill/>
          </a:ln>
          <a:effectLst>
            <a:softEdge rad="31750"/>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383D094B-216C-4356-8A4D-4F6918650C9C}" type="TxLink">
              <a:rPr lang="en-US" sz="2400" b="0" i="0" u="none" strike="noStrike">
                <a:solidFill>
                  <a:schemeClr val="bg1">
                    <a:lumMod val="50000"/>
                  </a:schemeClr>
                </a:solidFill>
                <a:latin typeface="Segoe UI Black" panose="020B0A02040204020203" pitchFamily="34" charset="0"/>
                <a:ea typeface="Segoe UI Black" panose="020B0A02040204020203" pitchFamily="34" charset="0"/>
                <a:cs typeface="Calibri"/>
              </a:rPr>
              <a:pPr marL="0" indent="0"/>
              <a:t> 26,292 </a:t>
            </a:fld>
            <a:endParaRPr lang="en-US" sz="2400" b="0" i="0" u="none" strike="noStrike">
              <a:solidFill>
                <a:schemeClr val="bg1">
                  <a:lumMod val="50000"/>
                </a:schemeClr>
              </a:solidFill>
              <a:latin typeface="Segoe UI Black" panose="020B0A02040204020203" pitchFamily="34" charset="0"/>
              <a:ea typeface="Segoe UI Black" panose="020B0A02040204020203" pitchFamily="34" charset="0"/>
              <a:cs typeface="Calibri"/>
            </a:endParaRPr>
          </a:p>
        </xdr:txBody>
      </xdr:sp>
      <xdr:sp macro="" textlink="'Pivot tables'!B15">
        <xdr:nvSpPr>
          <xdr:cNvPr id="71" name="TextBox 70">
            <a:extLst>
              <a:ext uri="{FF2B5EF4-FFF2-40B4-BE49-F238E27FC236}">
                <a16:creationId xmlns:a16="http://schemas.microsoft.com/office/drawing/2014/main" id="{22F2B723-E6B8-46CB-9BFF-3CF85FB1D258}"/>
              </a:ext>
            </a:extLst>
          </xdr:cNvPr>
          <xdr:cNvSpPr txBox="1"/>
        </xdr:nvSpPr>
        <xdr:spPr>
          <a:xfrm>
            <a:off x="1963274" y="5400656"/>
            <a:ext cx="2303924" cy="517252"/>
          </a:xfrm>
          <a:prstGeom prst="rect">
            <a:avLst/>
          </a:prstGeom>
          <a:noFill/>
          <a:ln w="9525" cmpd="sng">
            <a:noFill/>
          </a:ln>
          <a:effectLst>
            <a:softEdge rad="31750"/>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800">
                <a:solidFill>
                  <a:schemeClr val="bg1">
                    <a:lumMod val="50000"/>
                  </a:schemeClr>
                </a:solidFill>
                <a:latin typeface="Segoe UI Black" panose="020B0A02040204020203" pitchFamily="34" charset="0"/>
                <a:ea typeface="Segoe UI Black" panose="020B0A02040204020203" pitchFamily="34" charset="0"/>
              </a:rPr>
              <a:t>Fan</a:t>
            </a:r>
            <a:r>
              <a:rPr lang="en-US" sz="2800" baseline="0">
                <a:solidFill>
                  <a:schemeClr val="bg1">
                    <a:lumMod val="50000"/>
                  </a:schemeClr>
                </a:solidFill>
                <a:latin typeface="Segoe UI Black" panose="020B0A02040204020203" pitchFamily="34" charset="0"/>
                <a:ea typeface="Segoe UI Black" panose="020B0A02040204020203" pitchFamily="34" charset="0"/>
              </a:rPr>
              <a:t> Count</a:t>
            </a:r>
            <a:endParaRPr lang="en-US" sz="2800">
              <a:solidFill>
                <a:schemeClr val="bg1">
                  <a:lumMod val="50000"/>
                </a:schemeClr>
              </a:solidFill>
              <a:latin typeface="Segoe UI Black" panose="020B0A02040204020203" pitchFamily="34" charset="0"/>
              <a:ea typeface="Segoe UI Black" panose="020B0A02040204020203" pitchFamily="34" charset="0"/>
            </a:endParaRPr>
          </a:p>
        </xdr:txBody>
      </xdr:sp>
    </xdr:grpSp>
    <xdr:clientData/>
  </xdr:twoCellAnchor>
  <xdr:twoCellAnchor>
    <xdr:from>
      <xdr:col>14</xdr:col>
      <xdr:colOff>148054</xdr:colOff>
      <xdr:row>32</xdr:row>
      <xdr:rowOff>84913</xdr:rowOff>
    </xdr:from>
    <xdr:to>
      <xdr:col>16</xdr:col>
      <xdr:colOff>299258</xdr:colOff>
      <xdr:row>34</xdr:row>
      <xdr:rowOff>166255</xdr:rowOff>
    </xdr:to>
    <xdr:sp macro="" textlink="'Pivot tables'!H5">
      <xdr:nvSpPr>
        <xdr:cNvPr id="72" name="TextBox 71">
          <a:extLst>
            <a:ext uri="{FF2B5EF4-FFF2-40B4-BE49-F238E27FC236}">
              <a16:creationId xmlns:a16="http://schemas.microsoft.com/office/drawing/2014/main" id="{A4D84B0F-7BFE-4A7F-B74C-67EEA9FEDF8A}"/>
            </a:ext>
          </a:extLst>
        </xdr:cNvPr>
        <xdr:cNvSpPr txBox="1"/>
      </xdr:nvSpPr>
      <xdr:spPr>
        <a:xfrm>
          <a:off x="8682454" y="5848404"/>
          <a:ext cx="1370404" cy="441560"/>
        </a:xfrm>
        <a:prstGeom prst="rect">
          <a:avLst/>
        </a:prstGeom>
        <a:noFill/>
        <a:ln w="9525" cmpd="sng">
          <a:noFill/>
        </a:ln>
        <a:effectLst>
          <a:softEdge rad="31750"/>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98618043-D6F7-47A9-A8AC-8BE82D8E5CA7}" type="TxLink">
            <a:rPr lang="en-US" sz="2400" b="0" i="0" u="none" strike="noStrike">
              <a:solidFill>
                <a:schemeClr val="bg1">
                  <a:lumMod val="50000"/>
                </a:schemeClr>
              </a:solidFill>
              <a:latin typeface="Segoe UI Black" panose="020B0A02040204020203" pitchFamily="34" charset="0"/>
              <a:ea typeface="Segoe UI Black" panose="020B0A02040204020203" pitchFamily="34" charset="0"/>
              <a:cs typeface="Calibri"/>
            </a:rPr>
            <a:pPr marL="0" indent="0"/>
            <a:t> 29,693 </a:t>
          </a:fld>
          <a:endParaRPr lang="en-US" sz="2400" b="0" i="0" u="none" strike="noStrike">
            <a:solidFill>
              <a:schemeClr val="bg1">
                <a:lumMod val="50000"/>
              </a:schemeClr>
            </a:solidFill>
            <a:latin typeface="Segoe UI Black" panose="020B0A02040204020203" pitchFamily="34" charset="0"/>
            <a:ea typeface="Segoe UI Black" panose="020B0A02040204020203" pitchFamily="34" charset="0"/>
            <a:cs typeface="Calibri"/>
          </a:endParaRPr>
        </a:p>
      </xdr:txBody>
    </xdr:sp>
    <xdr:clientData/>
  </xdr:twoCellAnchor>
  <xdr:twoCellAnchor>
    <xdr:from>
      <xdr:col>13</xdr:col>
      <xdr:colOff>309041</xdr:colOff>
      <xdr:row>29</xdr:row>
      <xdr:rowOff>163637</xdr:rowOff>
    </xdr:from>
    <xdr:to>
      <xdr:col>17</xdr:col>
      <xdr:colOff>174565</xdr:colOff>
      <xdr:row>32</xdr:row>
      <xdr:rowOff>102600</xdr:rowOff>
    </xdr:to>
    <xdr:sp macro="" textlink="'Pivot tables'!B15">
      <xdr:nvSpPr>
        <xdr:cNvPr id="74" name="TextBox 73">
          <a:extLst>
            <a:ext uri="{FF2B5EF4-FFF2-40B4-BE49-F238E27FC236}">
              <a16:creationId xmlns:a16="http://schemas.microsoft.com/office/drawing/2014/main" id="{43A7E3E5-A890-48CB-B96F-693DB584FAF0}"/>
            </a:ext>
          </a:extLst>
        </xdr:cNvPr>
        <xdr:cNvSpPr txBox="1"/>
      </xdr:nvSpPr>
      <xdr:spPr>
        <a:xfrm>
          <a:off x="8233841" y="5386801"/>
          <a:ext cx="2303924" cy="479290"/>
        </a:xfrm>
        <a:prstGeom prst="rect">
          <a:avLst/>
        </a:prstGeom>
        <a:noFill/>
        <a:ln w="9525" cmpd="sng">
          <a:noFill/>
        </a:ln>
        <a:effectLst>
          <a:softEdge rad="31750"/>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800">
              <a:solidFill>
                <a:schemeClr val="bg1">
                  <a:lumMod val="50000"/>
                </a:schemeClr>
              </a:solidFill>
              <a:latin typeface="Segoe UI Black" panose="020B0A02040204020203" pitchFamily="34" charset="0"/>
              <a:ea typeface="Segoe UI Black" panose="020B0A02040204020203" pitchFamily="34" charset="0"/>
            </a:rPr>
            <a:t>Fan</a:t>
          </a:r>
          <a:r>
            <a:rPr lang="en-US" sz="2800" baseline="0">
              <a:solidFill>
                <a:schemeClr val="bg1">
                  <a:lumMod val="50000"/>
                </a:schemeClr>
              </a:solidFill>
              <a:latin typeface="Segoe UI Black" panose="020B0A02040204020203" pitchFamily="34" charset="0"/>
              <a:ea typeface="Segoe UI Black" panose="020B0A02040204020203" pitchFamily="34" charset="0"/>
            </a:rPr>
            <a:t> Count</a:t>
          </a:r>
          <a:endParaRPr lang="en-US" sz="2800">
            <a:solidFill>
              <a:schemeClr val="bg1">
                <a:lumMod val="50000"/>
              </a:schemeClr>
            </a:solidFill>
            <a:latin typeface="Segoe UI Black" panose="020B0A02040204020203" pitchFamily="34" charset="0"/>
            <a:ea typeface="Segoe UI Black" panose="020B0A02040204020203" pitchFamily="34" charset="0"/>
          </a:endParaRPr>
        </a:p>
      </xdr:txBody>
    </xdr:sp>
    <xdr:clientData/>
  </xdr:twoCellAnchor>
  <xdr:twoCellAnchor>
    <xdr:from>
      <xdr:col>22</xdr:col>
      <xdr:colOff>475296</xdr:colOff>
      <xdr:row>29</xdr:row>
      <xdr:rowOff>77741</xdr:rowOff>
    </xdr:from>
    <xdr:to>
      <xdr:col>26</xdr:col>
      <xdr:colOff>340820</xdr:colOff>
      <xdr:row>34</xdr:row>
      <xdr:rowOff>124691</xdr:rowOff>
    </xdr:to>
    <xdr:grpSp>
      <xdr:nvGrpSpPr>
        <xdr:cNvPr id="82" name="Group 81">
          <a:extLst>
            <a:ext uri="{FF2B5EF4-FFF2-40B4-BE49-F238E27FC236}">
              <a16:creationId xmlns:a16="http://schemas.microsoft.com/office/drawing/2014/main" id="{FE080FDD-D770-4E95-B448-3A727CC9C6B8}"/>
            </a:ext>
          </a:extLst>
        </xdr:cNvPr>
        <xdr:cNvGrpSpPr/>
      </xdr:nvGrpSpPr>
      <xdr:grpSpPr>
        <a:xfrm>
          <a:off x="13886496" y="5381261"/>
          <a:ext cx="2303924" cy="961350"/>
          <a:chOff x="11010292" y="5279430"/>
          <a:chExt cx="2303924" cy="1007070"/>
        </a:xfrm>
      </xdr:grpSpPr>
      <xdr:sp macro="" textlink="'Pivot tables'!H6">
        <xdr:nvSpPr>
          <xdr:cNvPr id="75" name="TextBox 74">
            <a:extLst>
              <a:ext uri="{FF2B5EF4-FFF2-40B4-BE49-F238E27FC236}">
                <a16:creationId xmlns:a16="http://schemas.microsoft.com/office/drawing/2014/main" id="{29587621-94C3-4BF9-9525-93D7E7E4478E}"/>
              </a:ext>
            </a:extLst>
          </xdr:cNvPr>
          <xdr:cNvSpPr txBox="1"/>
        </xdr:nvSpPr>
        <xdr:spPr>
          <a:xfrm>
            <a:off x="11472760" y="5777977"/>
            <a:ext cx="1314986" cy="508523"/>
          </a:xfrm>
          <a:prstGeom prst="rect">
            <a:avLst/>
          </a:prstGeom>
          <a:noFill/>
          <a:ln w="9525" cmpd="sng">
            <a:noFill/>
          </a:ln>
          <a:effectLst>
            <a:softEdge rad="31750"/>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2D095885-3B3D-488D-8E56-12D0637C85EC}" type="TxLink">
              <a:rPr lang="en-US" sz="2400" b="0" i="0" u="none" strike="noStrike">
                <a:solidFill>
                  <a:schemeClr val="bg1">
                    <a:lumMod val="50000"/>
                  </a:schemeClr>
                </a:solidFill>
                <a:latin typeface="Segoe UI Black" panose="020B0A02040204020203" pitchFamily="34" charset="0"/>
                <a:ea typeface="Segoe UI Black" panose="020B0A02040204020203" pitchFamily="34" charset="0"/>
                <a:cs typeface="Calibri"/>
              </a:rPr>
              <a:pPr marL="0" indent="0"/>
              <a:t> 19,350 </a:t>
            </a:fld>
            <a:endParaRPr lang="en-US" sz="2400" b="0" i="0" u="none" strike="noStrike">
              <a:solidFill>
                <a:schemeClr val="bg1">
                  <a:lumMod val="50000"/>
                </a:schemeClr>
              </a:solidFill>
              <a:latin typeface="Segoe UI Black" panose="020B0A02040204020203" pitchFamily="34" charset="0"/>
              <a:ea typeface="Segoe UI Black" panose="020B0A02040204020203" pitchFamily="34" charset="0"/>
              <a:cs typeface="Calibri"/>
            </a:endParaRPr>
          </a:p>
        </xdr:txBody>
      </xdr:sp>
      <xdr:sp macro="" textlink="'Pivot tables'!B15">
        <xdr:nvSpPr>
          <xdr:cNvPr id="76" name="TextBox 75">
            <a:extLst>
              <a:ext uri="{FF2B5EF4-FFF2-40B4-BE49-F238E27FC236}">
                <a16:creationId xmlns:a16="http://schemas.microsoft.com/office/drawing/2014/main" id="{D3FB307F-F093-411D-8EF8-0F9549FB9514}"/>
              </a:ext>
            </a:extLst>
          </xdr:cNvPr>
          <xdr:cNvSpPr txBox="1"/>
        </xdr:nvSpPr>
        <xdr:spPr>
          <a:xfrm>
            <a:off x="11010292" y="5279430"/>
            <a:ext cx="2303924" cy="517251"/>
          </a:xfrm>
          <a:prstGeom prst="rect">
            <a:avLst/>
          </a:prstGeom>
          <a:noFill/>
          <a:ln w="9525" cmpd="sng">
            <a:noFill/>
          </a:ln>
          <a:effectLst>
            <a:softEdge rad="31750"/>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800">
                <a:solidFill>
                  <a:schemeClr val="bg1">
                    <a:lumMod val="50000"/>
                  </a:schemeClr>
                </a:solidFill>
                <a:latin typeface="Segoe UI Black" panose="020B0A02040204020203" pitchFamily="34" charset="0"/>
                <a:ea typeface="Segoe UI Black" panose="020B0A02040204020203" pitchFamily="34" charset="0"/>
              </a:rPr>
              <a:t>Fan</a:t>
            </a:r>
            <a:r>
              <a:rPr lang="en-US" sz="2800" baseline="0">
                <a:solidFill>
                  <a:schemeClr val="bg1">
                    <a:lumMod val="50000"/>
                  </a:schemeClr>
                </a:solidFill>
                <a:latin typeface="Segoe UI Black" panose="020B0A02040204020203" pitchFamily="34" charset="0"/>
                <a:ea typeface="Segoe UI Black" panose="020B0A02040204020203" pitchFamily="34" charset="0"/>
              </a:rPr>
              <a:t> Count</a:t>
            </a:r>
            <a:endParaRPr lang="en-US" sz="2800">
              <a:solidFill>
                <a:schemeClr val="bg1">
                  <a:lumMod val="50000"/>
                </a:schemeClr>
              </a:solidFill>
              <a:latin typeface="Segoe UI Black" panose="020B0A02040204020203" pitchFamily="34" charset="0"/>
              <a:ea typeface="Segoe UI Black" panose="020B0A02040204020203" pitchFamily="34" charset="0"/>
            </a:endParaRPr>
          </a:p>
        </xdr:txBody>
      </xdr:sp>
    </xdr:grpSp>
    <xdr:clientData/>
  </xdr:twoCellAnchor>
  <xdr:twoCellAnchor>
    <xdr:from>
      <xdr:col>32</xdr:col>
      <xdr:colOff>127204</xdr:colOff>
      <xdr:row>29</xdr:row>
      <xdr:rowOff>24056</xdr:rowOff>
    </xdr:from>
    <xdr:to>
      <xdr:col>35</xdr:col>
      <xdr:colOff>602328</xdr:colOff>
      <xdr:row>34</xdr:row>
      <xdr:rowOff>84859</xdr:rowOff>
    </xdr:to>
    <xdr:grpSp>
      <xdr:nvGrpSpPr>
        <xdr:cNvPr id="83" name="Group 82">
          <a:extLst>
            <a:ext uri="{FF2B5EF4-FFF2-40B4-BE49-F238E27FC236}">
              <a16:creationId xmlns:a16="http://schemas.microsoft.com/office/drawing/2014/main" id="{4F74CB4C-082C-43C4-ADD9-020C4DE43EA1}"/>
            </a:ext>
          </a:extLst>
        </xdr:cNvPr>
        <xdr:cNvGrpSpPr/>
      </xdr:nvGrpSpPr>
      <xdr:grpSpPr>
        <a:xfrm>
          <a:off x="19634404" y="5327576"/>
          <a:ext cx="2303924" cy="975203"/>
          <a:chOff x="15637714" y="5293286"/>
          <a:chExt cx="2303924" cy="1020923"/>
        </a:xfrm>
      </xdr:grpSpPr>
      <xdr:sp macro="" textlink="'Pivot tables'!H7">
        <xdr:nvSpPr>
          <xdr:cNvPr id="77" name="TextBox 76">
            <a:extLst>
              <a:ext uri="{FF2B5EF4-FFF2-40B4-BE49-F238E27FC236}">
                <a16:creationId xmlns:a16="http://schemas.microsoft.com/office/drawing/2014/main" id="{662FAED5-9726-4A62-8EBD-254B2A16ABB0}"/>
              </a:ext>
            </a:extLst>
          </xdr:cNvPr>
          <xdr:cNvSpPr txBox="1"/>
        </xdr:nvSpPr>
        <xdr:spPr>
          <a:xfrm>
            <a:off x="16114037" y="5791833"/>
            <a:ext cx="1411964" cy="522376"/>
          </a:xfrm>
          <a:prstGeom prst="rect">
            <a:avLst/>
          </a:prstGeom>
          <a:noFill/>
          <a:ln w="9525" cmpd="sng">
            <a:noFill/>
          </a:ln>
          <a:effectLst>
            <a:softEdge rad="31750"/>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A82279D6-E9E7-47B9-8E52-DC1F4556F96E}" type="TxLink">
              <a:rPr lang="en-US" sz="2400" b="0" i="0" u="none" strike="noStrike">
                <a:solidFill>
                  <a:schemeClr val="bg1">
                    <a:lumMod val="50000"/>
                  </a:schemeClr>
                </a:solidFill>
                <a:latin typeface="Segoe UI Black" panose="020B0A02040204020203" pitchFamily="34" charset="0"/>
                <a:ea typeface="Segoe UI Black" panose="020B0A02040204020203" pitchFamily="34" charset="0"/>
                <a:cs typeface="Calibri"/>
              </a:rPr>
              <a:pPr marL="0" indent="0"/>
              <a:t> 36,818 </a:t>
            </a:fld>
            <a:endParaRPr lang="en-US" sz="2400" b="0" i="0" u="none" strike="noStrike">
              <a:solidFill>
                <a:schemeClr val="bg1">
                  <a:lumMod val="50000"/>
                </a:schemeClr>
              </a:solidFill>
              <a:latin typeface="Segoe UI Black" panose="020B0A02040204020203" pitchFamily="34" charset="0"/>
              <a:ea typeface="Segoe UI Black" panose="020B0A02040204020203" pitchFamily="34" charset="0"/>
              <a:cs typeface="Calibri"/>
            </a:endParaRPr>
          </a:p>
        </xdr:txBody>
      </xdr:sp>
      <xdr:sp macro="" textlink="'Pivot tables'!B15">
        <xdr:nvSpPr>
          <xdr:cNvPr id="78" name="TextBox 77">
            <a:extLst>
              <a:ext uri="{FF2B5EF4-FFF2-40B4-BE49-F238E27FC236}">
                <a16:creationId xmlns:a16="http://schemas.microsoft.com/office/drawing/2014/main" id="{0A82A500-01E0-499A-9D46-9BBCFCC55B70}"/>
              </a:ext>
            </a:extLst>
          </xdr:cNvPr>
          <xdr:cNvSpPr txBox="1"/>
        </xdr:nvSpPr>
        <xdr:spPr>
          <a:xfrm>
            <a:off x="15637714" y="5293286"/>
            <a:ext cx="2303924" cy="517251"/>
          </a:xfrm>
          <a:prstGeom prst="rect">
            <a:avLst/>
          </a:prstGeom>
          <a:noFill/>
          <a:ln w="9525" cmpd="sng">
            <a:noFill/>
          </a:ln>
          <a:effectLst>
            <a:softEdge rad="31750"/>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800">
                <a:solidFill>
                  <a:schemeClr val="bg1">
                    <a:lumMod val="50000"/>
                  </a:schemeClr>
                </a:solidFill>
                <a:latin typeface="Segoe UI Black" panose="020B0A02040204020203" pitchFamily="34" charset="0"/>
                <a:ea typeface="Segoe UI Black" panose="020B0A02040204020203" pitchFamily="34" charset="0"/>
              </a:rPr>
              <a:t>Fan</a:t>
            </a:r>
            <a:r>
              <a:rPr lang="en-US" sz="2800" baseline="0">
                <a:solidFill>
                  <a:schemeClr val="bg1">
                    <a:lumMod val="50000"/>
                  </a:schemeClr>
                </a:solidFill>
                <a:latin typeface="Segoe UI Black" panose="020B0A02040204020203" pitchFamily="34" charset="0"/>
                <a:ea typeface="Segoe UI Black" panose="020B0A02040204020203" pitchFamily="34" charset="0"/>
              </a:rPr>
              <a:t> Count</a:t>
            </a:r>
            <a:endParaRPr lang="en-US" sz="2800">
              <a:solidFill>
                <a:schemeClr val="bg1">
                  <a:lumMod val="50000"/>
                </a:schemeClr>
              </a:solidFill>
              <a:latin typeface="Segoe UI Black" panose="020B0A02040204020203" pitchFamily="34" charset="0"/>
              <a:ea typeface="Segoe UI Black" panose="020B0A02040204020203" pitchFamily="34" charset="0"/>
            </a:endParaRPr>
          </a:p>
        </xdr:txBody>
      </xdr:sp>
    </xdr:grpSp>
    <xdr:clientData/>
  </xdr:twoCellAnchor>
  <xdr:twoCellAnchor>
    <xdr:from>
      <xdr:col>2</xdr:col>
      <xdr:colOff>139327</xdr:colOff>
      <xdr:row>36</xdr:row>
      <xdr:rowOff>152204</xdr:rowOff>
    </xdr:from>
    <xdr:to>
      <xdr:col>9</xdr:col>
      <xdr:colOff>523013</xdr:colOff>
      <xdr:row>42</xdr:row>
      <xdr:rowOff>43984</xdr:rowOff>
    </xdr:to>
    <xdr:grpSp>
      <xdr:nvGrpSpPr>
        <xdr:cNvPr id="134" name="Group 133">
          <a:extLst>
            <a:ext uri="{FF2B5EF4-FFF2-40B4-BE49-F238E27FC236}">
              <a16:creationId xmlns:a16="http://schemas.microsoft.com/office/drawing/2014/main" id="{C7F1FB73-DC19-486D-9938-F4036663F0F3}"/>
            </a:ext>
          </a:extLst>
        </xdr:cNvPr>
        <xdr:cNvGrpSpPr/>
      </xdr:nvGrpSpPr>
      <xdr:grpSpPr>
        <a:xfrm>
          <a:off x="1358527" y="6735884"/>
          <a:ext cx="4650886" cy="989060"/>
          <a:chOff x="1358527" y="7010204"/>
          <a:chExt cx="4650886" cy="1034780"/>
        </a:xfrm>
      </xdr:grpSpPr>
      <xdr:sp macro="" textlink="'Pivot tables'!D11">
        <xdr:nvSpPr>
          <xdr:cNvPr id="85" name="TextBox 84">
            <a:extLst>
              <a:ext uri="{FF2B5EF4-FFF2-40B4-BE49-F238E27FC236}">
                <a16:creationId xmlns:a16="http://schemas.microsoft.com/office/drawing/2014/main" id="{0FB1F61E-9681-4D78-98DE-992928D69819}"/>
              </a:ext>
            </a:extLst>
          </xdr:cNvPr>
          <xdr:cNvSpPr txBox="1"/>
        </xdr:nvSpPr>
        <xdr:spPr>
          <a:xfrm>
            <a:off x="2984772" y="7518092"/>
            <a:ext cx="1328841" cy="526892"/>
          </a:xfrm>
          <a:prstGeom prst="rect">
            <a:avLst/>
          </a:prstGeom>
          <a:noFill/>
          <a:ln w="9525" cmpd="sng">
            <a:noFill/>
          </a:ln>
          <a:effectLst>
            <a:softEdge rad="31750"/>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AC9A3801-BEDB-4EA7-89B9-7F8B51530A43}" type="TxLink">
              <a:rPr lang="en-US" sz="2400" b="0" i="0" u="none" strike="noStrike">
                <a:solidFill>
                  <a:schemeClr val="bg1">
                    <a:lumMod val="50000"/>
                  </a:schemeClr>
                </a:solidFill>
                <a:latin typeface="Segoe UI Black" panose="020B0A02040204020203" pitchFamily="34" charset="0"/>
                <a:ea typeface="Segoe UI Black" panose="020B0A02040204020203" pitchFamily="34" charset="0"/>
                <a:cs typeface="Calibri"/>
              </a:rPr>
              <a:pPr marL="0" indent="0" algn="ctr"/>
              <a:t> 23,516 </a:t>
            </a:fld>
            <a:endParaRPr lang="en-US" sz="2400" b="0" i="0" u="none" strike="noStrike">
              <a:solidFill>
                <a:schemeClr val="bg1">
                  <a:lumMod val="50000"/>
                </a:schemeClr>
              </a:solidFill>
              <a:latin typeface="Segoe UI Black" panose="020B0A02040204020203" pitchFamily="34" charset="0"/>
              <a:ea typeface="Segoe UI Black" panose="020B0A02040204020203" pitchFamily="34" charset="0"/>
              <a:cs typeface="Calibri"/>
            </a:endParaRPr>
          </a:p>
        </xdr:txBody>
      </xdr:sp>
      <xdr:sp macro="" textlink="'Pivot tables'!B15">
        <xdr:nvSpPr>
          <xdr:cNvPr id="86" name="TextBox 85">
            <a:extLst>
              <a:ext uri="{FF2B5EF4-FFF2-40B4-BE49-F238E27FC236}">
                <a16:creationId xmlns:a16="http://schemas.microsoft.com/office/drawing/2014/main" id="{2C8BA1EE-81B5-48A2-8091-39A6DEE37390}"/>
              </a:ext>
            </a:extLst>
          </xdr:cNvPr>
          <xdr:cNvSpPr txBox="1"/>
        </xdr:nvSpPr>
        <xdr:spPr>
          <a:xfrm>
            <a:off x="1358527" y="7010204"/>
            <a:ext cx="4650886" cy="521723"/>
          </a:xfrm>
          <a:prstGeom prst="rect">
            <a:avLst/>
          </a:prstGeom>
          <a:noFill/>
          <a:ln w="9525" cmpd="sng">
            <a:noFill/>
          </a:ln>
          <a:effectLst>
            <a:softEdge rad="31750"/>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800">
                <a:solidFill>
                  <a:schemeClr val="bg1">
                    <a:lumMod val="50000"/>
                  </a:schemeClr>
                </a:solidFill>
                <a:latin typeface="Segoe UI Black" panose="020B0A02040204020203" pitchFamily="34" charset="0"/>
                <a:ea typeface="Segoe UI Black" panose="020B0A02040204020203" pitchFamily="34" charset="0"/>
              </a:rPr>
              <a:t>Total</a:t>
            </a:r>
            <a:r>
              <a:rPr lang="en-US" sz="2800" baseline="0">
                <a:solidFill>
                  <a:schemeClr val="bg1">
                    <a:lumMod val="50000"/>
                  </a:schemeClr>
                </a:solidFill>
                <a:latin typeface="Segoe UI Black" panose="020B0A02040204020203" pitchFamily="34" charset="0"/>
                <a:ea typeface="Segoe UI Black" panose="020B0A02040204020203" pitchFamily="34" charset="0"/>
              </a:rPr>
              <a:t> Reactions</a:t>
            </a:r>
            <a:endParaRPr lang="en-US" sz="2800">
              <a:solidFill>
                <a:schemeClr val="bg1">
                  <a:lumMod val="50000"/>
                </a:schemeClr>
              </a:solidFill>
              <a:latin typeface="Segoe UI Black" panose="020B0A02040204020203" pitchFamily="34" charset="0"/>
              <a:ea typeface="Segoe UI Black" panose="020B0A02040204020203" pitchFamily="34" charset="0"/>
            </a:endParaRPr>
          </a:p>
        </xdr:txBody>
      </xdr:sp>
    </xdr:grpSp>
    <xdr:clientData/>
  </xdr:twoCellAnchor>
  <xdr:twoCellAnchor>
    <xdr:from>
      <xdr:col>5</xdr:col>
      <xdr:colOff>328161</xdr:colOff>
      <xdr:row>46</xdr:row>
      <xdr:rowOff>63387</xdr:rowOff>
    </xdr:from>
    <xdr:to>
      <xdr:col>6</xdr:col>
      <xdr:colOff>360218</xdr:colOff>
      <xdr:row>49</xdr:row>
      <xdr:rowOff>16279</xdr:rowOff>
    </xdr:to>
    <xdr:sp macro="" textlink="'Pivot tables'!E11">
      <xdr:nvSpPr>
        <xdr:cNvPr id="88" name="TextBox 87">
          <a:extLst>
            <a:ext uri="{FF2B5EF4-FFF2-40B4-BE49-F238E27FC236}">
              <a16:creationId xmlns:a16="http://schemas.microsoft.com/office/drawing/2014/main" id="{177F8285-0E4E-4B54-B430-FB9A8793EC61}"/>
            </a:ext>
          </a:extLst>
        </xdr:cNvPr>
        <xdr:cNvSpPr txBox="1"/>
      </xdr:nvSpPr>
      <xdr:spPr>
        <a:xfrm>
          <a:off x="3376161" y="8826387"/>
          <a:ext cx="641657" cy="524392"/>
        </a:xfrm>
        <a:prstGeom prst="rect">
          <a:avLst/>
        </a:prstGeom>
        <a:noFill/>
        <a:ln w="9525" cmpd="sng">
          <a:noFill/>
        </a:ln>
        <a:effectLst>
          <a:softEdge rad="31750"/>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C47C7F50-3169-4861-B304-D21A7F36185B}" type="TxLink">
            <a:rPr lang="en-US" sz="2400" b="0" i="0" u="none" strike="noStrike">
              <a:solidFill>
                <a:schemeClr val="bg1">
                  <a:lumMod val="50000"/>
                </a:schemeClr>
              </a:solidFill>
              <a:latin typeface="Segoe UI Black" panose="020B0A02040204020203" pitchFamily="34" charset="0"/>
              <a:ea typeface="Segoe UI Black" panose="020B0A02040204020203" pitchFamily="34" charset="0"/>
              <a:cs typeface="Calibri"/>
            </a:rPr>
            <a:pPr marL="0" indent="0"/>
            <a:t>2%</a:t>
          </a:fld>
          <a:endParaRPr lang="en-US" sz="2400" b="0" i="0" u="none" strike="noStrike">
            <a:solidFill>
              <a:schemeClr val="bg1">
                <a:lumMod val="50000"/>
              </a:schemeClr>
            </a:solidFill>
            <a:latin typeface="Segoe UI Black" panose="020B0A02040204020203" pitchFamily="34" charset="0"/>
            <a:ea typeface="Segoe UI Black" panose="020B0A02040204020203" pitchFamily="34" charset="0"/>
            <a:cs typeface="Calibri"/>
          </a:endParaRPr>
        </a:p>
      </xdr:txBody>
    </xdr:sp>
    <xdr:clientData/>
  </xdr:twoCellAnchor>
  <xdr:twoCellAnchor>
    <xdr:from>
      <xdr:col>2</xdr:col>
      <xdr:colOff>212058</xdr:colOff>
      <xdr:row>43</xdr:row>
      <xdr:rowOff>41370</xdr:rowOff>
    </xdr:from>
    <xdr:to>
      <xdr:col>9</xdr:col>
      <xdr:colOff>540326</xdr:colOff>
      <xdr:row>46</xdr:row>
      <xdr:rowOff>33143</xdr:rowOff>
    </xdr:to>
    <xdr:sp macro="" textlink="'Pivot tables'!B15">
      <xdr:nvSpPr>
        <xdr:cNvPr id="89" name="TextBox 88">
          <a:extLst>
            <a:ext uri="{FF2B5EF4-FFF2-40B4-BE49-F238E27FC236}">
              <a16:creationId xmlns:a16="http://schemas.microsoft.com/office/drawing/2014/main" id="{83D7B998-377D-4B74-894E-7B375DD4FC4C}"/>
            </a:ext>
          </a:extLst>
        </xdr:cNvPr>
        <xdr:cNvSpPr txBox="1"/>
      </xdr:nvSpPr>
      <xdr:spPr>
        <a:xfrm>
          <a:off x="1431258" y="8232870"/>
          <a:ext cx="4595468" cy="563273"/>
        </a:xfrm>
        <a:prstGeom prst="rect">
          <a:avLst/>
        </a:prstGeom>
        <a:noFill/>
        <a:ln w="9525" cmpd="sng">
          <a:noFill/>
        </a:ln>
        <a:effectLst>
          <a:softEdge rad="31750"/>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800">
              <a:solidFill>
                <a:schemeClr val="bg1">
                  <a:lumMod val="50000"/>
                </a:schemeClr>
              </a:solidFill>
              <a:latin typeface="Segoe UI Black" panose="020B0A02040204020203" pitchFamily="34" charset="0"/>
              <a:ea typeface="Segoe UI Black" panose="020B0A02040204020203" pitchFamily="34" charset="0"/>
            </a:rPr>
            <a:t>Avg.</a:t>
          </a:r>
          <a:r>
            <a:rPr lang="en-US" sz="2800" baseline="0">
              <a:solidFill>
                <a:schemeClr val="bg1">
                  <a:lumMod val="50000"/>
                </a:schemeClr>
              </a:solidFill>
              <a:latin typeface="Segoe UI Black" panose="020B0A02040204020203" pitchFamily="34" charset="0"/>
              <a:ea typeface="Segoe UI Black" panose="020B0A02040204020203" pitchFamily="34" charset="0"/>
            </a:rPr>
            <a:t> Engagement rate</a:t>
          </a:r>
          <a:endParaRPr lang="en-US" sz="2800">
            <a:solidFill>
              <a:schemeClr val="bg1">
                <a:lumMod val="50000"/>
              </a:schemeClr>
            </a:solidFill>
            <a:latin typeface="Segoe UI Black" panose="020B0A02040204020203" pitchFamily="34" charset="0"/>
            <a:ea typeface="Segoe UI Black" panose="020B0A02040204020203" pitchFamily="34" charset="0"/>
          </a:endParaRPr>
        </a:p>
      </xdr:txBody>
    </xdr:sp>
    <xdr:clientData/>
  </xdr:twoCellAnchor>
  <xdr:twoCellAnchor>
    <xdr:from>
      <xdr:col>2</xdr:col>
      <xdr:colOff>283063</xdr:colOff>
      <xdr:row>50</xdr:row>
      <xdr:rowOff>50030</xdr:rowOff>
    </xdr:from>
    <xdr:to>
      <xdr:col>10</xdr:col>
      <xdr:colOff>1731</xdr:colOff>
      <xdr:row>56</xdr:row>
      <xdr:rowOff>38792</xdr:rowOff>
    </xdr:to>
    <xdr:grpSp>
      <xdr:nvGrpSpPr>
        <xdr:cNvPr id="94" name="Group 93">
          <a:extLst>
            <a:ext uri="{FF2B5EF4-FFF2-40B4-BE49-F238E27FC236}">
              <a16:creationId xmlns:a16="http://schemas.microsoft.com/office/drawing/2014/main" id="{868963CC-A542-475E-9C48-E14AF160D234}"/>
            </a:ext>
          </a:extLst>
        </xdr:cNvPr>
        <xdr:cNvGrpSpPr/>
      </xdr:nvGrpSpPr>
      <xdr:grpSpPr>
        <a:xfrm>
          <a:off x="1502263" y="9194030"/>
          <a:ext cx="4595468" cy="1086042"/>
          <a:chOff x="1445113" y="9000069"/>
          <a:chExt cx="4595468" cy="1069417"/>
        </a:xfrm>
      </xdr:grpSpPr>
      <xdr:sp macro="" textlink="'Pivot tables'!G11">
        <xdr:nvSpPr>
          <xdr:cNvPr id="91" name="TextBox 90">
            <a:extLst>
              <a:ext uri="{FF2B5EF4-FFF2-40B4-BE49-F238E27FC236}">
                <a16:creationId xmlns:a16="http://schemas.microsoft.com/office/drawing/2014/main" id="{B93D177E-1D13-4978-ACF2-671FF53BBC14}"/>
              </a:ext>
            </a:extLst>
          </xdr:cNvPr>
          <xdr:cNvSpPr txBox="1"/>
        </xdr:nvSpPr>
        <xdr:spPr>
          <a:xfrm>
            <a:off x="3085216" y="9574339"/>
            <a:ext cx="1168129" cy="495147"/>
          </a:xfrm>
          <a:prstGeom prst="rect">
            <a:avLst/>
          </a:prstGeom>
          <a:noFill/>
          <a:ln w="9525" cmpd="sng">
            <a:noFill/>
          </a:ln>
          <a:effectLst>
            <a:softEdge rad="31750"/>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2D89011C-BDBE-4DED-9A87-A7E5AEF566B5}" type="TxLink">
              <a:rPr lang="en-US" sz="2400" b="0" i="0" u="none" strike="noStrike">
                <a:solidFill>
                  <a:schemeClr val="bg1">
                    <a:lumMod val="50000"/>
                  </a:schemeClr>
                </a:solidFill>
                <a:latin typeface="Segoe UI Black" panose="020B0A02040204020203" pitchFamily="34" charset="0"/>
                <a:ea typeface="Segoe UI Black" panose="020B0A02040204020203" pitchFamily="34" charset="0"/>
                <a:cs typeface="Calibri"/>
              </a:rPr>
              <a:pPr marL="0" indent="0"/>
              <a:t>525047</a:t>
            </a:fld>
            <a:endParaRPr lang="en-US" sz="2400" b="0" i="0" u="none" strike="noStrike">
              <a:solidFill>
                <a:schemeClr val="bg1">
                  <a:lumMod val="50000"/>
                </a:schemeClr>
              </a:solidFill>
              <a:latin typeface="Segoe UI Black" panose="020B0A02040204020203" pitchFamily="34" charset="0"/>
              <a:ea typeface="Segoe UI Black" panose="020B0A02040204020203" pitchFamily="34" charset="0"/>
              <a:cs typeface="Calibri"/>
            </a:endParaRPr>
          </a:p>
        </xdr:txBody>
      </xdr:sp>
      <xdr:sp macro="" textlink="'Pivot tables'!B15">
        <xdr:nvSpPr>
          <xdr:cNvPr id="92" name="TextBox 91">
            <a:extLst>
              <a:ext uri="{FF2B5EF4-FFF2-40B4-BE49-F238E27FC236}">
                <a16:creationId xmlns:a16="http://schemas.microsoft.com/office/drawing/2014/main" id="{D52EE093-5381-4DC4-94D6-B756CF1A02C9}"/>
              </a:ext>
            </a:extLst>
          </xdr:cNvPr>
          <xdr:cNvSpPr txBox="1"/>
        </xdr:nvSpPr>
        <xdr:spPr>
          <a:xfrm>
            <a:off x="1445113" y="9000069"/>
            <a:ext cx="4595468" cy="531859"/>
          </a:xfrm>
          <a:prstGeom prst="rect">
            <a:avLst/>
          </a:prstGeom>
          <a:noFill/>
          <a:ln w="9525" cmpd="sng">
            <a:noFill/>
          </a:ln>
          <a:effectLst>
            <a:softEdge rad="31750"/>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800">
                <a:solidFill>
                  <a:schemeClr val="bg1">
                    <a:lumMod val="50000"/>
                  </a:schemeClr>
                </a:solidFill>
                <a:latin typeface="Segoe UI Black" panose="020B0A02040204020203" pitchFamily="34" charset="0"/>
                <a:ea typeface="Segoe UI Black" panose="020B0A02040204020203" pitchFamily="34" charset="0"/>
              </a:rPr>
              <a:t>Total</a:t>
            </a:r>
            <a:r>
              <a:rPr lang="en-US" sz="2800" baseline="0">
                <a:solidFill>
                  <a:schemeClr val="bg1">
                    <a:lumMod val="50000"/>
                  </a:schemeClr>
                </a:solidFill>
                <a:latin typeface="Segoe UI Black" panose="020B0A02040204020203" pitchFamily="34" charset="0"/>
                <a:ea typeface="Segoe UI Black" panose="020B0A02040204020203" pitchFamily="34" charset="0"/>
              </a:rPr>
              <a:t> Impressions</a:t>
            </a:r>
            <a:endParaRPr lang="en-US" sz="2800">
              <a:solidFill>
                <a:schemeClr val="bg1">
                  <a:lumMod val="50000"/>
                </a:schemeClr>
              </a:solidFill>
              <a:latin typeface="Segoe UI Black" panose="020B0A02040204020203" pitchFamily="34" charset="0"/>
              <a:ea typeface="Segoe UI Black" panose="020B0A02040204020203" pitchFamily="34" charset="0"/>
            </a:endParaRPr>
          </a:p>
        </xdr:txBody>
      </xdr:sp>
    </xdr:grpSp>
    <xdr:clientData/>
  </xdr:twoCellAnchor>
  <xdr:twoCellAnchor>
    <xdr:from>
      <xdr:col>11</xdr:col>
      <xdr:colOff>348877</xdr:colOff>
      <xdr:row>36</xdr:row>
      <xdr:rowOff>114104</xdr:rowOff>
    </xdr:from>
    <xdr:to>
      <xdr:col>19</xdr:col>
      <xdr:colOff>122963</xdr:colOff>
      <xdr:row>42</xdr:row>
      <xdr:rowOff>5884</xdr:rowOff>
    </xdr:to>
    <xdr:grpSp>
      <xdr:nvGrpSpPr>
        <xdr:cNvPr id="133" name="Group 132">
          <a:extLst>
            <a:ext uri="{FF2B5EF4-FFF2-40B4-BE49-F238E27FC236}">
              <a16:creationId xmlns:a16="http://schemas.microsoft.com/office/drawing/2014/main" id="{2E014437-E0FE-4D46-937B-622A9EBDD4E0}"/>
            </a:ext>
          </a:extLst>
        </xdr:cNvPr>
        <xdr:cNvGrpSpPr/>
      </xdr:nvGrpSpPr>
      <xdr:grpSpPr>
        <a:xfrm>
          <a:off x="7054477" y="6697784"/>
          <a:ext cx="4650886" cy="989060"/>
          <a:chOff x="7054477" y="6972104"/>
          <a:chExt cx="4650886" cy="1034780"/>
        </a:xfrm>
      </xdr:grpSpPr>
      <xdr:sp macro="" textlink="'Pivot tables'!D12">
        <xdr:nvSpPr>
          <xdr:cNvPr id="96" name="TextBox 95">
            <a:extLst>
              <a:ext uri="{FF2B5EF4-FFF2-40B4-BE49-F238E27FC236}">
                <a16:creationId xmlns:a16="http://schemas.microsoft.com/office/drawing/2014/main" id="{F2A5111E-3AD4-4A81-AB33-3DA1319EF6D1}"/>
              </a:ext>
            </a:extLst>
          </xdr:cNvPr>
          <xdr:cNvSpPr txBox="1"/>
        </xdr:nvSpPr>
        <xdr:spPr>
          <a:xfrm>
            <a:off x="8680722" y="7479992"/>
            <a:ext cx="1328841" cy="526892"/>
          </a:xfrm>
          <a:prstGeom prst="rect">
            <a:avLst/>
          </a:prstGeom>
          <a:noFill/>
          <a:ln w="9525" cmpd="sng">
            <a:noFill/>
          </a:ln>
          <a:effectLst>
            <a:softEdge rad="31750"/>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482066EE-E29F-444D-A87A-39A420920D8D}" type="TxLink">
              <a:rPr lang="en-US" sz="2400" b="0" i="0" u="none" strike="noStrike">
                <a:solidFill>
                  <a:schemeClr val="bg1">
                    <a:lumMod val="50000"/>
                  </a:schemeClr>
                </a:solidFill>
                <a:latin typeface="Segoe UI Black" panose="020B0A02040204020203" pitchFamily="34" charset="0"/>
                <a:ea typeface="Segoe UI Black" panose="020B0A02040204020203" pitchFamily="34" charset="0"/>
                <a:cs typeface="Calibri"/>
              </a:rPr>
              <a:pPr marL="0" indent="0" algn="ctr"/>
              <a:t> 62,610 </a:t>
            </a:fld>
            <a:endParaRPr lang="en-US" sz="2400" b="0" i="0" u="none" strike="noStrike">
              <a:solidFill>
                <a:schemeClr val="bg1">
                  <a:lumMod val="50000"/>
                </a:schemeClr>
              </a:solidFill>
              <a:latin typeface="Segoe UI Black" panose="020B0A02040204020203" pitchFamily="34" charset="0"/>
              <a:ea typeface="Segoe UI Black" panose="020B0A02040204020203" pitchFamily="34" charset="0"/>
              <a:cs typeface="Calibri"/>
            </a:endParaRPr>
          </a:p>
        </xdr:txBody>
      </xdr:sp>
      <xdr:sp macro="" textlink="'Pivot tables'!B15">
        <xdr:nvSpPr>
          <xdr:cNvPr id="97" name="TextBox 96">
            <a:extLst>
              <a:ext uri="{FF2B5EF4-FFF2-40B4-BE49-F238E27FC236}">
                <a16:creationId xmlns:a16="http://schemas.microsoft.com/office/drawing/2014/main" id="{B2BA4684-CFAD-4839-A852-43F6FAABCF52}"/>
              </a:ext>
            </a:extLst>
          </xdr:cNvPr>
          <xdr:cNvSpPr txBox="1"/>
        </xdr:nvSpPr>
        <xdr:spPr>
          <a:xfrm>
            <a:off x="7054477" y="6972104"/>
            <a:ext cx="4650886" cy="521723"/>
          </a:xfrm>
          <a:prstGeom prst="rect">
            <a:avLst/>
          </a:prstGeom>
          <a:noFill/>
          <a:ln w="9525" cmpd="sng">
            <a:noFill/>
          </a:ln>
          <a:effectLst>
            <a:softEdge rad="31750"/>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800">
                <a:solidFill>
                  <a:schemeClr val="bg1">
                    <a:lumMod val="50000"/>
                  </a:schemeClr>
                </a:solidFill>
                <a:latin typeface="Segoe UI Black" panose="020B0A02040204020203" pitchFamily="34" charset="0"/>
                <a:ea typeface="Segoe UI Black" panose="020B0A02040204020203" pitchFamily="34" charset="0"/>
              </a:rPr>
              <a:t>Total Reactions</a:t>
            </a:r>
          </a:p>
        </xdr:txBody>
      </xdr:sp>
    </xdr:grpSp>
    <xdr:clientData/>
  </xdr:twoCellAnchor>
  <xdr:twoCellAnchor>
    <xdr:from>
      <xdr:col>11</xdr:col>
      <xdr:colOff>459708</xdr:colOff>
      <xdr:row>42</xdr:row>
      <xdr:rowOff>155670</xdr:rowOff>
    </xdr:from>
    <xdr:to>
      <xdr:col>19</xdr:col>
      <xdr:colOff>178376</xdr:colOff>
      <xdr:row>48</xdr:row>
      <xdr:rowOff>130579</xdr:rowOff>
    </xdr:to>
    <xdr:grpSp>
      <xdr:nvGrpSpPr>
        <xdr:cNvPr id="123" name="Group 122">
          <a:extLst>
            <a:ext uri="{FF2B5EF4-FFF2-40B4-BE49-F238E27FC236}">
              <a16:creationId xmlns:a16="http://schemas.microsoft.com/office/drawing/2014/main" id="{CA65C68E-C628-47FA-A017-90EA5F5E3344}"/>
            </a:ext>
          </a:extLst>
        </xdr:cNvPr>
        <xdr:cNvGrpSpPr/>
      </xdr:nvGrpSpPr>
      <xdr:grpSpPr>
        <a:xfrm>
          <a:off x="7165308" y="7836630"/>
          <a:ext cx="4595468" cy="1072189"/>
          <a:chOff x="7165308" y="8156670"/>
          <a:chExt cx="4595468" cy="1117909"/>
        </a:xfrm>
      </xdr:grpSpPr>
      <xdr:sp macro="" textlink="'Pivot tables'!E12">
        <xdr:nvSpPr>
          <xdr:cNvPr id="99" name="TextBox 98">
            <a:extLst>
              <a:ext uri="{FF2B5EF4-FFF2-40B4-BE49-F238E27FC236}">
                <a16:creationId xmlns:a16="http://schemas.microsoft.com/office/drawing/2014/main" id="{F05AAFE6-A8CE-4678-B36E-17473557F66B}"/>
              </a:ext>
            </a:extLst>
          </xdr:cNvPr>
          <xdr:cNvSpPr txBox="1"/>
        </xdr:nvSpPr>
        <xdr:spPr>
          <a:xfrm>
            <a:off x="9110211" y="8750187"/>
            <a:ext cx="641657" cy="524392"/>
          </a:xfrm>
          <a:prstGeom prst="rect">
            <a:avLst/>
          </a:prstGeom>
          <a:noFill/>
          <a:ln w="9525" cmpd="sng">
            <a:noFill/>
          </a:ln>
          <a:effectLst>
            <a:softEdge rad="31750"/>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1D0531A4-B65A-451B-ABE8-8E96818B0177}" type="TxLink">
              <a:rPr lang="en-US" sz="2400" b="0" i="0" u="none" strike="noStrike">
                <a:solidFill>
                  <a:schemeClr val="bg1">
                    <a:lumMod val="50000"/>
                  </a:schemeClr>
                </a:solidFill>
                <a:latin typeface="Segoe UI Black" panose="020B0A02040204020203" pitchFamily="34" charset="0"/>
                <a:ea typeface="Segoe UI Black" panose="020B0A02040204020203" pitchFamily="34" charset="0"/>
                <a:cs typeface="Calibri"/>
              </a:rPr>
              <a:pPr marL="0" indent="0"/>
              <a:t>2%</a:t>
            </a:fld>
            <a:endParaRPr lang="en-US" sz="2400" b="0" i="0" u="none" strike="noStrike">
              <a:solidFill>
                <a:schemeClr val="bg1">
                  <a:lumMod val="50000"/>
                </a:schemeClr>
              </a:solidFill>
              <a:latin typeface="Segoe UI Black" panose="020B0A02040204020203" pitchFamily="34" charset="0"/>
              <a:ea typeface="Segoe UI Black" panose="020B0A02040204020203" pitchFamily="34" charset="0"/>
              <a:cs typeface="Calibri"/>
            </a:endParaRPr>
          </a:p>
        </xdr:txBody>
      </xdr:sp>
      <xdr:sp macro="" textlink="'Pivot tables'!B15">
        <xdr:nvSpPr>
          <xdr:cNvPr id="100" name="TextBox 99">
            <a:extLst>
              <a:ext uri="{FF2B5EF4-FFF2-40B4-BE49-F238E27FC236}">
                <a16:creationId xmlns:a16="http://schemas.microsoft.com/office/drawing/2014/main" id="{A7FDC32C-8534-4F1F-B589-B5DFB316AF5E}"/>
              </a:ext>
            </a:extLst>
          </xdr:cNvPr>
          <xdr:cNvSpPr txBox="1"/>
        </xdr:nvSpPr>
        <xdr:spPr>
          <a:xfrm>
            <a:off x="7165308" y="8156670"/>
            <a:ext cx="4595468" cy="563273"/>
          </a:xfrm>
          <a:prstGeom prst="rect">
            <a:avLst/>
          </a:prstGeom>
          <a:noFill/>
          <a:ln w="9525" cmpd="sng">
            <a:noFill/>
          </a:ln>
          <a:effectLst>
            <a:softEdge rad="31750"/>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800">
                <a:solidFill>
                  <a:schemeClr val="bg1">
                    <a:lumMod val="50000"/>
                  </a:schemeClr>
                </a:solidFill>
                <a:latin typeface="Segoe UI Black" panose="020B0A02040204020203" pitchFamily="34" charset="0"/>
                <a:ea typeface="Segoe UI Black" panose="020B0A02040204020203" pitchFamily="34" charset="0"/>
              </a:rPr>
              <a:t>Avg.</a:t>
            </a:r>
            <a:r>
              <a:rPr lang="en-US" sz="2800" baseline="0">
                <a:solidFill>
                  <a:schemeClr val="bg1">
                    <a:lumMod val="50000"/>
                  </a:schemeClr>
                </a:solidFill>
                <a:latin typeface="Segoe UI Black" panose="020B0A02040204020203" pitchFamily="34" charset="0"/>
                <a:ea typeface="Segoe UI Black" panose="020B0A02040204020203" pitchFamily="34" charset="0"/>
              </a:rPr>
              <a:t> Engagement rate</a:t>
            </a:r>
            <a:endParaRPr lang="en-US" sz="2800">
              <a:solidFill>
                <a:schemeClr val="bg1">
                  <a:lumMod val="50000"/>
                </a:schemeClr>
              </a:solidFill>
              <a:latin typeface="Segoe UI Black" panose="020B0A02040204020203" pitchFamily="34" charset="0"/>
              <a:ea typeface="Segoe UI Black" panose="020B0A02040204020203" pitchFamily="34" charset="0"/>
            </a:endParaRPr>
          </a:p>
        </xdr:txBody>
      </xdr:sp>
    </xdr:grpSp>
    <xdr:clientData/>
  </xdr:twoCellAnchor>
  <xdr:twoCellAnchor>
    <xdr:from>
      <xdr:col>11</xdr:col>
      <xdr:colOff>435463</xdr:colOff>
      <xdr:row>49</xdr:row>
      <xdr:rowOff>164330</xdr:rowOff>
    </xdr:from>
    <xdr:to>
      <xdr:col>19</xdr:col>
      <xdr:colOff>154131</xdr:colOff>
      <xdr:row>55</xdr:row>
      <xdr:rowOff>114992</xdr:rowOff>
    </xdr:to>
    <xdr:grpSp>
      <xdr:nvGrpSpPr>
        <xdr:cNvPr id="124" name="Group 123">
          <a:extLst>
            <a:ext uri="{FF2B5EF4-FFF2-40B4-BE49-F238E27FC236}">
              <a16:creationId xmlns:a16="http://schemas.microsoft.com/office/drawing/2014/main" id="{64130AAA-C729-4996-BE08-D282A7B8927B}"/>
            </a:ext>
          </a:extLst>
        </xdr:cNvPr>
        <xdr:cNvGrpSpPr/>
      </xdr:nvGrpSpPr>
      <xdr:grpSpPr>
        <a:xfrm>
          <a:off x="7141063" y="9125450"/>
          <a:ext cx="4595468" cy="1047942"/>
          <a:chOff x="7179163" y="9365480"/>
          <a:chExt cx="4595468" cy="1093662"/>
        </a:xfrm>
      </xdr:grpSpPr>
      <xdr:sp macro="" textlink="'Pivot tables'!G12">
        <xdr:nvSpPr>
          <xdr:cNvPr id="102" name="TextBox 101">
            <a:extLst>
              <a:ext uri="{FF2B5EF4-FFF2-40B4-BE49-F238E27FC236}">
                <a16:creationId xmlns:a16="http://schemas.microsoft.com/office/drawing/2014/main" id="{D966B46B-9FA2-4F63-86AE-5B4D201C2E02}"/>
              </a:ext>
            </a:extLst>
          </xdr:cNvPr>
          <xdr:cNvSpPr txBox="1"/>
        </xdr:nvSpPr>
        <xdr:spPr>
          <a:xfrm>
            <a:off x="8888539" y="9945520"/>
            <a:ext cx="1168129" cy="513622"/>
          </a:xfrm>
          <a:prstGeom prst="rect">
            <a:avLst/>
          </a:prstGeom>
          <a:noFill/>
          <a:ln w="9525" cmpd="sng">
            <a:noFill/>
          </a:ln>
          <a:effectLst>
            <a:softEdge rad="31750"/>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071AED62-A3DA-4E0D-BDCB-F12B4972C7D6}" type="TxLink">
              <a:rPr lang="en-US" sz="2400" b="0" i="0" u="none" strike="noStrike">
                <a:solidFill>
                  <a:schemeClr val="bg1">
                    <a:lumMod val="50000"/>
                  </a:schemeClr>
                </a:solidFill>
                <a:latin typeface="Segoe UI Black" panose="020B0A02040204020203" pitchFamily="34" charset="0"/>
                <a:ea typeface="Segoe UI Black" panose="020B0A02040204020203" pitchFamily="34" charset="0"/>
                <a:cs typeface="Calibri"/>
              </a:rPr>
              <a:pPr marL="0" indent="0"/>
              <a:t>612149</a:t>
            </a:fld>
            <a:endParaRPr lang="en-US" sz="2400" b="0" i="0" u="none" strike="noStrike">
              <a:solidFill>
                <a:schemeClr val="bg1">
                  <a:lumMod val="50000"/>
                </a:schemeClr>
              </a:solidFill>
              <a:latin typeface="Segoe UI Black" panose="020B0A02040204020203" pitchFamily="34" charset="0"/>
              <a:ea typeface="Segoe UI Black" panose="020B0A02040204020203" pitchFamily="34" charset="0"/>
              <a:cs typeface="Calibri"/>
            </a:endParaRPr>
          </a:p>
        </xdr:txBody>
      </xdr:sp>
      <xdr:sp macro="" textlink="'Pivot tables'!B15">
        <xdr:nvSpPr>
          <xdr:cNvPr id="103" name="TextBox 102">
            <a:extLst>
              <a:ext uri="{FF2B5EF4-FFF2-40B4-BE49-F238E27FC236}">
                <a16:creationId xmlns:a16="http://schemas.microsoft.com/office/drawing/2014/main" id="{F77F6F8A-907C-47EE-9813-B59B54F8DBFF}"/>
              </a:ext>
            </a:extLst>
          </xdr:cNvPr>
          <xdr:cNvSpPr txBox="1"/>
        </xdr:nvSpPr>
        <xdr:spPr>
          <a:xfrm>
            <a:off x="7179163" y="9365480"/>
            <a:ext cx="4595468" cy="562865"/>
          </a:xfrm>
          <a:prstGeom prst="rect">
            <a:avLst/>
          </a:prstGeom>
          <a:noFill/>
          <a:ln w="9525" cmpd="sng">
            <a:noFill/>
          </a:ln>
          <a:effectLst>
            <a:softEdge rad="31750"/>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800">
                <a:solidFill>
                  <a:schemeClr val="bg1">
                    <a:lumMod val="50000"/>
                  </a:schemeClr>
                </a:solidFill>
                <a:latin typeface="Segoe UI Black" panose="020B0A02040204020203" pitchFamily="34" charset="0"/>
                <a:ea typeface="Segoe UI Black" panose="020B0A02040204020203" pitchFamily="34" charset="0"/>
              </a:rPr>
              <a:t>Total</a:t>
            </a:r>
            <a:r>
              <a:rPr lang="en-US" sz="2800" baseline="0">
                <a:solidFill>
                  <a:schemeClr val="bg1">
                    <a:lumMod val="50000"/>
                  </a:schemeClr>
                </a:solidFill>
                <a:latin typeface="Segoe UI Black" panose="020B0A02040204020203" pitchFamily="34" charset="0"/>
                <a:ea typeface="Segoe UI Black" panose="020B0A02040204020203" pitchFamily="34" charset="0"/>
              </a:rPr>
              <a:t> Impressions</a:t>
            </a:r>
            <a:endParaRPr lang="en-US" sz="2800">
              <a:solidFill>
                <a:schemeClr val="bg1">
                  <a:lumMod val="50000"/>
                </a:schemeClr>
              </a:solidFill>
              <a:latin typeface="Segoe UI Black" panose="020B0A02040204020203" pitchFamily="34" charset="0"/>
              <a:ea typeface="Segoe UI Black" panose="020B0A02040204020203" pitchFamily="34" charset="0"/>
            </a:endParaRPr>
          </a:p>
        </xdr:txBody>
      </xdr:sp>
    </xdr:grpSp>
    <xdr:clientData/>
  </xdr:twoCellAnchor>
  <xdr:twoCellAnchor>
    <xdr:from>
      <xdr:col>20</xdr:col>
      <xdr:colOff>520327</xdr:colOff>
      <xdr:row>36</xdr:row>
      <xdr:rowOff>133154</xdr:rowOff>
    </xdr:from>
    <xdr:to>
      <xdr:col>28</xdr:col>
      <xdr:colOff>294413</xdr:colOff>
      <xdr:row>42</xdr:row>
      <xdr:rowOff>24934</xdr:rowOff>
    </xdr:to>
    <xdr:grpSp>
      <xdr:nvGrpSpPr>
        <xdr:cNvPr id="132" name="Group 131">
          <a:extLst>
            <a:ext uri="{FF2B5EF4-FFF2-40B4-BE49-F238E27FC236}">
              <a16:creationId xmlns:a16="http://schemas.microsoft.com/office/drawing/2014/main" id="{D2DEB2A3-9A1D-49C6-A2D8-79F04AE344EF}"/>
            </a:ext>
          </a:extLst>
        </xdr:cNvPr>
        <xdr:cNvGrpSpPr/>
      </xdr:nvGrpSpPr>
      <xdr:grpSpPr>
        <a:xfrm>
          <a:off x="12712327" y="6716834"/>
          <a:ext cx="4650886" cy="989060"/>
          <a:chOff x="12712327" y="6991154"/>
          <a:chExt cx="4650886" cy="1034780"/>
        </a:xfrm>
      </xdr:grpSpPr>
      <xdr:sp macro="" textlink="'Pivot tables'!D13">
        <xdr:nvSpPr>
          <xdr:cNvPr id="105" name="TextBox 104">
            <a:extLst>
              <a:ext uri="{FF2B5EF4-FFF2-40B4-BE49-F238E27FC236}">
                <a16:creationId xmlns:a16="http://schemas.microsoft.com/office/drawing/2014/main" id="{CC66B874-685D-4200-AAF9-C71A930CCE35}"/>
              </a:ext>
            </a:extLst>
          </xdr:cNvPr>
          <xdr:cNvSpPr txBox="1"/>
        </xdr:nvSpPr>
        <xdr:spPr>
          <a:xfrm>
            <a:off x="14338572" y="7499042"/>
            <a:ext cx="1328841" cy="526892"/>
          </a:xfrm>
          <a:prstGeom prst="rect">
            <a:avLst/>
          </a:prstGeom>
          <a:noFill/>
          <a:ln w="9525" cmpd="sng">
            <a:noFill/>
          </a:ln>
          <a:effectLst>
            <a:softEdge rad="31750"/>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7E5C8BD9-E16F-468A-9119-856FE3B4A755}" type="TxLink">
              <a:rPr lang="en-US" sz="2400" b="0" i="0" u="none" strike="noStrike">
                <a:solidFill>
                  <a:schemeClr val="bg1">
                    <a:lumMod val="50000"/>
                  </a:schemeClr>
                </a:solidFill>
                <a:latin typeface="Segoe UI Black" panose="020B0A02040204020203" pitchFamily="34" charset="0"/>
                <a:ea typeface="Segoe UI Black" panose="020B0A02040204020203" pitchFamily="34" charset="0"/>
                <a:cs typeface="Calibri"/>
              </a:rPr>
              <a:pPr marL="0" indent="0" algn="ctr"/>
              <a:t> 54,101 </a:t>
            </a:fld>
            <a:endParaRPr lang="en-US" sz="2400" b="0" i="0" u="none" strike="noStrike">
              <a:solidFill>
                <a:schemeClr val="bg1">
                  <a:lumMod val="50000"/>
                </a:schemeClr>
              </a:solidFill>
              <a:latin typeface="Segoe UI Black" panose="020B0A02040204020203" pitchFamily="34" charset="0"/>
              <a:ea typeface="Segoe UI Black" panose="020B0A02040204020203" pitchFamily="34" charset="0"/>
              <a:cs typeface="Calibri"/>
            </a:endParaRPr>
          </a:p>
        </xdr:txBody>
      </xdr:sp>
      <xdr:sp macro="" textlink="'Pivot tables'!B15">
        <xdr:nvSpPr>
          <xdr:cNvPr id="106" name="TextBox 105">
            <a:extLst>
              <a:ext uri="{FF2B5EF4-FFF2-40B4-BE49-F238E27FC236}">
                <a16:creationId xmlns:a16="http://schemas.microsoft.com/office/drawing/2014/main" id="{F6AD43AE-EE7A-4C45-8297-4BEDD01AF0FF}"/>
              </a:ext>
            </a:extLst>
          </xdr:cNvPr>
          <xdr:cNvSpPr txBox="1"/>
        </xdr:nvSpPr>
        <xdr:spPr>
          <a:xfrm>
            <a:off x="12712327" y="6991154"/>
            <a:ext cx="4650886" cy="521723"/>
          </a:xfrm>
          <a:prstGeom prst="rect">
            <a:avLst/>
          </a:prstGeom>
          <a:noFill/>
          <a:ln w="9525" cmpd="sng">
            <a:noFill/>
          </a:ln>
          <a:effectLst>
            <a:softEdge rad="31750"/>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800">
                <a:solidFill>
                  <a:schemeClr val="bg1">
                    <a:lumMod val="50000"/>
                  </a:schemeClr>
                </a:solidFill>
                <a:latin typeface="Segoe UI Black" panose="020B0A02040204020203" pitchFamily="34" charset="0"/>
                <a:ea typeface="Segoe UI Black" panose="020B0A02040204020203" pitchFamily="34" charset="0"/>
              </a:rPr>
              <a:t>Total Reactions</a:t>
            </a:r>
          </a:p>
        </xdr:txBody>
      </xdr:sp>
    </xdr:grpSp>
    <xdr:clientData/>
  </xdr:twoCellAnchor>
  <xdr:twoCellAnchor>
    <xdr:from>
      <xdr:col>21</xdr:col>
      <xdr:colOff>21558</xdr:colOff>
      <xdr:row>42</xdr:row>
      <xdr:rowOff>174720</xdr:rowOff>
    </xdr:from>
    <xdr:to>
      <xdr:col>28</xdr:col>
      <xdr:colOff>349826</xdr:colOff>
      <xdr:row>48</xdr:row>
      <xdr:rowOff>149629</xdr:rowOff>
    </xdr:to>
    <xdr:grpSp>
      <xdr:nvGrpSpPr>
        <xdr:cNvPr id="126" name="Group 125">
          <a:extLst>
            <a:ext uri="{FF2B5EF4-FFF2-40B4-BE49-F238E27FC236}">
              <a16:creationId xmlns:a16="http://schemas.microsoft.com/office/drawing/2014/main" id="{A3CC948C-C934-44D4-833E-E607D9AD4811}"/>
            </a:ext>
          </a:extLst>
        </xdr:cNvPr>
        <xdr:cNvGrpSpPr/>
      </xdr:nvGrpSpPr>
      <xdr:grpSpPr>
        <a:xfrm>
          <a:off x="12823158" y="7855680"/>
          <a:ext cx="4595468" cy="1072189"/>
          <a:chOff x="12823158" y="8175720"/>
          <a:chExt cx="4595468" cy="1117909"/>
        </a:xfrm>
      </xdr:grpSpPr>
      <xdr:sp macro="" textlink="'Pivot tables'!E13">
        <xdr:nvSpPr>
          <xdr:cNvPr id="108" name="TextBox 107">
            <a:extLst>
              <a:ext uri="{FF2B5EF4-FFF2-40B4-BE49-F238E27FC236}">
                <a16:creationId xmlns:a16="http://schemas.microsoft.com/office/drawing/2014/main" id="{935C5FDE-E8F6-468A-9F0A-523D93C40606}"/>
              </a:ext>
            </a:extLst>
          </xdr:cNvPr>
          <xdr:cNvSpPr txBox="1"/>
        </xdr:nvSpPr>
        <xdr:spPr>
          <a:xfrm>
            <a:off x="14768061" y="8769237"/>
            <a:ext cx="641657" cy="524392"/>
          </a:xfrm>
          <a:prstGeom prst="rect">
            <a:avLst/>
          </a:prstGeom>
          <a:noFill/>
          <a:ln w="9525" cmpd="sng">
            <a:noFill/>
          </a:ln>
          <a:effectLst>
            <a:softEdge rad="31750"/>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E84B84AA-5BD4-4C81-A85A-F09404E7CABF}" type="TxLink">
              <a:rPr lang="en-US" sz="2400" b="0" i="0" u="none" strike="noStrike">
                <a:solidFill>
                  <a:schemeClr val="bg1">
                    <a:lumMod val="50000"/>
                  </a:schemeClr>
                </a:solidFill>
                <a:latin typeface="Segoe UI Black" panose="020B0A02040204020203" pitchFamily="34" charset="0"/>
                <a:ea typeface="Segoe UI Black" panose="020B0A02040204020203" pitchFamily="34" charset="0"/>
                <a:cs typeface="Calibri"/>
              </a:rPr>
              <a:pPr marL="0" indent="0"/>
              <a:t>2%</a:t>
            </a:fld>
            <a:endParaRPr lang="en-US" sz="2400" b="0" i="0" u="none" strike="noStrike">
              <a:solidFill>
                <a:schemeClr val="bg1">
                  <a:lumMod val="50000"/>
                </a:schemeClr>
              </a:solidFill>
              <a:latin typeface="Segoe UI Black" panose="020B0A02040204020203" pitchFamily="34" charset="0"/>
              <a:ea typeface="Segoe UI Black" panose="020B0A02040204020203" pitchFamily="34" charset="0"/>
              <a:cs typeface="Calibri"/>
            </a:endParaRPr>
          </a:p>
        </xdr:txBody>
      </xdr:sp>
      <xdr:sp macro="" textlink="'Pivot tables'!B15">
        <xdr:nvSpPr>
          <xdr:cNvPr id="109" name="TextBox 108">
            <a:extLst>
              <a:ext uri="{FF2B5EF4-FFF2-40B4-BE49-F238E27FC236}">
                <a16:creationId xmlns:a16="http://schemas.microsoft.com/office/drawing/2014/main" id="{3F8BBA1F-5355-4BCA-88EE-62E3E5334572}"/>
              </a:ext>
            </a:extLst>
          </xdr:cNvPr>
          <xdr:cNvSpPr txBox="1"/>
        </xdr:nvSpPr>
        <xdr:spPr>
          <a:xfrm>
            <a:off x="12823158" y="8175720"/>
            <a:ext cx="4595468" cy="563273"/>
          </a:xfrm>
          <a:prstGeom prst="rect">
            <a:avLst/>
          </a:prstGeom>
          <a:noFill/>
          <a:ln w="9525" cmpd="sng">
            <a:noFill/>
          </a:ln>
          <a:effectLst>
            <a:softEdge rad="31750"/>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800">
                <a:solidFill>
                  <a:schemeClr val="bg1">
                    <a:lumMod val="50000"/>
                  </a:schemeClr>
                </a:solidFill>
                <a:latin typeface="Segoe UI Black" panose="020B0A02040204020203" pitchFamily="34" charset="0"/>
                <a:ea typeface="Segoe UI Black" panose="020B0A02040204020203" pitchFamily="34" charset="0"/>
              </a:rPr>
              <a:t>Avg.</a:t>
            </a:r>
            <a:r>
              <a:rPr lang="en-US" sz="2800" baseline="0">
                <a:solidFill>
                  <a:schemeClr val="bg1">
                    <a:lumMod val="50000"/>
                  </a:schemeClr>
                </a:solidFill>
                <a:latin typeface="Segoe UI Black" panose="020B0A02040204020203" pitchFamily="34" charset="0"/>
                <a:ea typeface="Segoe UI Black" panose="020B0A02040204020203" pitchFamily="34" charset="0"/>
              </a:rPr>
              <a:t> Engagement rate</a:t>
            </a:r>
            <a:endParaRPr lang="en-US" sz="2800">
              <a:solidFill>
                <a:schemeClr val="bg1">
                  <a:lumMod val="50000"/>
                </a:schemeClr>
              </a:solidFill>
              <a:latin typeface="Segoe UI Black" panose="020B0A02040204020203" pitchFamily="34" charset="0"/>
              <a:ea typeface="Segoe UI Black" panose="020B0A02040204020203" pitchFamily="34" charset="0"/>
            </a:endParaRPr>
          </a:p>
        </xdr:txBody>
      </xdr:sp>
    </xdr:grpSp>
    <xdr:clientData/>
  </xdr:twoCellAnchor>
  <xdr:twoCellAnchor>
    <xdr:from>
      <xdr:col>21</xdr:col>
      <xdr:colOff>35413</xdr:colOff>
      <xdr:row>49</xdr:row>
      <xdr:rowOff>50030</xdr:rowOff>
    </xdr:from>
    <xdr:to>
      <xdr:col>28</xdr:col>
      <xdr:colOff>363681</xdr:colOff>
      <xdr:row>55</xdr:row>
      <xdr:rowOff>38792</xdr:rowOff>
    </xdr:to>
    <xdr:grpSp>
      <xdr:nvGrpSpPr>
        <xdr:cNvPr id="127" name="Group 126">
          <a:extLst>
            <a:ext uri="{FF2B5EF4-FFF2-40B4-BE49-F238E27FC236}">
              <a16:creationId xmlns:a16="http://schemas.microsoft.com/office/drawing/2014/main" id="{5346C6BD-B2DB-423F-98DE-71FC28FC5024}"/>
            </a:ext>
          </a:extLst>
        </xdr:cNvPr>
        <xdr:cNvGrpSpPr/>
      </xdr:nvGrpSpPr>
      <xdr:grpSpPr>
        <a:xfrm>
          <a:off x="12837013" y="9011150"/>
          <a:ext cx="4595468" cy="1086042"/>
          <a:chOff x="12837013" y="9384530"/>
          <a:chExt cx="4595468" cy="1131762"/>
        </a:xfrm>
      </xdr:grpSpPr>
      <xdr:sp macro="" textlink="'Pivot tables'!G13">
        <xdr:nvSpPr>
          <xdr:cNvPr id="111" name="TextBox 110">
            <a:extLst>
              <a:ext uri="{FF2B5EF4-FFF2-40B4-BE49-F238E27FC236}">
                <a16:creationId xmlns:a16="http://schemas.microsoft.com/office/drawing/2014/main" id="{67A06FCB-53D5-4EC0-98E9-DFD7F99991B3}"/>
              </a:ext>
            </a:extLst>
          </xdr:cNvPr>
          <xdr:cNvSpPr txBox="1"/>
        </xdr:nvSpPr>
        <xdr:spPr>
          <a:xfrm>
            <a:off x="14477116" y="9992279"/>
            <a:ext cx="1168129" cy="524013"/>
          </a:xfrm>
          <a:prstGeom prst="rect">
            <a:avLst/>
          </a:prstGeom>
          <a:noFill/>
          <a:ln w="9525" cmpd="sng">
            <a:noFill/>
          </a:ln>
          <a:effectLst>
            <a:softEdge rad="31750"/>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F2F72FE7-5EE7-49AA-BB06-347C3858BBE3}" type="TxLink">
              <a:rPr lang="en-US" sz="2400" b="0" i="0" u="none" strike="noStrike">
                <a:solidFill>
                  <a:schemeClr val="bg1">
                    <a:lumMod val="50000"/>
                  </a:schemeClr>
                </a:solidFill>
                <a:latin typeface="Segoe UI Black" panose="020B0A02040204020203" pitchFamily="34" charset="0"/>
                <a:ea typeface="Segoe UI Black" panose="020B0A02040204020203" pitchFamily="34" charset="0"/>
                <a:cs typeface="Calibri"/>
              </a:rPr>
              <a:pPr marL="0" indent="0"/>
              <a:t>466294</a:t>
            </a:fld>
            <a:endParaRPr lang="en-US" sz="2400" b="0" i="0" u="none" strike="noStrike">
              <a:solidFill>
                <a:schemeClr val="bg1">
                  <a:lumMod val="50000"/>
                </a:schemeClr>
              </a:solidFill>
              <a:latin typeface="Segoe UI Black" panose="020B0A02040204020203" pitchFamily="34" charset="0"/>
              <a:ea typeface="Segoe UI Black" panose="020B0A02040204020203" pitchFamily="34" charset="0"/>
              <a:cs typeface="Calibri"/>
            </a:endParaRPr>
          </a:p>
        </xdr:txBody>
      </xdr:sp>
      <xdr:sp macro="" textlink="'Pivot tables'!B15">
        <xdr:nvSpPr>
          <xdr:cNvPr id="112" name="TextBox 111">
            <a:extLst>
              <a:ext uri="{FF2B5EF4-FFF2-40B4-BE49-F238E27FC236}">
                <a16:creationId xmlns:a16="http://schemas.microsoft.com/office/drawing/2014/main" id="{22DABF0A-D013-406F-BF98-02B8CBD118EC}"/>
              </a:ext>
            </a:extLst>
          </xdr:cNvPr>
          <xdr:cNvSpPr txBox="1"/>
        </xdr:nvSpPr>
        <xdr:spPr>
          <a:xfrm>
            <a:off x="12837013" y="9384530"/>
            <a:ext cx="4595468" cy="562865"/>
          </a:xfrm>
          <a:prstGeom prst="rect">
            <a:avLst/>
          </a:prstGeom>
          <a:noFill/>
          <a:ln w="9525" cmpd="sng">
            <a:noFill/>
          </a:ln>
          <a:effectLst>
            <a:softEdge rad="31750"/>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800">
                <a:solidFill>
                  <a:schemeClr val="bg1">
                    <a:lumMod val="50000"/>
                  </a:schemeClr>
                </a:solidFill>
                <a:latin typeface="Segoe UI Black" panose="020B0A02040204020203" pitchFamily="34" charset="0"/>
                <a:ea typeface="Segoe UI Black" panose="020B0A02040204020203" pitchFamily="34" charset="0"/>
              </a:rPr>
              <a:t>Total</a:t>
            </a:r>
            <a:r>
              <a:rPr lang="en-US" sz="2800" baseline="0">
                <a:solidFill>
                  <a:schemeClr val="bg1">
                    <a:lumMod val="50000"/>
                  </a:schemeClr>
                </a:solidFill>
                <a:latin typeface="Segoe UI Black" panose="020B0A02040204020203" pitchFamily="34" charset="0"/>
                <a:ea typeface="Segoe UI Black" panose="020B0A02040204020203" pitchFamily="34" charset="0"/>
              </a:rPr>
              <a:t> Impressions</a:t>
            </a:r>
            <a:endParaRPr lang="en-US" sz="2800">
              <a:solidFill>
                <a:schemeClr val="bg1">
                  <a:lumMod val="50000"/>
                </a:schemeClr>
              </a:solidFill>
              <a:latin typeface="Segoe UI Black" panose="020B0A02040204020203" pitchFamily="34" charset="0"/>
              <a:ea typeface="Segoe UI Black" panose="020B0A02040204020203" pitchFamily="34" charset="0"/>
            </a:endParaRPr>
          </a:p>
        </xdr:txBody>
      </xdr:sp>
    </xdr:grpSp>
    <xdr:clientData/>
  </xdr:twoCellAnchor>
  <xdr:twoCellAnchor>
    <xdr:from>
      <xdr:col>30</xdr:col>
      <xdr:colOff>161840</xdr:colOff>
      <xdr:row>36</xdr:row>
      <xdr:rowOff>119300</xdr:rowOff>
    </xdr:from>
    <xdr:to>
      <xdr:col>37</xdr:col>
      <xdr:colOff>545526</xdr:colOff>
      <xdr:row>42</xdr:row>
      <xdr:rowOff>11080</xdr:rowOff>
    </xdr:to>
    <xdr:grpSp>
      <xdr:nvGrpSpPr>
        <xdr:cNvPr id="131" name="Group 130">
          <a:extLst>
            <a:ext uri="{FF2B5EF4-FFF2-40B4-BE49-F238E27FC236}">
              <a16:creationId xmlns:a16="http://schemas.microsoft.com/office/drawing/2014/main" id="{22112732-F1D6-43F5-9D26-0292769277BC}"/>
            </a:ext>
          </a:extLst>
        </xdr:cNvPr>
        <xdr:cNvGrpSpPr/>
      </xdr:nvGrpSpPr>
      <xdr:grpSpPr>
        <a:xfrm>
          <a:off x="18449840" y="6702980"/>
          <a:ext cx="4650886" cy="989060"/>
          <a:chOff x="18449840" y="6977300"/>
          <a:chExt cx="4650886" cy="1034780"/>
        </a:xfrm>
      </xdr:grpSpPr>
      <xdr:sp macro="" textlink="'Pivot tables'!D14">
        <xdr:nvSpPr>
          <xdr:cNvPr id="114" name="TextBox 113">
            <a:extLst>
              <a:ext uri="{FF2B5EF4-FFF2-40B4-BE49-F238E27FC236}">
                <a16:creationId xmlns:a16="http://schemas.microsoft.com/office/drawing/2014/main" id="{DDD3AFB8-90B9-408B-A877-6EDBA93BDB6A}"/>
              </a:ext>
            </a:extLst>
          </xdr:cNvPr>
          <xdr:cNvSpPr txBox="1"/>
        </xdr:nvSpPr>
        <xdr:spPr>
          <a:xfrm>
            <a:off x="20076085" y="7485188"/>
            <a:ext cx="1328841" cy="526892"/>
          </a:xfrm>
          <a:prstGeom prst="rect">
            <a:avLst/>
          </a:prstGeom>
          <a:noFill/>
          <a:ln w="9525" cmpd="sng">
            <a:noFill/>
          </a:ln>
          <a:effectLst>
            <a:softEdge rad="31750"/>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93CDED5E-41A2-4B49-95EA-1B06D3156F32}" type="TxLink">
              <a:rPr lang="en-US" sz="2400" b="0" i="0" u="none" strike="noStrike">
                <a:solidFill>
                  <a:schemeClr val="bg1">
                    <a:lumMod val="50000"/>
                  </a:schemeClr>
                </a:solidFill>
                <a:latin typeface="Segoe UI Black" panose="020B0A02040204020203" pitchFamily="34" charset="0"/>
                <a:ea typeface="Segoe UI Black" panose="020B0A02040204020203" pitchFamily="34" charset="0"/>
                <a:cs typeface="Calibri"/>
              </a:rPr>
              <a:pPr marL="0" indent="0" algn="ctr"/>
              <a:t> 75,811 </a:t>
            </a:fld>
            <a:endParaRPr lang="en-US" sz="2400" b="0" i="0" u="none" strike="noStrike">
              <a:solidFill>
                <a:schemeClr val="bg1">
                  <a:lumMod val="50000"/>
                </a:schemeClr>
              </a:solidFill>
              <a:latin typeface="Segoe UI Black" panose="020B0A02040204020203" pitchFamily="34" charset="0"/>
              <a:ea typeface="Segoe UI Black" panose="020B0A02040204020203" pitchFamily="34" charset="0"/>
              <a:cs typeface="Calibri"/>
            </a:endParaRPr>
          </a:p>
        </xdr:txBody>
      </xdr:sp>
      <xdr:sp macro="" textlink="'Pivot tables'!B15">
        <xdr:nvSpPr>
          <xdr:cNvPr id="115" name="TextBox 114">
            <a:extLst>
              <a:ext uri="{FF2B5EF4-FFF2-40B4-BE49-F238E27FC236}">
                <a16:creationId xmlns:a16="http://schemas.microsoft.com/office/drawing/2014/main" id="{8645AB11-BDA9-41B4-BC27-E5812368D214}"/>
              </a:ext>
            </a:extLst>
          </xdr:cNvPr>
          <xdr:cNvSpPr txBox="1"/>
        </xdr:nvSpPr>
        <xdr:spPr>
          <a:xfrm>
            <a:off x="18449840" y="6977300"/>
            <a:ext cx="4650886" cy="521723"/>
          </a:xfrm>
          <a:prstGeom prst="rect">
            <a:avLst/>
          </a:prstGeom>
          <a:noFill/>
          <a:ln w="9525" cmpd="sng">
            <a:noFill/>
          </a:ln>
          <a:effectLst>
            <a:softEdge rad="31750"/>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800">
                <a:solidFill>
                  <a:schemeClr val="bg1">
                    <a:lumMod val="50000"/>
                  </a:schemeClr>
                </a:solidFill>
                <a:latin typeface="Segoe UI Black" panose="020B0A02040204020203" pitchFamily="34" charset="0"/>
                <a:ea typeface="Segoe UI Black" panose="020B0A02040204020203" pitchFamily="34" charset="0"/>
              </a:rPr>
              <a:t>Total Reactions</a:t>
            </a:r>
          </a:p>
        </xdr:txBody>
      </xdr:sp>
    </xdr:grpSp>
    <xdr:clientData/>
  </xdr:twoCellAnchor>
  <xdr:twoCellAnchor>
    <xdr:from>
      <xdr:col>30</xdr:col>
      <xdr:colOff>272671</xdr:colOff>
      <xdr:row>42</xdr:row>
      <xdr:rowOff>160866</xdr:rowOff>
    </xdr:from>
    <xdr:to>
      <xdr:col>37</xdr:col>
      <xdr:colOff>600939</xdr:colOff>
      <xdr:row>48</xdr:row>
      <xdr:rowOff>135775</xdr:rowOff>
    </xdr:to>
    <xdr:grpSp>
      <xdr:nvGrpSpPr>
        <xdr:cNvPr id="129" name="Group 128">
          <a:extLst>
            <a:ext uri="{FF2B5EF4-FFF2-40B4-BE49-F238E27FC236}">
              <a16:creationId xmlns:a16="http://schemas.microsoft.com/office/drawing/2014/main" id="{35015DC3-FB85-433F-BB26-2785BFBA69B2}"/>
            </a:ext>
          </a:extLst>
        </xdr:cNvPr>
        <xdr:cNvGrpSpPr/>
      </xdr:nvGrpSpPr>
      <xdr:grpSpPr>
        <a:xfrm>
          <a:off x="18560671" y="7841826"/>
          <a:ext cx="4595468" cy="1072189"/>
          <a:chOff x="18560671" y="8161866"/>
          <a:chExt cx="4595468" cy="1117909"/>
        </a:xfrm>
      </xdr:grpSpPr>
      <xdr:sp macro="" textlink="'Pivot tables'!E14">
        <xdr:nvSpPr>
          <xdr:cNvPr id="117" name="TextBox 116">
            <a:extLst>
              <a:ext uri="{FF2B5EF4-FFF2-40B4-BE49-F238E27FC236}">
                <a16:creationId xmlns:a16="http://schemas.microsoft.com/office/drawing/2014/main" id="{324610A0-4400-467F-B862-9EB3FC8AC836}"/>
              </a:ext>
            </a:extLst>
          </xdr:cNvPr>
          <xdr:cNvSpPr txBox="1"/>
        </xdr:nvSpPr>
        <xdr:spPr>
          <a:xfrm>
            <a:off x="20505574" y="8755383"/>
            <a:ext cx="641657" cy="524392"/>
          </a:xfrm>
          <a:prstGeom prst="rect">
            <a:avLst/>
          </a:prstGeom>
          <a:noFill/>
          <a:ln w="9525" cmpd="sng">
            <a:noFill/>
          </a:ln>
          <a:effectLst>
            <a:softEdge rad="31750"/>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7DA952AF-E5ED-465F-BA7B-31A118AF5544}" type="TxLink">
              <a:rPr lang="en-US" sz="2400" b="0" i="0" u="none" strike="noStrike">
                <a:solidFill>
                  <a:schemeClr val="bg1">
                    <a:lumMod val="50000"/>
                  </a:schemeClr>
                </a:solidFill>
                <a:latin typeface="Segoe UI Black" panose="020B0A02040204020203" pitchFamily="34" charset="0"/>
                <a:ea typeface="Segoe UI Black" panose="020B0A02040204020203" pitchFamily="34" charset="0"/>
                <a:cs typeface="Calibri"/>
              </a:rPr>
              <a:pPr marL="0" indent="0"/>
              <a:t>3%</a:t>
            </a:fld>
            <a:endParaRPr lang="en-US" sz="2400" b="0" i="0" u="none" strike="noStrike">
              <a:solidFill>
                <a:schemeClr val="bg1">
                  <a:lumMod val="50000"/>
                </a:schemeClr>
              </a:solidFill>
              <a:latin typeface="Segoe UI Black" panose="020B0A02040204020203" pitchFamily="34" charset="0"/>
              <a:ea typeface="Segoe UI Black" panose="020B0A02040204020203" pitchFamily="34" charset="0"/>
              <a:cs typeface="Calibri"/>
            </a:endParaRPr>
          </a:p>
        </xdr:txBody>
      </xdr:sp>
      <xdr:sp macro="" textlink="'Pivot tables'!B15">
        <xdr:nvSpPr>
          <xdr:cNvPr id="118" name="TextBox 117">
            <a:extLst>
              <a:ext uri="{FF2B5EF4-FFF2-40B4-BE49-F238E27FC236}">
                <a16:creationId xmlns:a16="http://schemas.microsoft.com/office/drawing/2014/main" id="{5CC35C2F-E585-41C4-A8AB-9DC5148F4EA0}"/>
              </a:ext>
            </a:extLst>
          </xdr:cNvPr>
          <xdr:cNvSpPr txBox="1"/>
        </xdr:nvSpPr>
        <xdr:spPr>
          <a:xfrm>
            <a:off x="18560671" y="8161866"/>
            <a:ext cx="4595468" cy="563273"/>
          </a:xfrm>
          <a:prstGeom prst="rect">
            <a:avLst/>
          </a:prstGeom>
          <a:noFill/>
          <a:ln w="9525" cmpd="sng">
            <a:noFill/>
          </a:ln>
          <a:effectLst>
            <a:softEdge rad="31750"/>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800">
                <a:solidFill>
                  <a:schemeClr val="bg1">
                    <a:lumMod val="50000"/>
                  </a:schemeClr>
                </a:solidFill>
                <a:latin typeface="Segoe UI Black" panose="020B0A02040204020203" pitchFamily="34" charset="0"/>
                <a:ea typeface="Segoe UI Black" panose="020B0A02040204020203" pitchFamily="34" charset="0"/>
              </a:rPr>
              <a:t>Avg.</a:t>
            </a:r>
            <a:r>
              <a:rPr lang="en-US" sz="2800" baseline="0">
                <a:solidFill>
                  <a:schemeClr val="bg1">
                    <a:lumMod val="50000"/>
                  </a:schemeClr>
                </a:solidFill>
                <a:latin typeface="Segoe UI Black" panose="020B0A02040204020203" pitchFamily="34" charset="0"/>
                <a:ea typeface="Segoe UI Black" panose="020B0A02040204020203" pitchFamily="34" charset="0"/>
              </a:rPr>
              <a:t> Engagement rate</a:t>
            </a:r>
            <a:endParaRPr lang="en-US" sz="2800">
              <a:solidFill>
                <a:schemeClr val="bg1">
                  <a:lumMod val="50000"/>
                </a:schemeClr>
              </a:solidFill>
              <a:latin typeface="Segoe UI Black" panose="020B0A02040204020203" pitchFamily="34" charset="0"/>
              <a:ea typeface="Segoe UI Black" panose="020B0A02040204020203" pitchFamily="34" charset="0"/>
            </a:endParaRPr>
          </a:p>
        </xdr:txBody>
      </xdr:sp>
    </xdr:grpSp>
    <xdr:clientData/>
  </xdr:twoCellAnchor>
  <xdr:twoCellAnchor>
    <xdr:from>
      <xdr:col>30</xdr:col>
      <xdr:colOff>286526</xdr:colOff>
      <xdr:row>49</xdr:row>
      <xdr:rowOff>36176</xdr:rowOff>
    </xdr:from>
    <xdr:to>
      <xdr:col>38</xdr:col>
      <xdr:colOff>5194</xdr:colOff>
      <xdr:row>55</xdr:row>
      <xdr:rowOff>11083</xdr:rowOff>
    </xdr:to>
    <xdr:grpSp>
      <xdr:nvGrpSpPr>
        <xdr:cNvPr id="130" name="Group 129">
          <a:extLst>
            <a:ext uri="{FF2B5EF4-FFF2-40B4-BE49-F238E27FC236}">
              <a16:creationId xmlns:a16="http://schemas.microsoft.com/office/drawing/2014/main" id="{5FDEBD5A-7220-4FD7-A0A6-962B82E15E96}"/>
            </a:ext>
          </a:extLst>
        </xdr:cNvPr>
        <xdr:cNvGrpSpPr/>
      </xdr:nvGrpSpPr>
      <xdr:grpSpPr>
        <a:xfrm>
          <a:off x="18574526" y="8997296"/>
          <a:ext cx="4595468" cy="1072187"/>
          <a:chOff x="18574526" y="9370676"/>
          <a:chExt cx="4595468" cy="1117907"/>
        </a:xfrm>
      </xdr:grpSpPr>
      <xdr:sp macro="" textlink="'Pivot tables'!G14">
        <xdr:nvSpPr>
          <xdr:cNvPr id="120" name="TextBox 119">
            <a:extLst>
              <a:ext uri="{FF2B5EF4-FFF2-40B4-BE49-F238E27FC236}">
                <a16:creationId xmlns:a16="http://schemas.microsoft.com/office/drawing/2014/main" id="{D76777B2-053D-4D59-802B-81B8D04FE15C}"/>
              </a:ext>
            </a:extLst>
          </xdr:cNvPr>
          <xdr:cNvSpPr txBox="1"/>
        </xdr:nvSpPr>
        <xdr:spPr>
          <a:xfrm>
            <a:off x="20283902" y="9964570"/>
            <a:ext cx="1168129" cy="524013"/>
          </a:xfrm>
          <a:prstGeom prst="rect">
            <a:avLst/>
          </a:prstGeom>
          <a:noFill/>
          <a:ln w="9525" cmpd="sng">
            <a:noFill/>
          </a:ln>
          <a:effectLst>
            <a:softEdge rad="31750"/>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17598936-8160-4041-9E54-5785BC0759F2}" type="TxLink">
              <a:rPr lang="en-US" sz="2400" b="0" i="0" u="none" strike="noStrike">
                <a:solidFill>
                  <a:schemeClr val="bg1">
                    <a:lumMod val="50000"/>
                  </a:schemeClr>
                </a:solidFill>
                <a:latin typeface="Segoe UI Black" panose="020B0A02040204020203" pitchFamily="34" charset="0"/>
                <a:ea typeface="Segoe UI Black" panose="020B0A02040204020203" pitchFamily="34" charset="0"/>
                <a:cs typeface="Calibri"/>
              </a:rPr>
              <a:pPr marL="0" indent="0"/>
              <a:t>737589</a:t>
            </a:fld>
            <a:endParaRPr lang="en-US" sz="2400" b="0" i="0" u="none" strike="noStrike">
              <a:solidFill>
                <a:schemeClr val="bg1">
                  <a:lumMod val="50000"/>
                </a:schemeClr>
              </a:solidFill>
              <a:latin typeface="Segoe UI Black" panose="020B0A02040204020203" pitchFamily="34" charset="0"/>
              <a:ea typeface="Segoe UI Black" panose="020B0A02040204020203" pitchFamily="34" charset="0"/>
              <a:cs typeface="Calibri"/>
            </a:endParaRPr>
          </a:p>
        </xdr:txBody>
      </xdr:sp>
      <xdr:sp macro="" textlink="'Pivot tables'!B15">
        <xdr:nvSpPr>
          <xdr:cNvPr id="121" name="TextBox 120">
            <a:extLst>
              <a:ext uri="{FF2B5EF4-FFF2-40B4-BE49-F238E27FC236}">
                <a16:creationId xmlns:a16="http://schemas.microsoft.com/office/drawing/2014/main" id="{B2008538-75CE-4C6D-973C-AD7EB0BD162F}"/>
              </a:ext>
            </a:extLst>
          </xdr:cNvPr>
          <xdr:cNvSpPr txBox="1"/>
        </xdr:nvSpPr>
        <xdr:spPr>
          <a:xfrm>
            <a:off x="18574526" y="9370676"/>
            <a:ext cx="4595468" cy="562865"/>
          </a:xfrm>
          <a:prstGeom prst="rect">
            <a:avLst/>
          </a:prstGeom>
          <a:noFill/>
          <a:ln w="9525" cmpd="sng">
            <a:noFill/>
          </a:ln>
          <a:effectLst>
            <a:softEdge rad="31750"/>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800">
                <a:solidFill>
                  <a:schemeClr val="bg1">
                    <a:lumMod val="50000"/>
                  </a:schemeClr>
                </a:solidFill>
                <a:latin typeface="Segoe UI Black" panose="020B0A02040204020203" pitchFamily="34" charset="0"/>
                <a:ea typeface="Segoe UI Black" panose="020B0A02040204020203" pitchFamily="34" charset="0"/>
              </a:rPr>
              <a:t>Total</a:t>
            </a:r>
            <a:r>
              <a:rPr lang="en-US" sz="2800" baseline="0">
                <a:solidFill>
                  <a:schemeClr val="bg1">
                    <a:lumMod val="50000"/>
                  </a:schemeClr>
                </a:solidFill>
                <a:latin typeface="Segoe UI Black" panose="020B0A02040204020203" pitchFamily="34" charset="0"/>
                <a:ea typeface="Segoe UI Black" panose="020B0A02040204020203" pitchFamily="34" charset="0"/>
              </a:rPr>
              <a:t> Impressions</a:t>
            </a:r>
            <a:endParaRPr lang="en-US" sz="2800">
              <a:solidFill>
                <a:schemeClr val="bg1">
                  <a:lumMod val="50000"/>
                </a:schemeClr>
              </a:solidFill>
              <a:latin typeface="Segoe UI Black" panose="020B0A02040204020203" pitchFamily="34" charset="0"/>
              <a:ea typeface="Segoe UI Black" panose="020B0A02040204020203" pitchFamily="34" charset="0"/>
            </a:endParaRPr>
          </a:p>
        </xdr:txBody>
      </xdr:sp>
    </xdr:grpSp>
    <xdr:clientData/>
  </xdr:twoCellAnchor>
  <xdr:twoCellAnchor>
    <xdr:from>
      <xdr:col>2</xdr:col>
      <xdr:colOff>21227</xdr:colOff>
      <xdr:row>54</xdr:row>
      <xdr:rowOff>171450</xdr:rowOff>
    </xdr:from>
    <xdr:to>
      <xdr:col>9</xdr:col>
      <xdr:colOff>508907</xdr:colOff>
      <xdr:row>81</xdr:row>
      <xdr:rowOff>142058</xdr:rowOff>
    </xdr:to>
    <xdr:graphicFrame macro="">
      <xdr:nvGraphicFramePr>
        <xdr:cNvPr id="135" name="Chart 134">
          <a:extLst>
            <a:ext uri="{FF2B5EF4-FFF2-40B4-BE49-F238E27FC236}">
              <a16:creationId xmlns:a16="http://schemas.microsoft.com/office/drawing/2014/main" id="{D72C8357-C532-4C85-B067-A38BF7D936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11</xdr:col>
      <xdr:colOff>498764</xdr:colOff>
      <xdr:row>57</xdr:row>
      <xdr:rowOff>124691</xdr:rowOff>
    </xdr:from>
    <xdr:to>
      <xdr:col>19</xdr:col>
      <xdr:colOff>193963</xdr:colOff>
      <xdr:row>80</xdr:row>
      <xdr:rowOff>1</xdr:rowOff>
    </xdr:to>
    <xdr:graphicFrame macro="">
      <xdr:nvGraphicFramePr>
        <xdr:cNvPr id="137" name="Chart 136">
          <a:extLst>
            <a:ext uri="{FF2B5EF4-FFF2-40B4-BE49-F238E27FC236}">
              <a16:creationId xmlns:a16="http://schemas.microsoft.com/office/drawing/2014/main" id="{EBB0BFBC-7E00-4FEE-AE94-ABCA4DFE62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20</xdr:col>
      <xdr:colOff>582385</xdr:colOff>
      <xdr:row>58</xdr:row>
      <xdr:rowOff>19048</xdr:rowOff>
    </xdr:from>
    <xdr:to>
      <xdr:col>28</xdr:col>
      <xdr:colOff>62592</xdr:colOff>
      <xdr:row>79</xdr:row>
      <xdr:rowOff>145774</xdr:rowOff>
    </xdr:to>
    <xdr:graphicFrame macro="">
      <xdr:nvGraphicFramePr>
        <xdr:cNvPr id="138" name="Chart 137">
          <a:extLst>
            <a:ext uri="{FF2B5EF4-FFF2-40B4-BE49-F238E27FC236}">
              <a16:creationId xmlns:a16="http://schemas.microsoft.com/office/drawing/2014/main" id="{FA1264D9-7226-4BB8-A4D3-D31108954D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30</xdr:col>
      <xdr:colOff>195943</xdr:colOff>
      <xdr:row>57</xdr:row>
      <xdr:rowOff>160021</xdr:rowOff>
    </xdr:from>
    <xdr:to>
      <xdr:col>37</xdr:col>
      <xdr:colOff>500743</xdr:colOff>
      <xdr:row>78</xdr:row>
      <xdr:rowOff>174173</xdr:rowOff>
    </xdr:to>
    <xdr:graphicFrame macro="">
      <xdr:nvGraphicFramePr>
        <xdr:cNvPr id="139" name="Chart 138">
          <a:extLst>
            <a:ext uri="{FF2B5EF4-FFF2-40B4-BE49-F238E27FC236}">
              <a16:creationId xmlns:a16="http://schemas.microsoft.com/office/drawing/2014/main" id="{DE060ED0-0F79-4AAF-B124-5F7D832C1D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xdr:col>
      <xdr:colOff>198584</xdr:colOff>
      <xdr:row>83</xdr:row>
      <xdr:rowOff>38100</xdr:rowOff>
    </xdr:from>
    <xdr:to>
      <xdr:col>38</xdr:col>
      <xdr:colOff>259080</xdr:colOff>
      <xdr:row>127</xdr:row>
      <xdr:rowOff>133350</xdr:rowOff>
    </xdr:to>
    <xdr:sp macro="" textlink="">
      <xdr:nvSpPr>
        <xdr:cNvPr id="140" name="Rectangle: Rounded Corners 139">
          <a:extLst>
            <a:ext uri="{FF2B5EF4-FFF2-40B4-BE49-F238E27FC236}">
              <a16:creationId xmlns:a16="http://schemas.microsoft.com/office/drawing/2014/main" id="{702CBBAF-1F1B-42AF-975B-C6BBD815AEC4}"/>
            </a:ext>
          </a:extLst>
        </xdr:cNvPr>
        <xdr:cNvSpPr/>
      </xdr:nvSpPr>
      <xdr:spPr>
        <a:xfrm>
          <a:off x="808184" y="15849600"/>
          <a:ext cx="22615696" cy="8477250"/>
        </a:xfrm>
        <a:prstGeom prst="roundRect">
          <a:avLst>
            <a:gd name="adj" fmla="val 12509"/>
          </a:avLst>
        </a:prstGeom>
        <a:noFill/>
        <a:ln w="28575">
          <a:solidFill>
            <a:srgbClr val="7030A0"/>
          </a:solidFill>
          <a:extLst>
            <a:ext uri="{C807C97D-BFC1-408E-A445-0C87EB9F89A2}">
              <ask:lineSketchStyleProps xmlns:ask="http://schemas.microsoft.com/office/drawing/2018/sketchyshapes" sd="852854689">
                <a:custGeom>
                  <a:avLst/>
                  <a:gdLst>
                    <a:gd name="connsiteX0" fmla="*/ 0 w 13807440"/>
                    <a:gd name="connsiteY0" fmla="*/ 335287 h 2011680"/>
                    <a:gd name="connsiteX1" fmla="*/ 335287 w 13807440"/>
                    <a:gd name="connsiteY1" fmla="*/ 0 h 2011680"/>
                    <a:gd name="connsiteX2" fmla="*/ 13472153 w 13807440"/>
                    <a:gd name="connsiteY2" fmla="*/ 0 h 2011680"/>
                    <a:gd name="connsiteX3" fmla="*/ 13807440 w 13807440"/>
                    <a:gd name="connsiteY3" fmla="*/ 335287 h 2011680"/>
                    <a:gd name="connsiteX4" fmla="*/ 13807440 w 13807440"/>
                    <a:gd name="connsiteY4" fmla="*/ 1676393 h 2011680"/>
                    <a:gd name="connsiteX5" fmla="*/ 13472153 w 13807440"/>
                    <a:gd name="connsiteY5" fmla="*/ 2011680 h 2011680"/>
                    <a:gd name="connsiteX6" fmla="*/ 335287 w 13807440"/>
                    <a:gd name="connsiteY6" fmla="*/ 2011680 h 2011680"/>
                    <a:gd name="connsiteX7" fmla="*/ 0 w 13807440"/>
                    <a:gd name="connsiteY7" fmla="*/ 1676393 h 2011680"/>
                    <a:gd name="connsiteX8" fmla="*/ 0 w 13807440"/>
                    <a:gd name="connsiteY8" fmla="*/ 335287 h 201168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13807440" h="2011680" fill="none" extrusionOk="0">
                      <a:moveTo>
                        <a:pt x="0" y="335287"/>
                      </a:moveTo>
                      <a:cubicBezTo>
                        <a:pt x="1282" y="184811"/>
                        <a:pt x="153979" y="6489"/>
                        <a:pt x="335287" y="0"/>
                      </a:cubicBezTo>
                      <a:cubicBezTo>
                        <a:pt x="4241728" y="72427"/>
                        <a:pt x="8479298" y="61419"/>
                        <a:pt x="13472153" y="0"/>
                      </a:cubicBezTo>
                      <a:cubicBezTo>
                        <a:pt x="13656110" y="-8376"/>
                        <a:pt x="13776949" y="140890"/>
                        <a:pt x="13807440" y="335287"/>
                      </a:cubicBezTo>
                      <a:cubicBezTo>
                        <a:pt x="13865818" y="938334"/>
                        <a:pt x="13854187" y="1173546"/>
                        <a:pt x="13807440" y="1676393"/>
                      </a:cubicBezTo>
                      <a:cubicBezTo>
                        <a:pt x="13811608" y="1840411"/>
                        <a:pt x="13652161" y="2005889"/>
                        <a:pt x="13472153" y="2011680"/>
                      </a:cubicBezTo>
                      <a:cubicBezTo>
                        <a:pt x="10430650" y="2041507"/>
                        <a:pt x="2890455" y="1932374"/>
                        <a:pt x="335287" y="2011680"/>
                      </a:cubicBezTo>
                      <a:cubicBezTo>
                        <a:pt x="182787" y="2007986"/>
                        <a:pt x="-15008" y="1864535"/>
                        <a:pt x="0" y="1676393"/>
                      </a:cubicBezTo>
                      <a:cubicBezTo>
                        <a:pt x="-8642" y="1420970"/>
                        <a:pt x="-119608" y="980697"/>
                        <a:pt x="0" y="335287"/>
                      </a:cubicBezTo>
                      <a:close/>
                    </a:path>
                    <a:path w="13807440" h="2011680" stroke="0" extrusionOk="0">
                      <a:moveTo>
                        <a:pt x="0" y="335287"/>
                      </a:moveTo>
                      <a:cubicBezTo>
                        <a:pt x="33315" y="159194"/>
                        <a:pt x="163186" y="27238"/>
                        <a:pt x="335287" y="0"/>
                      </a:cubicBezTo>
                      <a:cubicBezTo>
                        <a:pt x="5852204" y="123000"/>
                        <a:pt x="7605169" y="-96860"/>
                        <a:pt x="13472153" y="0"/>
                      </a:cubicBezTo>
                      <a:cubicBezTo>
                        <a:pt x="13654227" y="-2363"/>
                        <a:pt x="13813986" y="136916"/>
                        <a:pt x="13807440" y="335287"/>
                      </a:cubicBezTo>
                      <a:cubicBezTo>
                        <a:pt x="13780740" y="808081"/>
                        <a:pt x="13825862" y="1007467"/>
                        <a:pt x="13807440" y="1676393"/>
                      </a:cubicBezTo>
                      <a:cubicBezTo>
                        <a:pt x="13776960" y="1872609"/>
                        <a:pt x="13637630" y="2008456"/>
                        <a:pt x="13472153" y="2011680"/>
                      </a:cubicBezTo>
                      <a:cubicBezTo>
                        <a:pt x="11355976" y="1850973"/>
                        <a:pt x="5898917" y="2051347"/>
                        <a:pt x="335287" y="2011680"/>
                      </a:cubicBezTo>
                      <a:cubicBezTo>
                        <a:pt x="116807" y="2004953"/>
                        <a:pt x="-26172" y="1849710"/>
                        <a:pt x="0" y="1676393"/>
                      </a:cubicBezTo>
                      <a:cubicBezTo>
                        <a:pt x="-102437" y="1279469"/>
                        <a:pt x="-39934" y="748300"/>
                        <a:pt x="0" y="335287"/>
                      </a:cubicBezTo>
                      <a:close/>
                    </a:path>
                  </a:pathLst>
                </a:custGeom>
                <ask:type>
                  <ask:lineSketchNone/>
                </ask:type>
              </ask:lineSketchStyleProps>
            </a:ext>
          </a:extLst>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2</xdr:col>
      <xdr:colOff>453390</xdr:colOff>
      <xdr:row>84</xdr:row>
      <xdr:rowOff>129540</xdr:rowOff>
    </xdr:from>
    <xdr:to>
      <xdr:col>32</xdr:col>
      <xdr:colOff>0</xdr:colOff>
      <xdr:row>126</xdr:row>
      <xdr:rowOff>76200</xdr:rowOff>
    </xdr:to>
    <xdr:graphicFrame macro="">
      <xdr:nvGraphicFramePr>
        <xdr:cNvPr id="141" name="Chart 140">
          <a:extLst>
            <a:ext uri="{FF2B5EF4-FFF2-40B4-BE49-F238E27FC236}">
              <a16:creationId xmlns:a16="http://schemas.microsoft.com/office/drawing/2014/main" id="{FA8BC854-F897-40DE-8A32-FCAA74C5CF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33</xdr:col>
      <xdr:colOff>207818</xdr:colOff>
      <xdr:row>100</xdr:row>
      <xdr:rowOff>152400</xdr:rowOff>
    </xdr:from>
    <xdr:to>
      <xdr:col>35</xdr:col>
      <xdr:colOff>171450</xdr:colOff>
      <xdr:row>109</xdr:row>
      <xdr:rowOff>110836</xdr:rowOff>
    </xdr:to>
    <xdr:grpSp>
      <xdr:nvGrpSpPr>
        <xdr:cNvPr id="142" name="Group 141">
          <a:extLst>
            <a:ext uri="{FF2B5EF4-FFF2-40B4-BE49-F238E27FC236}">
              <a16:creationId xmlns:a16="http://schemas.microsoft.com/office/drawing/2014/main" id="{5D36B337-E868-42CA-BB3A-10322EFA0A5C}"/>
            </a:ext>
          </a:extLst>
        </xdr:cNvPr>
        <xdr:cNvGrpSpPr/>
      </xdr:nvGrpSpPr>
      <xdr:grpSpPr>
        <a:xfrm>
          <a:off x="20324618" y="18440400"/>
          <a:ext cx="1182832" cy="1604356"/>
          <a:chOff x="7483171" y="702283"/>
          <a:chExt cx="504000" cy="655376"/>
        </a:xfrm>
      </xdr:grpSpPr>
      <xdr:grpSp>
        <xdr:nvGrpSpPr>
          <xdr:cNvPr id="143" name="Group 142">
            <a:extLst>
              <a:ext uri="{FF2B5EF4-FFF2-40B4-BE49-F238E27FC236}">
                <a16:creationId xmlns:a16="http://schemas.microsoft.com/office/drawing/2014/main" id="{1CFC4C34-FDE4-4C5A-B752-ECF190C7EF8D}"/>
              </a:ext>
            </a:extLst>
          </xdr:cNvPr>
          <xdr:cNvGrpSpPr/>
        </xdr:nvGrpSpPr>
        <xdr:grpSpPr>
          <a:xfrm>
            <a:off x="7483171" y="702283"/>
            <a:ext cx="504000" cy="500515"/>
            <a:chOff x="7231380" y="791277"/>
            <a:chExt cx="576000" cy="586527"/>
          </a:xfrm>
        </xdr:grpSpPr>
        <xdr:sp macro="" textlink="">
          <xdr:nvSpPr>
            <xdr:cNvPr id="145" name="Rectangle: Rounded Corners 144">
              <a:extLst>
                <a:ext uri="{FF2B5EF4-FFF2-40B4-BE49-F238E27FC236}">
                  <a16:creationId xmlns:a16="http://schemas.microsoft.com/office/drawing/2014/main" id="{36480512-A976-4D25-BE3F-8E7C8C7B4D5F}"/>
                </a:ext>
              </a:extLst>
            </xdr:cNvPr>
            <xdr:cNvSpPr/>
          </xdr:nvSpPr>
          <xdr:spPr>
            <a:xfrm>
              <a:off x="7231380" y="791277"/>
              <a:ext cx="576000" cy="586527"/>
            </a:xfrm>
            <a:prstGeom prst="roundRect">
              <a:avLst/>
            </a:prstGeom>
            <a:noFill/>
            <a:ln w="285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pic>
          <xdr:nvPicPr>
            <xdr:cNvPr id="146" name="Picture 145">
              <a:extLst>
                <a:ext uri="{FF2B5EF4-FFF2-40B4-BE49-F238E27FC236}">
                  <a16:creationId xmlns:a16="http://schemas.microsoft.com/office/drawing/2014/main" id="{4D62EDC3-1155-462A-A4F7-36C0EDF4B144}"/>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xdr:blipFill>
          <xdr:spPr>
            <a:xfrm>
              <a:off x="7274223" y="832540"/>
              <a:ext cx="499023" cy="504000"/>
            </a:xfrm>
            <a:prstGeom prst="rect">
              <a:avLst/>
            </a:prstGeom>
          </xdr:spPr>
        </xdr:pic>
      </xdr:grpSp>
      <xdr:pic>
        <xdr:nvPicPr>
          <xdr:cNvPr id="144" name="Graphic 143">
            <a:extLst>
              <a:ext uri="{FF2B5EF4-FFF2-40B4-BE49-F238E27FC236}">
                <a16:creationId xmlns:a16="http://schemas.microsoft.com/office/drawing/2014/main" id="{A407A3BE-FA23-4971-9A0B-52EA59046D8E}"/>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rot="16200000">
            <a:off x="7664293" y="1058427"/>
            <a:ext cx="130464" cy="468000"/>
          </a:xfrm>
          <a:prstGeom prst="rect">
            <a:avLst/>
          </a:prstGeom>
        </xdr:spPr>
      </xdr:pic>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if Hany" refreshedDate="46038.965537268516" createdVersion="7" refreshedVersion="7" minRefreshableVersion="3" recordCount="208" xr:uid="{1DA6F966-61A6-44BA-B709-EBABAB6D1078}">
  <cacheSource type="worksheet">
    <worksheetSource name="Facebook72"/>
  </cacheSource>
  <cacheFields count="8">
    <cacheField name="Week" numFmtId="0">
      <sharedItems containsSemiMixedTypes="0" containsString="0" containsNumber="1" containsInteger="1" minValue="1" maxValue="52" count="52">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sharedItems>
      <fieldGroup base="0">
        <rangePr startNum="1" endNum="52" groupInterval="13"/>
        <groupItems count="6">
          <s v="&lt;1"/>
          <s v="1-13"/>
          <s v="14-26"/>
          <s v="27-39"/>
          <s v="40-52"/>
          <s v="&gt;53"/>
        </groupItems>
      </fieldGroup>
    </cacheField>
    <cacheField name="Impressions" numFmtId="3">
      <sharedItems containsSemiMixedTypes="0" containsString="0" containsNumber="1" containsInteger="1" minValue="7369" maxValue="18777"/>
    </cacheField>
    <cacheField name="Engagement Rate" numFmtId="10">
      <sharedItems containsSemiMixedTypes="0" containsString="0" containsNumber="1" minValue="7.4000000000000003E-3" maxValue="4.4299999999999999E-2"/>
    </cacheField>
    <cacheField name="Audience Growth Rate" numFmtId="3">
      <sharedItems containsSemiMixedTypes="0" containsString="0" containsNumber="1" containsInteger="1" minValue="7" maxValue="40"/>
    </cacheField>
    <cacheField name="Response Rate" numFmtId="9">
      <sharedItems containsSemiMixedTypes="0" containsString="0" containsNumber="1" minValue="0.78" maxValue="0.96"/>
    </cacheField>
    <cacheField name="Post Reach" numFmtId="3">
      <sharedItems containsSemiMixedTypes="0" containsString="0" containsNumber="1" containsInteger="1" minValue="5613" maxValue="11155"/>
    </cacheField>
    <cacheField name="Likes" numFmtId="3">
      <sharedItems containsSemiMixedTypes="0" containsString="0" containsNumber="1" containsInteger="1" minValue="342" maxValue="2300"/>
    </cacheField>
    <cacheField name="Platform" numFmtId="3">
      <sharedItems count="4">
        <s v="Facebook"/>
        <s v="Linkedin"/>
        <s v="Instagram"/>
        <s v="X"/>
      </sharedItems>
    </cacheField>
  </cacheFields>
  <extLst>
    <ext xmlns:x14="http://schemas.microsoft.com/office/spreadsheetml/2009/9/main" uri="{725AE2AE-9491-48be-B2B4-4EB974FC3084}">
      <x14:pivotCacheDefinition pivotCacheId="83786863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8">
  <r>
    <x v="0"/>
    <n v="10645"/>
    <n v="3.7499999999999999E-2"/>
    <n v="18"/>
    <n v="0.82"/>
    <n v="8942"/>
    <n v="596"/>
    <x v="0"/>
  </r>
  <r>
    <x v="1"/>
    <n v="10667"/>
    <n v="2.2499999999999999E-2"/>
    <n v="20"/>
    <n v="0.79"/>
    <n v="8854"/>
    <n v="422"/>
    <x v="0"/>
  </r>
  <r>
    <x v="2"/>
    <n v="8972"/>
    <n v="0.01"/>
    <n v="12"/>
    <n v="0.8"/>
    <n v="7178"/>
    <n v="342"/>
    <x v="0"/>
  </r>
  <r>
    <x v="3"/>
    <n v="9958"/>
    <n v="0.03"/>
    <n v="12"/>
    <n v="0.83"/>
    <n v="7966"/>
    <n v="469"/>
    <x v="0"/>
  </r>
  <r>
    <x v="4"/>
    <n v="9636"/>
    <n v="2.2857142857142857E-2"/>
    <n v="10"/>
    <n v="0.88"/>
    <n v="7805"/>
    <n v="520"/>
    <x v="0"/>
  </r>
  <r>
    <x v="5"/>
    <n v="10054"/>
    <n v="2.2499999999999999E-2"/>
    <n v="23"/>
    <n v="0.78"/>
    <n v="8043"/>
    <n v="447"/>
    <x v="0"/>
  </r>
  <r>
    <x v="6"/>
    <n v="9386"/>
    <n v="2.2499999999999999E-2"/>
    <n v="11"/>
    <n v="0.78"/>
    <n v="7697"/>
    <n v="385"/>
    <x v="0"/>
  </r>
  <r>
    <x v="7"/>
    <n v="10231"/>
    <n v="1.714285714285714E-2"/>
    <n v="11"/>
    <n v="0.79"/>
    <n v="8696"/>
    <n v="458"/>
    <x v="0"/>
  </r>
  <r>
    <x v="8"/>
    <n v="9921"/>
    <n v="2.571428571428571E-2"/>
    <n v="18"/>
    <n v="0.78"/>
    <n v="8433"/>
    <n v="562"/>
    <x v="0"/>
  </r>
  <r>
    <x v="9"/>
    <n v="9000"/>
    <n v="2.2857142857142857E-2"/>
    <n v="15"/>
    <n v="0.79"/>
    <n v="7380"/>
    <n v="388"/>
    <x v="0"/>
  </r>
  <r>
    <x v="10"/>
    <n v="9413"/>
    <n v="7.4999999999999997E-3"/>
    <n v="24"/>
    <n v="0.82"/>
    <n v="7625"/>
    <n v="449"/>
    <x v="0"/>
  </r>
  <r>
    <x v="11"/>
    <n v="10737"/>
    <n v="2.1428571428571429E-2"/>
    <n v="20"/>
    <n v="0.8"/>
    <n v="8697"/>
    <n v="580"/>
    <x v="0"/>
  </r>
  <r>
    <x v="12"/>
    <n v="10889"/>
    <n v="2.571428571428571E-2"/>
    <n v="16"/>
    <n v="0.85"/>
    <n v="9038"/>
    <n v="452"/>
    <x v="0"/>
  </r>
  <r>
    <x v="13"/>
    <n v="10845"/>
    <n v="3.428571428571428E-2"/>
    <n v="23"/>
    <n v="0.86"/>
    <n v="8893"/>
    <n v="445"/>
    <x v="0"/>
  </r>
  <r>
    <x v="14"/>
    <n v="8995"/>
    <n v="1.714285714285714E-2"/>
    <n v="10"/>
    <n v="0.87"/>
    <n v="7196"/>
    <n v="379"/>
    <x v="0"/>
  </r>
  <r>
    <x v="15"/>
    <n v="8781"/>
    <n v="2.571428571428571E-2"/>
    <n v="24"/>
    <n v="0.78"/>
    <n v="7113"/>
    <n v="374"/>
    <x v="0"/>
  </r>
  <r>
    <x v="16"/>
    <n v="10117"/>
    <n v="1.714285714285714E-2"/>
    <n v="25"/>
    <n v="0.86"/>
    <n v="8296"/>
    <n v="461"/>
    <x v="0"/>
  </r>
  <r>
    <x v="17"/>
    <n v="9514"/>
    <n v="1.2857142857142855E-2"/>
    <n v="12"/>
    <n v="0.85"/>
    <n v="7706"/>
    <n v="428"/>
    <x v="0"/>
  </r>
  <r>
    <x v="18"/>
    <n v="9714"/>
    <n v="3.5714285714285719E-2"/>
    <n v="17"/>
    <n v="0.87"/>
    <n v="8160"/>
    <n v="480"/>
    <x v="0"/>
  </r>
  <r>
    <x v="19"/>
    <n v="9973"/>
    <n v="0.03"/>
    <n v="23"/>
    <n v="0.78"/>
    <n v="8477"/>
    <n v="471"/>
    <x v="0"/>
  </r>
  <r>
    <x v="20"/>
    <n v="8518"/>
    <n v="1.4999999999999999E-2"/>
    <n v="8"/>
    <n v="0.88"/>
    <n v="7240"/>
    <n v="381"/>
    <x v="0"/>
  </r>
  <r>
    <x v="21"/>
    <n v="10499"/>
    <n v="4.2857142857142858E-2"/>
    <n v="14"/>
    <n v="0.81"/>
    <n v="8399"/>
    <n v="494"/>
    <x v="0"/>
  </r>
  <r>
    <x v="22"/>
    <n v="9221"/>
    <n v="1.4999999999999999E-2"/>
    <n v="24"/>
    <n v="0.79"/>
    <n v="7561"/>
    <n v="398"/>
    <x v="0"/>
  </r>
  <r>
    <x v="23"/>
    <n v="10547"/>
    <n v="3.428571428571428E-2"/>
    <n v="19"/>
    <n v="0.83"/>
    <n v="8543"/>
    <n v="450"/>
    <x v="0"/>
  </r>
  <r>
    <x v="24"/>
    <n v="10706"/>
    <n v="1.2500000000000001E-2"/>
    <n v="12"/>
    <n v="0.87"/>
    <n v="8672"/>
    <n v="456"/>
    <x v="0"/>
  </r>
  <r>
    <x v="25"/>
    <n v="9980"/>
    <n v="3.7499999999999999E-2"/>
    <n v="12"/>
    <n v="0.8"/>
    <n v="7984"/>
    <n v="399"/>
    <x v="0"/>
  </r>
  <r>
    <x v="26"/>
    <n v="9598"/>
    <n v="0.01"/>
    <n v="11"/>
    <n v="0.9"/>
    <n v="7678"/>
    <n v="480"/>
    <x v="0"/>
  </r>
  <r>
    <x v="27"/>
    <n v="9572"/>
    <n v="2.5000000000000001E-2"/>
    <n v="15"/>
    <n v="0.93"/>
    <n v="8136"/>
    <n v="479"/>
    <x v="0"/>
  </r>
  <r>
    <x v="28"/>
    <n v="8833"/>
    <n v="2.1428571428571429E-2"/>
    <n v="11"/>
    <n v="0.89"/>
    <n v="7420"/>
    <n v="495"/>
    <x v="0"/>
  </r>
  <r>
    <x v="29"/>
    <n v="9184"/>
    <n v="1.4999999999999999E-2"/>
    <n v="8"/>
    <n v="0.79"/>
    <n v="7806"/>
    <n v="390"/>
    <x v="0"/>
  </r>
  <r>
    <x v="30"/>
    <n v="8917"/>
    <n v="7.4999999999999997E-3"/>
    <n v="23"/>
    <n v="0.8"/>
    <n v="7401"/>
    <n v="463"/>
    <x v="0"/>
  </r>
  <r>
    <x v="31"/>
    <n v="9426"/>
    <n v="1.2500000000000001E-2"/>
    <n v="18"/>
    <n v="0.93"/>
    <n v="7729"/>
    <n v="483"/>
    <x v="0"/>
  </r>
  <r>
    <x v="32"/>
    <n v="10799"/>
    <n v="4.2857142857142858E-2"/>
    <n v="21"/>
    <n v="0.87"/>
    <n v="9179"/>
    <n v="612"/>
    <x v="0"/>
  </r>
  <r>
    <x v="33"/>
    <n v="9644"/>
    <n v="8.5714285714285701E-3"/>
    <n v="11"/>
    <n v="0.79"/>
    <n v="7908"/>
    <n v="377"/>
    <x v="0"/>
  </r>
  <r>
    <x v="34"/>
    <n v="8655"/>
    <n v="1.4285714285714284E-2"/>
    <n v="22"/>
    <n v="0.87"/>
    <n v="7097"/>
    <n v="473"/>
    <x v="0"/>
  </r>
  <r>
    <x v="35"/>
    <n v="9065"/>
    <n v="2.5000000000000001E-2"/>
    <n v="15"/>
    <n v="0.88"/>
    <n v="7343"/>
    <n v="367"/>
    <x v="0"/>
  </r>
  <r>
    <x v="36"/>
    <n v="10328"/>
    <n v="2.571428571428571E-2"/>
    <n v="8"/>
    <n v="0.86"/>
    <n v="8572"/>
    <n v="536"/>
    <x v="0"/>
  </r>
  <r>
    <x v="37"/>
    <n v="9918"/>
    <n v="1.714285714285714E-2"/>
    <n v="13"/>
    <n v="0.86"/>
    <n v="7934"/>
    <n v="418"/>
    <x v="0"/>
  </r>
  <r>
    <x v="38"/>
    <n v="9705"/>
    <n v="0.03"/>
    <n v="25"/>
    <n v="0.87"/>
    <n v="7861"/>
    <n v="491"/>
    <x v="0"/>
  </r>
  <r>
    <x v="39"/>
    <n v="8669"/>
    <n v="2.2857142857142857E-2"/>
    <n v="17"/>
    <n v="0.9"/>
    <n v="7022"/>
    <n v="468"/>
    <x v="0"/>
  </r>
  <r>
    <x v="40"/>
    <n v="11300"/>
    <n v="1.2857142857142855E-2"/>
    <n v="17"/>
    <n v="0.84"/>
    <n v="8199"/>
    <n v="547"/>
    <x v="0"/>
  </r>
  <r>
    <x v="41"/>
    <n v="10683"/>
    <n v="1.714285714285714E-2"/>
    <n v="10"/>
    <n v="0.83"/>
    <n v="8546"/>
    <n v="534"/>
    <x v="0"/>
  </r>
  <r>
    <x v="42"/>
    <n v="12150"/>
    <n v="2.2857142857142857E-2"/>
    <n v="12"/>
    <n v="0.87"/>
    <n v="7957"/>
    <n v="497"/>
    <x v="0"/>
  </r>
  <r>
    <x v="43"/>
    <n v="11542"/>
    <n v="1.4999999999999999E-2"/>
    <n v="18"/>
    <n v="0.85"/>
    <n v="7842"/>
    <n v="523"/>
    <x v="0"/>
  </r>
  <r>
    <x v="44"/>
    <n v="11550"/>
    <n v="0.03"/>
    <n v="9"/>
    <n v="0.84"/>
    <n v="7550"/>
    <n v="360"/>
    <x v="0"/>
  </r>
  <r>
    <x v="45"/>
    <n v="10140"/>
    <n v="3.7499999999999999E-2"/>
    <n v="22"/>
    <n v="0.78"/>
    <n v="8213"/>
    <n v="391"/>
    <x v="0"/>
  </r>
  <r>
    <x v="46"/>
    <n v="10780"/>
    <n v="1.4999999999999999E-2"/>
    <n v="18"/>
    <n v="0.83"/>
    <n v="7658"/>
    <n v="365"/>
    <x v="0"/>
  </r>
  <r>
    <x v="47"/>
    <n v="11210"/>
    <n v="0.03"/>
    <n v="22"/>
    <n v="0.91"/>
    <n v="8543"/>
    <n v="503"/>
    <x v="0"/>
  </r>
  <r>
    <x v="48"/>
    <n v="11450"/>
    <n v="2.1428571428571429E-2"/>
    <n v="20"/>
    <n v="0.91"/>
    <n v="7818"/>
    <n v="460"/>
    <x v="0"/>
  </r>
  <r>
    <x v="49"/>
    <n v="12520"/>
    <n v="0.03"/>
    <n v="11"/>
    <n v="0.93"/>
    <n v="7769"/>
    <n v="370"/>
    <x v="0"/>
  </r>
  <r>
    <x v="50"/>
    <n v="11240"/>
    <n v="1.2500000000000001E-2"/>
    <n v="9"/>
    <n v="0.82"/>
    <n v="7168"/>
    <n v="358"/>
    <x v="0"/>
  </r>
  <r>
    <x v="51"/>
    <n v="11250"/>
    <n v="1.4999999999999999E-2"/>
    <n v="23"/>
    <n v="0.92"/>
    <n v="7796"/>
    <n v="390"/>
    <x v="0"/>
  </r>
  <r>
    <x v="0"/>
    <n v="10200"/>
    <n v="3.49E-2"/>
    <n v="17"/>
    <n v="0.82"/>
    <n v="8584"/>
    <n v="944"/>
    <x v="1"/>
  </r>
  <r>
    <x v="1"/>
    <n v="9174"/>
    <n v="2.2499999999999999E-2"/>
    <n v="19"/>
    <n v="0.79"/>
    <n v="8234"/>
    <n v="1564"/>
    <x v="1"/>
  </r>
  <r>
    <x v="2"/>
    <n v="8165"/>
    <n v="9.9000000000000008E-3"/>
    <n v="11"/>
    <n v="0.8"/>
    <n v="6532"/>
    <n v="1110"/>
    <x v="1"/>
  </r>
  <r>
    <x v="3"/>
    <n v="9520"/>
    <n v="3.1199999999999999E-2"/>
    <n v="11"/>
    <n v="0.83"/>
    <n v="7090"/>
    <n v="1064"/>
    <x v="1"/>
  </r>
  <r>
    <x v="4"/>
    <n v="8672"/>
    <n v="2.1700000000000001E-2"/>
    <n v="10"/>
    <n v="0.88"/>
    <n v="7337"/>
    <n v="1101"/>
    <x v="1"/>
  </r>
  <r>
    <x v="5"/>
    <n v="9149"/>
    <n v="0.02"/>
    <n v="21"/>
    <n v="0.78"/>
    <n v="7078"/>
    <n v="849"/>
    <x v="1"/>
  </r>
  <r>
    <x v="6"/>
    <n v="8000"/>
    <n v="2.18E-2"/>
    <n v="12"/>
    <n v="0.78"/>
    <n v="7620"/>
    <n v="914"/>
    <x v="1"/>
  </r>
  <r>
    <x v="7"/>
    <n v="8185"/>
    <n v="1.8200000000000001E-2"/>
    <n v="10"/>
    <n v="0.79"/>
    <n v="7739"/>
    <n v="851"/>
    <x v="1"/>
  </r>
  <r>
    <x v="8"/>
    <n v="8532"/>
    <n v="2.5700000000000001E-2"/>
    <n v="17"/>
    <n v="0.78"/>
    <n v="7927"/>
    <n v="1110"/>
    <x v="1"/>
  </r>
  <r>
    <x v="9"/>
    <n v="8190"/>
    <n v="2.0799999999999999E-2"/>
    <n v="14"/>
    <n v="0.85"/>
    <n v="6790"/>
    <n v="815"/>
    <x v="1"/>
  </r>
  <r>
    <x v="10"/>
    <n v="7813"/>
    <n v="7.4000000000000003E-3"/>
    <n v="23"/>
    <n v="0.82"/>
    <n v="7320"/>
    <n v="1098"/>
    <x v="1"/>
  </r>
  <r>
    <x v="11"/>
    <n v="9341"/>
    <n v="1.9900000000000001E-2"/>
    <n v="21"/>
    <n v="0.8"/>
    <n v="8175"/>
    <n v="981"/>
    <x v="1"/>
  </r>
  <r>
    <x v="12"/>
    <n v="8711"/>
    <n v="2.52E-2"/>
    <n v="15"/>
    <n v="0.85"/>
    <n v="9219"/>
    <n v="1659"/>
    <x v="1"/>
  </r>
  <r>
    <x v="13"/>
    <n v="9544"/>
    <n v="3.0499999999999999E-2"/>
    <n v="22"/>
    <n v="0.91"/>
    <n v="7025"/>
    <n v="984"/>
    <x v="1"/>
  </r>
  <r>
    <x v="14"/>
    <n v="7466"/>
    <n v="1.6299999999999999E-2"/>
    <n v="11"/>
    <n v="0.87"/>
    <n v="5613"/>
    <n v="1010"/>
    <x v="1"/>
  </r>
  <r>
    <x v="15"/>
    <n v="7464"/>
    <n v="2.29E-2"/>
    <n v="25"/>
    <n v="0.81"/>
    <n v="6971"/>
    <n v="837"/>
    <x v="1"/>
  </r>
  <r>
    <x v="16"/>
    <n v="9308"/>
    <n v="1.5900000000000001E-2"/>
    <n v="26"/>
    <n v="0.86"/>
    <n v="6803"/>
    <n v="1225"/>
    <x v="1"/>
  </r>
  <r>
    <x v="17"/>
    <n v="8372"/>
    <n v="1.18E-2"/>
    <n v="11"/>
    <n v="0.85"/>
    <n v="6011"/>
    <n v="1022"/>
    <x v="1"/>
  </r>
  <r>
    <x v="18"/>
    <n v="8645"/>
    <n v="3.1800000000000002E-2"/>
    <n v="16"/>
    <n v="0.87"/>
    <n v="7670"/>
    <n v="920"/>
    <x v="1"/>
  </r>
  <r>
    <x v="19"/>
    <n v="9000"/>
    <n v="2.8199999999999999E-2"/>
    <n v="22"/>
    <n v="0.78"/>
    <n v="7205"/>
    <n v="1153"/>
    <x v="1"/>
  </r>
  <r>
    <x v="20"/>
    <n v="7837"/>
    <n v="1.55E-2"/>
    <n v="7"/>
    <n v="0.88"/>
    <n v="6299"/>
    <n v="756"/>
    <x v="1"/>
  </r>
  <r>
    <x v="21"/>
    <n v="8609"/>
    <n v="3.8600000000000002E-2"/>
    <n v="13"/>
    <n v="0.81"/>
    <n v="6971"/>
    <n v="837"/>
    <x v="1"/>
  </r>
  <r>
    <x v="22"/>
    <n v="8483"/>
    <n v="1.46E-2"/>
    <n v="23"/>
    <n v="0.79"/>
    <n v="6049"/>
    <n v="665"/>
    <x v="1"/>
  </r>
  <r>
    <x v="23"/>
    <n v="9387"/>
    <n v="3.1899999999999998E-2"/>
    <n v="20"/>
    <n v="0.83"/>
    <n v="7860"/>
    <n v="1415"/>
    <x v="1"/>
  </r>
  <r>
    <x v="24"/>
    <n v="9421"/>
    <n v="1.18E-2"/>
    <n v="12"/>
    <n v="0.87"/>
    <n v="7978"/>
    <n v="1276"/>
    <x v="1"/>
  </r>
  <r>
    <x v="25"/>
    <n v="8283"/>
    <n v="3.4500000000000003E-2"/>
    <n v="12"/>
    <n v="0.8"/>
    <n v="7665"/>
    <n v="1073"/>
    <x v="1"/>
  </r>
  <r>
    <x v="26"/>
    <n v="9520"/>
    <n v="9.2999999999999992E-3"/>
    <n v="11"/>
    <n v="0.9"/>
    <n v="7524"/>
    <n v="1279"/>
    <x v="1"/>
  </r>
  <r>
    <x v="27"/>
    <n v="8328"/>
    <n v="2.23E-2"/>
    <n v="13"/>
    <n v="0.93"/>
    <n v="6672"/>
    <n v="1268"/>
    <x v="1"/>
  </r>
  <r>
    <x v="28"/>
    <n v="7950"/>
    <n v="2.23E-2"/>
    <n v="12"/>
    <n v="0.89"/>
    <n v="6901"/>
    <n v="828"/>
    <x v="1"/>
  </r>
  <r>
    <x v="29"/>
    <n v="7990"/>
    <n v="1.44E-2"/>
    <n v="7"/>
    <n v="0.82"/>
    <n v="7572"/>
    <n v="1212"/>
    <x v="1"/>
  </r>
  <r>
    <x v="30"/>
    <n v="7936"/>
    <n v="7.7000000000000002E-3"/>
    <n v="22"/>
    <n v="0.8"/>
    <n v="6439"/>
    <n v="1159"/>
    <x v="1"/>
  </r>
  <r>
    <x v="31"/>
    <n v="8672"/>
    <n v="1.2E-2"/>
    <n v="16"/>
    <n v="0.93"/>
    <n v="6879"/>
    <n v="1101"/>
    <x v="1"/>
  </r>
  <r>
    <x v="32"/>
    <n v="8963"/>
    <n v="3.9899999999999998E-2"/>
    <n v="22"/>
    <n v="0.87"/>
    <n v="7251"/>
    <n v="1378"/>
    <x v="1"/>
  </r>
  <r>
    <x v="33"/>
    <n v="8420"/>
    <n v="7.7000000000000002E-3"/>
    <n v="10"/>
    <n v="0.85"/>
    <n v="6722"/>
    <n v="672"/>
    <x v="1"/>
  </r>
  <r>
    <x v="34"/>
    <n v="7616"/>
    <n v="1.4999999999999999E-2"/>
    <n v="20"/>
    <n v="0.87"/>
    <n v="5678"/>
    <n v="681"/>
    <x v="1"/>
  </r>
  <r>
    <x v="35"/>
    <n v="7887"/>
    <n v="2.5999999999999999E-2"/>
    <n v="16"/>
    <n v="0.88"/>
    <n v="7270"/>
    <n v="872"/>
    <x v="1"/>
  </r>
  <r>
    <x v="36"/>
    <n v="8882"/>
    <n v="2.2599999999999999E-2"/>
    <n v="8"/>
    <n v="0.86"/>
    <n v="8229"/>
    <n v="987"/>
    <x v="1"/>
  </r>
  <r>
    <x v="37"/>
    <n v="8728"/>
    <n v="1.7999999999999999E-2"/>
    <n v="13"/>
    <n v="0.86"/>
    <n v="7061"/>
    <n v="777"/>
    <x v="1"/>
  </r>
  <r>
    <x v="38"/>
    <n v="8735"/>
    <n v="3.0300000000000001E-2"/>
    <n v="23"/>
    <n v="0.87"/>
    <n v="7232"/>
    <n v="1374"/>
    <x v="1"/>
  </r>
  <r>
    <x v="39"/>
    <n v="7369"/>
    <n v="2.35E-2"/>
    <n v="17"/>
    <n v="0.9"/>
    <n v="6671"/>
    <n v="667"/>
    <x v="1"/>
  </r>
  <r>
    <x v="40"/>
    <n v="9605"/>
    <n v="1.2999999999999999E-2"/>
    <n v="17"/>
    <n v="0.84"/>
    <n v="7379"/>
    <n v="1328"/>
    <x v="1"/>
  </r>
  <r>
    <x v="41"/>
    <n v="9187"/>
    <n v="1.6299999999999999E-2"/>
    <n v="9"/>
    <n v="0.83"/>
    <n v="7691"/>
    <n v="1231"/>
    <x v="1"/>
  </r>
  <r>
    <x v="42"/>
    <n v="10206"/>
    <n v="2.01E-2"/>
    <n v="11"/>
    <n v="0.93"/>
    <n v="7002"/>
    <n v="770"/>
    <x v="1"/>
  </r>
  <r>
    <x v="43"/>
    <n v="10157"/>
    <n v="1.47E-2"/>
    <n v="18"/>
    <n v="0.85"/>
    <n v="6666"/>
    <n v="1267"/>
    <x v="1"/>
  </r>
  <r>
    <x v="44"/>
    <n v="10280"/>
    <n v="2.7300000000000001E-2"/>
    <n v="19"/>
    <n v="0.84"/>
    <n v="6040"/>
    <n v="664"/>
    <x v="1"/>
  </r>
  <r>
    <x v="45"/>
    <n v="11240"/>
    <n v="3.9800000000000002E-2"/>
    <n v="21"/>
    <n v="0.78"/>
    <n v="6981"/>
    <n v="698"/>
    <x v="1"/>
  </r>
  <r>
    <x v="46"/>
    <n v="10558"/>
    <n v="1.37E-2"/>
    <n v="23"/>
    <n v="0.83"/>
    <n v="6892"/>
    <n v="1172"/>
    <x v="1"/>
  </r>
  <r>
    <x v="47"/>
    <n v="10253"/>
    <n v="2.9100000000000001E-2"/>
    <n v="23"/>
    <n v="0.91"/>
    <n v="8714"/>
    <n v="1656"/>
    <x v="1"/>
  </r>
  <r>
    <x v="48"/>
    <n v="10850"/>
    <n v="2.2100000000000002E-2"/>
    <n v="18"/>
    <n v="0.94"/>
    <n v="7662"/>
    <n v="1149"/>
    <x v="1"/>
  </r>
  <r>
    <x v="49"/>
    <n v="10141"/>
    <n v="2.7E-2"/>
    <n v="17"/>
    <n v="0.93"/>
    <n v="6060"/>
    <n v="606"/>
    <x v="1"/>
  </r>
  <r>
    <x v="50"/>
    <n v="11000"/>
    <n v="1.2E-2"/>
    <n v="21"/>
    <n v="0.9"/>
    <n v="6021"/>
    <n v="1144"/>
    <x v="1"/>
  </r>
  <r>
    <x v="51"/>
    <n v="10350"/>
    <n v="1.5599999999999999E-2"/>
    <n v="22"/>
    <n v="0.92"/>
    <n v="6627"/>
    <n v="928"/>
    <x v="1"/>
  </r>
  <r>
    <x v="0"/>
    <n v="12138"/>
    <n v="3.9100000000000003E-2"/>
    <n v="23"/>
    <n v="0.82"/>
    <n v="10387"/>
    <n v="1150"/>
    <x v="2"/>
  </r>
  <r>
    <x v="1"/>
    <n v="10642"/>
    <n v="2.52E-2"/>
    <n v="30"/>
    <n v="0.91"/>
    <n v="9551"/>
    <n v="1439"/>
    <x v="2"/>
  </r>
  <r>
    <x v="2"/>
    <n v="12250"/>
    <n v="1.0999999999999999E-2"/>
    <n v="15"/>
    <n v="0.8"/>
    <n v="7838"/>
    <n v="1232"/>
    <x v="2"/>
  </r>
  <r>
    <x v="3"/>
    <n v="12090"/>
    <n v="3.4599999999999999E-2"/>
    <n v="14"/>
    <n v="0.83"/>
    <n v="8224"/>
    <n v="1032"/>
    <x v="2"/>
  </r>
  <r>
    <x v="4"/>
    <n v="10840"/>
    <n v="2.41E-2"/>
    <n v="12"/>
    <n v="0.88"/>
    <n v="8951"/>
    <n v="1387"/>
    <x v="2"/>
  </r>
  <r>
    <x v="5"/>
    <n v="11802"/>
    <n v="2.1999999999999999E-2"/>
    <n v="34"/>
    <n v="0.78"/>
    <n v="7998"/>
    <n v="1044"/>
    <x v="2"/>
  </r>
  <r>
    <x v="6"/>
    <n v="9120"/>
    <n v="2.4400000000000002E-2"/>
    <n v="18"/>
    <n v="0.82"/>
    <n v="8077"/>
    <n v="1197"/>
    <x v="2"/>
  </r>
  <r>
    <x v="7"/>
    <n v="14520"/>
    <n v="2.0199999999999999E-2"/>
    <n v="15"/>
    <n v="0.79"/>
    <n v="8126"/>
    <n v="800"/>
    <x v="2"/>
  </r>
  <r>
    <x v="8"/>
    <n v="10324"/>
    <n v="2.8299999999999999E-2"/>
    <n v="27"/>
    <n v="0.92"/>
    <n v="8878"/>
    <n v="1421"/>
    <x v="2"/>
  </r>
  <r>
    <x v="9"/>
    <n v="13580"/>
    <n v="2.3300000000000001E-2"/>
    <n v="18"/>
    <n v="0.79"/>
    <n v="7537"/>
    <n v="1000"/>
    <x v="2"/>
  </r>
  <r>
    <x v="10"/>
    <n v="9923"/>
    <n v="8.0999999999999996E-3"/>
    <n v="35"/>
    <n v="0.82"/>
    <n v="7832"/>
    <n v="1318"/>
    <x v="2"/>
  </r>
  <r>
    <x v="11"/>
    <n v="10742"/>
    <n v="2.2100000000000002E-2"/>
    <n v="33"/>
    <n v="0.8"/>
    <n v="9974"/>
    <n v="1177"/>
    <x v="2"/>
  </r>
  <r>
    <x v="12"/>
    <n v="11150"/>
    <n v="2.8199999999999999E-2"/>
    <n v="24"/>
    <n v="0.85"/>
    <n v="11155"/>
    <n v="1576"/>
    <x v="2"/>
  </r>
  <r>
    <x v="13"/>
    <n v="11453"/>
    <n v="3.39E-2"/>
    <n v="26"/>
    <n v="0.88"/>
    <n v="7306"/>
    <n v="1191"/>
    <x v="2"/>
  </r>
  <r>
    <x v="14"/>
    <n v="8437"/>
    <n v="1.7899999999999999E-2"/>
    <n v="17"/>
    <n v="0.87"/>
    <n v="6455"/>
    <n v="1212"/>
    <x v="2"/>
  </r>
  <r>
    <x v="15"/>
    <n v="10226"/>
    <n v="2.52E-2"/>
    <n v="37"/>
    <n v="0.78"/>
    <n v="7529"/>
    <n v="1096"/>
    <x v="2"/>
  </r>
  <r>
    <x v="16"/>
    <n v="10704"/>
    <n v="1.7600000000000001E-2"/>
    <n v="36"/>
    <n v="0.86"/>
    <n v="8028"/>
    <n v="1335"/>
    <x v="2"/>
  </r>
  <r>
    <x v="17"/>
    <n v="10381"/>
    <n v="1.2999999999999999E-2"/>
    <n v="15"/>
    <n v="0.85"/>
    <n v="6312"/>
    <n v="1022"/>
    <x v="2"/>
  </r>
  <r>
    <x v="18"/>
    <n v="11930"/>
    <n v="3.5299999999999998E-2"/>
    <n v="22"/>
    <n v="0.87"/>
    <n v="8514"/>
    <n v="1205"/>
    <x v="2"/>
  </r>
  <r>
    <x v="19"/>
    <n v="12510"/>
    <n v="3.1300000000000001E-2"/>
    <n v="29"/>
    <n v="0.78"/>
    <n v="7637"/>
    <n v="1211"/>
    <x v="2"/>
  </r>
  <r>
    <x v="20"/>
    <n v="10815"/>
    <n v="1.7399999999999999E-2"/>
    <n v="10"/>
    <n v="0.86"/>
    <n v="7244"/>
    <n v="1052"/>
    <x v="2"/>
  </r>
  <r>
    <x v="21"/>
    <n v="11020"/>
    <n v="4.2799999999999998E-2"/>
    <n v="18"/>
    <n v="0.81"/>
    <n v="7598"/>
    <n v="1063"/>
    <x v="2"/>
  </r>
  <r>
    <x v="22"/>
    <n v="10264"/>
    <n v="1.6199999999999999E-2"/>
    <n v="32"/>
    <n v="0.79"/>
    <n v="6896"/>
    <n v="685"/>
    <x v="2"/>
  </r>
  <r>
    <x v="23"/>
    <n v="14445"/>
    <n v="3.5099999999999999E-2"/>
    <n v="24"/>
    <n v="0.83"/>
    <n v="8174"/>
    <n v="1599"/>
    <x v="2"/>
  </r>
  <r>
    <x v="24"/>
    <n v="11965"/>
    <n v="1.2999999999999999E-2"/>
    <n v="19"/>
    <n v="0.87"/>
    <n v="8536"/>
    <n v="1646"/>
    <x v="2"/>
  </r>
  <r>
    <x v="25"/>
    <n v="10519"/>
    <n v="3.8600000000000002E-2"/>
    <n v="18"/>
    <n v="0.8"/>
    <n v="8738"/>
    <n v="1255"/>
    <x v="2"/>
  </r>
  <r>
    <x v="26"/>
    <n v="10853"/>
    <n v="1.03E-2"/>
    <n v="16"/>
    <n v="0.9"/>
    <n v="9179"/>
    <n v="1522"/>
    <x v="2"/>
  </r>
  <r>
    <x v="27"/>
    <n v="9244"/>
    <n v="2.5000000000000001E-2"/>
    <n v="17"/>
    <n v="0.93"/>
    <n v="7539"/>
    <n v="1572"/>
    <x v="2"/>
  </r>
  <r>
    <x v="28"/>
    <n v="12520"/>
    <n v="2.4500000000000001E-2"/>
    <n v="16"/>
    <n v="0.89"/>
    <n v="8419"/>
    <n v="770"/>
    <x v="2"/>
  </r>
  <r>
    <x v="29"/>
    <n v="10467"/>
    <n v="1.6E-2"/>
    <n v="9"/>
    <n v="0.79"/>
    <n v="8708"/>
    <n v="1442"/>
    <x v="2"/>
  </r>
  <r>
    <x v="30"/>
    <n v="10222"/>
    <n v="8.5000000000000006E-3"/>
    <n v="34"/>
    <n v="0.84"/>
    <n v="7340"/>
    <n v="1182"/>
    <x v="2"/>
  </r>
  <r>
    <x v="31"/>
    <n v="11013"/>
    <n v="1.34E-2"/>
    <n v="23"/>
    <n v="0.92"/>
    <n v="7154"/>
    <n v="1057"/>
    <x v="2"/>
  </r>
  <r>
    <x v="32"/>
    <n v="10576"/>
    <n v="4.4299999999999999E-2"/>
    <n v="29"/>
    <n v="0.87"/>
    <n v="8484"/>
    <n v="1350"/>
    <x v="2"/>
  </r>
  <r>
    <x v="33"/>
    <n v="10525"/>
    <n v="8.5000000000000006E-3"/>
    <n v="13"/>
    <n v="0.79"/>
    <n v="7260"/>
    <n v="759"/>
    <x v="2"/>
  </r>
  <r>
    <x v="34"/>
    <n v="11200"/>
    <n v="1.6500000000000001E-2"/>
    <n v="26"/>
    <n v="0.87"/>
    <n v="6075"/>
    <n v="1052"/>
    <x v="2"/>
  </r>
  <r>
    <x v="35"/>
    <n v="11042"/>
    <n v="2.86E-2"/>
    <n v="22"/>
    <n v="0.88"/>
    <n v="8651"/>
    <n v="811"/>
    <x v="2"/>
  </r>
  <r>
    <x v="36"/>
    <n v="9770"/>
    <n v="2.53E-2"/>
    <n v="10"/>
    <n v="0.86"/>
    <n v="9793"/>
    <n v="1135"/>
    <x v="2"/>
  </r>
  <r>
    <x v="37"/>
    <n v="11608"/>
    <n v="1.9800000000000002E-2"/>
    <n v="16"/>
    <n v="0.86"/>
    <n v="7626"/>
    <n v="870"/>
    <x v="2"/>
  </r>
  <r>
    <x v="38"/>
    <n v="9958"/>
    <n v="3.39E-2"/>
    <n v="29"/>
    <n v="0.88"/>
    <n v="8823"/>
    <n v="1704"/>
    <x v="2"/>
  </r>
  <r>
    <x v="39"/>
    <n v="8253"/>
    <n v="2.63E-2"/>
    <n v="27"/>
    <n v="0.9"/>
    <n v="6938"/>
    <n v="647"/>
    <x v="2"/>
  </r>
  <r>
    <x v="40"/>
    <n v="13255"/>
    <n v="1.46E-2"/>
    <n v="20"/>
    <n v="0.84"/>
    <n v="7822"/>
    <n v="1248"/>
    <x v="2"/>
  </r>
  <r>
    <x v="41"/>
    <n v="11850"/>
    <n v="1.83E-2"/>
    <n v="12"/>
    <n v="0.83"/>
    <n v="9075"/>
    <n v="1293"/>
    <x v="2"/>
  </r>
  <r>
    <x v="42"/>
    <n v="12962"/>
    <n v="2.2100000000000002E-2"/>
    <n v="16"/>
    <n v="0.87"/>
    <n v="7772"/>
    <n v="855"/>
    <x v="2"/>
  </r>
  <r>
    <x v="43"/>
    <n v="14118"/>
    <n v="1.6299999999999999E-2"/>
    <n v="25"/>
    <n v="0.85"/>
    <n v="7266"/>
    <n v="1432"/>
    <x v="2"/>
  </r>
  <r>
    <x v="44"/>
    <n v="13056"/>
    <n v="0.03"/>
    <n v="25"/>
    <n v="0.84"/>
    <n v="8580"/>
    <n v="1200"/>
    <x v="2"/>
  </r>
  <r>
    <x v="45"/>
    <n v="15399"/>
    <n v="4.4200000000000003E-2"/>
    <n v="33"/>
    <n v="0.78"/>
    <n v="8307"/>
    <n v="1085"/>
    <x v="2"/>
  </r>
  <r>
    <x v="46"/>
    <n v="14359"/>
    <n v="1.5299999999999999E-2"/>
    <n v="36"/>
    <n v="0.78"/>
    <n v="9560"/>
    <n v="1488"/>
    <x v="2"/>
  </r>
  <r>
    <x v="47"/>
    <n v="13800"/>
    <n v="3.2000000000000001E-2"/>
    <n v="34"/>
    <n v="0.91"/>
    <n v="10631"/>
    <n v="1623"/>
    <x v="2"/>
  </r>
  <r>
    <x v="48"/>
    <n v="15299"/>
    <n v="2.4799999999999999E-2"/>
    <n v="23"/>
    <n v="0.91"/>
    <n v="9520"/>
    <n v="1287"/>
    <x v="2"/>
  </r>
  <r>
    <x v="49"/>
    <n v="16520"/>
    <n v="3.0200000000000001E-2"/>
    <n v="26"/>
    <n v="0.93"/>
    <n v="9000"/>
    <n v="1100"/>
    <x v="2"/>
  </r>
  <r>
    <x v="50"/>
    <n v="15290"/>
    <n v="1.3299999999999999E-2"/>
    <n v="28"/>
    <n v="0.96"/>
    <n v="9250"/>
    <n v="1361"/>
    <x v="2"/>
  </r>
  <r>
    <x v="51"/>
    <n v="15200"/>
    <n v="1.7500000000000002E-2"/>
    <n v="27"/>
    <n v="0.92"/>
    <n v="8800"/>
    <n v="1420"/>
    <x v="2"/>
  </r>
  <r>
    <x v="0"/>
    <n v="14808"/>
    <n v="0.04"/>
    <n v="27"/>
    <n v="0.82"/>
    <n v="9660"/>
    <n v="1449"/>
    <x v="3"/>
  </r>
  <r>
    <x v="1"/>
    <n v="12451"/>
    <n v="2.52E-2"/>
    <n v="33"/>
    <n v="0.79"/>
    <n v="9933"/>
    <n v="1482"/>
    <x v="3"/>
  </r>
  <r>
    <x v="2"/>
    <n v="14945"/>
    <n v="2.8000000000000001E-2"/>
    <n v="18"/>
    <n v="0.8"/>
    <n v="8073"/>
    <n v="1725"/>
    <x v="3"/>
  </r>
  <r>
    <x v="3"/>
    <n v="12695"/>
    <n v="3.4599999999999999E-2"/>
    <n v="14"/>
    <n v="0.83"/>
    <n v="8471"/>
    <n v="1362"/>
    <x v="3"/>
  </r>
  <r>
    <x v="4"/>
    <n v="12032"/>
    <n v="2.41E-2"/>
    <n v="14"/>
    <n v="0.88"/>
    <n v="8593"/>
    <n v="1748"/>
    <x v="3"/>
  </r>
  <r>
    <x v="5"/>
    <n v="14871"/>
    <n v="2.1999999999999999E-2"/>
    <n v="35"/>
    <n v="0.78"/>
    <n v="8078"/>
    <n v="1378"/>
    <x v="3"/>
  </r>
  <r>
    <x v="6"/>
    <n v="11400"/>
    <n v="2.4400000000000002E-2"/>
    <n v="21"/>
    <n v="0.82"/>
    <n v="7350"/>
    <n v="1424"/>
    <x v="3"/>
  </r>
  <r>
    <x v="7"/>
    <n v="17714"/>
    <n v="2.0199999999999999E-2"/>
    <n v="16"/>
    <n v="0.79"/>
    <n v="8695"/>
    <n v="832"/>
    <x v="3"/>
  </r>
  <r>
    <x v="8"/>
    <n v="12389"/>
    <n v="2.8299999999999999E-2"/>
    <n v="28"/>
    <n v="0.78"/>
    <n v="8345"/>
    <n v="1705"/>
    <x v="3"/>
  </r>
  <r>
    <x v="9"/>
    <n v="17247"/>
    <n v="2.3300000000000001E-2"/>
    <n v="19"/>
    <n v="0.79"/>
    <n v="7688"/>
    <n v="1030"/>
    <x v="3"/>
  </r>
  <r>
    <x v="10"/>
    <n v="10419"/>
    <n v="2.1000000000000001E-2"/>
    <n v="35"/>
    <n v="0.82"/>
    <n v="8459"/>
    <n v="1582"/>
    <x v="3"/>
  </r>
  <r>
    <x v="11"/>
    <n v="12246"/>
    <n v="2.2100000000000002E-2"/>
    <n v="36"/>
    <n v="0.8"/>
    <n v="9974"/>
    <n v="1542"/>
    <x v="3"/>
  </r>
  <r>
    <x v="12"/>
    <n v="13380"/>
    <n v="2.8199999999999999E-2"/>
    <n v="25"/>
    <n v="0.85"/>
    <n v="10597"/>
    <n v="1608"/>
    <x v="3"/>
  </r>
  <r>
    <x v="13"/>
    <n v="14774"/>
    <n v="3.39E-2"/>
    <n v="31"/>
    <n v="0.88"/>
    <n v="6722"/>
    <n v="1167"/>
    <x v="3"/>
  </r>
  <r>
    <x v="14"/>
    <n v="10520"/>
    <n v="3.5999999999999997E-2"/>
    <n v="18"/>
    <n v="0.87"/>
    <n v="6455"/>
    <n v="1418"/>
    <x v="3"/>
  </r>
  <r>
    <x v="15"/>
    <n v="13498"/>
    <n v="2.52E-2"/>
    <n v="37"/>
    <n v="0.78"/>
    <n v="6776"/>
    <n v="1260"/>
    <x v="3"/>
  </r>
  <r>
    <x v="16"/>
    <n v="13808"/>
    <n v="1.7600000000000001E-2"/>
    <n v="39"/>
    <n v="0.86"/>
    <n v="7305"/>
    <n v="1522"/>
    <x v="3"/>
  </r>
  <r>
    <x v="17"/>
    <n v="11419"/>
    <n v="0.03"/>
    <n v="15"/>
    <n v="0.85"/>
    <n v="6249"/>
    <n v="1134"/>
    <x v="3"/>
  </r>
  <r>
    <x v="18"/>
    <n v="13720"/>
    <n v="3.5299999999999998E-2"/>
    <n v="22"/>
    <n v="0.87"/>
    <n v="8344"/>
    <n v="1687"/>
    <x v="3"/>
  </r>
  <r>
    <x v="19"/>
    <n v="15638"/>
    <n v="3.1300000000000001E-2"/>
    <n v="35"/>
    <n v="0.78"/>
    <n v="7408"/>
    <n v="1272"/>
    <x v="3"/>
  </r>
  <r>
    <x v="20"/>
    <n v="11572"/>
    <n v="1.7399999999999999E-2"/>
    <n v="12"/>
    <n v="0.86"/>
    <n v="6592"/>
    <n v="1252"/>
    <x v="3"/>
  </r>
  <r>
    <x v="21"/>
    <n v="13224"/>
    <n v="4.2799999999999998E-2"/>
    <n v="19"/>
    <n v="0.81"/>
    <n v="7294"/>
    <n v="1212"/>
    <x v="3"/>
  </r>
  <r>
    <x v="22"/>
    <n v="11598"/>
    <n v="2.5000000000000001E-2"/>
    <n v="39"/>
    <n v="0.79"/>
    <n v="7172"/>
    <n v="884"/>
    <x v="3"/>
  </r>
  <r>
    <x v="23"/>
    <n v="16178"/>
    <n v="3.5099999999999999E-2"/>
    <n v="29"/>
    <n v="0.83"/>
    <n v="7847"/>
    <n v="1855"/>
    <x v="3"/>
  </r>
  <r>
    <x v="24"/>
    <n v="15794"/>
    <n v="1.2999999999999999E-2"/>
    <n v="20"/>
    <n v="0.87"/>
    <n v="7682"/>
    <n v="2222"/>
    <x v="3"/>
  </r>
  <r>
    <x v="25"/>
    <n v="11361"/>
    <n v="3.8600000000000002E-2"/>
    <n v="20"/>
    <n v="0.8"/>
    <n v="8388"/>
    <n v="1544"/>
    <x v="3"/>
  </r>
  <r>
    <x v="26"/>
    <n v="11504"/>
    <n v="0.03"/>
    <n v="19"/>
    <n v="0.9"/>
    <n v="9913"/>
    <n v="1552"/>
    <x v="3"/>
  </r>
  <r>
    <x v="27"/>
    <n v="11555"/>
    <n v="2.5000000000000001E-2"/>
    <n v="20"/>
    <n v="0.93"/>
    <n v="7237"/>
    <n v="1981"/>
    <x v="3"/>
  </r>
  <r>
    <x v="28"/>
    <n v="15274"/>
    <n v="2.4500000000000001E-2"/>
    <n v="20"/>
    <n v="0.89"/>
    <n v="7661"/>
    <n v="978"/>
    <x v="3"/>
  </r>
  <r>
    <x v="29"/>
    <n v="13502"/>
    <n v="1.6E-2"/>
    <n v="11"/>
    <n v="0.85"/>
    <n v="8360"/>
    <n v="1413"/>
    <x v="3"/>
  </r>
  <r>
    <x v="30"/>
    <n v="12062"/>
    <n v="0.04"/>
    <n v="35"/>
    <n v="0.8"/>
    <n v="6973"/>
    <n v="1430"/>
    <x v="3"/>
  </r>
  <r>
    <x v="31"/>
    <n v="14317"/>
    <n v="2.8000000000000001E-2"/>
    <n v="24"/>
    <n v="0.92"/>
    <n v="7297"/>
    <n v="1194"/>
    <x v="3"/>
  </r>
  <r>
    <x v="32"/>
    <n v="13749"/>
    <n v="4.4299999999999999E-2"/>
    <n v="29"/>
    <n v="0.87"/>
    <n v="7890"/>
    <n v="1323"/>
    <x v="3"/>
  </r>
  <r>
    <x v="33"/>
    <n v="13472"/>
    <n v="8.5000000000000006E-3"/>
    <n v="16"/>
    <n v="0.79"/>
    <n v="6824"/>
    <n v="1009"/>
    <x v="3"/>
  </r>
  <r>
    <x v="34"/>
    <n v="11872"/>
    <n v="1.6500000000000001E-2"/>
    <n v="31"/>
    <n v="0.87"/>
    <n v="5650"/>
    <n v="1326"/>
    <x v="3"/>
  </r>
  <r>
    <x v="35"/>
    <n v="13250"/>
    <n v="2.86E-2"/>
    <n v="22"/>
    <n v="0.88"/>
    <n v="8305"/>
    <n v="892"/>
    <x v="3"/>
  </r>
  <r>
    <x v="36"/>
    <n v="11138"/>
    <n v="2.53E-2"/>
    <n v="11"/>
    <n v="0.86"/>
    <n v="9597"/>
    <n v="1578"/>
    <x v="3"/>
  </r>
  <r>
    <x v="37"/>
    <n v="14858"/>
    <n v="1.9800000000000002E-2"/>
    <n v="19"/>
    <n v="0.86"/>
    <n v="6863"/>
    <n v="931"/>
    <x v="3"/>
  </r>
  <r>
    <x v="38"/>
    <n v="12448"/>
    <n v="3.39E-2"/>
    <n v="34"/>
    <n v="0.88"/>
    <n v="9176"/>
    <n v="2300"/>
    <x v="3"/>
  </r>
  <r>
    <x v="39"/>
    <n v="14500"/>
    <n v="2.63E-2"/>
    <n v="31"/>
    <n v="0.9"/>
    <n v="7077"/>
    <n v="906"/>
    <x v="3"/>
  </r>
  <r>
    <x v="40"/>
    <n v="15243"/>
    <n v="1.46E-2"/>
    <n v="22"/>
    <n v="0.84"/>
    <n v="7509"/>
    <n v="1560"/>
    <x v="3"/>
  </r>
  <r>
    <x v="41"/>
    <n v="15405"/>
    <n v="1.83E-2"/>
    <n v="13"/>
    <n v="0.83"/>
    <n v="8621"/>
    <n v="1771"/>
    <x v="3"/>
  </r>
  <r>
    <x v="42"/>
    <n v="15820"/>
    <n v="2.2100000000000002E-2"/>
    <n v="18"/>
    <n v="0.87"/>
    <n v="8316"/>
    <n v="1350"/>
    <x v="3"/>
  </r>
  <r>
    <x v="43"/>
    <n v="18777"/>
    <n v="0.02"/>
    <n v="28"/>
    <n v="0.85"/>
    <n v="8400"/>
    <n v="1690"/>
    <x v="3"/>
  </r>
  <r>
    <x v="44"/>
    <n v="16059"/>
    <n v="0.03"/>
    <n v="27"/>
    <n v="0.84"/>
    <n v="9095"/>
    <n v="1404"/>
    <x v="3"/>
  </r>
  <r>
    <x v="45"/>
    <n v="18017"/>
    <n v="4.4200000000000003E-2"/>
    <n v="40"/>
    <n v="0.85"/>
    <n v="9500"/>
    <n v="1350"/>
    <x v="3"/>
  </r>
  <r>
    <x v="46"/>
    <n v="17231"/>
    <n v="2.3E-2"/>
    <n v="37"/>
    <n v="0.9"/>
    <n v="9082"/>
    <n v="2068"/>
    <x v="3"/>
  </r>
  <r>
    <x v="47"/>
    <n v="17664"/>
    <n v="3.2000000000000001E-2"/>
    <n v="36"/>
    <n v="0.91"/>
    <n v="9568"/>
    <n v="2094"/>
    <x v="3"/>
  </r>
  <r>
    <x v="48"/>
    <n v="18359"/>
    <n v="2.4799999999999999E-2"/>
    <n v="25"/>
    <n v="0.91"/>
    <n v="10186"/>
    <n v="1493"/>
    <x v="3"/>
  </r>
  <r>
    <x v="49"/>
    <n v="17200"/>
    <n v="3.0200000000000001E-2"/>
    <n v="31"/>
    <n v="0.93"/>
    <n v="9800"/>
    <n v="1496"/>
    <x v="3"/>
  </r>
  <r>
    <x v="50"/>
    <n v="18500"/>
    <n v="0.02"/>
    <n v="27"/>
    <n v="0.96"/>
    <n v="9713"/>
    <n v="1552"/>
    <x v="3"/>
  </r>
  <r>
    <x v="51"/>
    <n v="16112"/>
    <n v="0.03"/>
    <n v="27"/>
    <n v="0.92"/>
    <n v="9328"/>
    <n v="1874"/>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3BFE9D9-BBB2-4D26-B5C5-345CECF3FB23}" name="PivotTable68" cacheId="1208"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B52:E73" firstHeaderRow="0" firstDataRow="1" firstDataCol="1"/>
  <pivotFields count="8">
    <pivotField axis="axisRow" showAll="0" defaultSubtotal="0">
      <items count="6">
        <item h="1" x="0"/>
        <item x="1"/>
        <item x="2"/>
        <item x="3"/>
        <item x="4"/>
        <item h="1" x="5"/>
      </items>
    </pivotField>
    <pivotField dataField="1" numFmtId="3" showAll="0" defaultSubtotal="0"/>
    <pivotField dataField="1" numFmtId="10" showAll="0" defaultSubtotal="0"/>
    <pivotField dataField="1" numFmtId="3" showAll="0" defaultSubtotal="0"/>
    <pivotField numFmtId="9" showAll="0" defaultSubtotal="0"/>
    <pivotField numFmtId="3" showAll="0" defaultSubtotal="0"/>
    <pivotField numFmtId="3" showAll="0" defaultSubtotal="0"/>
    <pivotField axis="axisRow" showAll="0" defaultSubtotal="0">
      <items count="4">
        <item x="0"/>
        <item x="2"/>
        <item x="1"/>
        <item x="3"/>
      </items>
    </pivotField>
  </pivotFields>
  <rowFields count="2">
    <field x="0"/>
    <field x="7"/>
  </rowFields>
  <rowItems count="21">
    <i>
      <x v="1"/>
    </i>
    <i r="1">
      <x/>
    </i>
    <i r="1">
      <x v="1"/>
    </i>
    <i r="1">
      <x v="2"/>
    </i>
    <i r="1">
      <x v="3"/>
    </i>
    <i>
      <x v="2"/>
    </i>
    <i r="1">
      <x/>
    </i>
    <i r="1">
      <x v="1"/>
    </i>
    <i r="1">
      <x v="2"/>
    </i>
    <i r="1">
      <x v="3"/>
    </i>
    <i>
      <x v="3"/>
    </i>
    <i r="1">
      <x/>
    </i>
    <i r="1">
      <x v="1"/>
    </i>
    <i r="1">
      <x v="2"/>
    </i>
    <i r="1">
      <x v="3"/>
    </i>
    <i>
      <x v="4"/>
    </i>
    <i r="1">
      <x/>
    </i>
    <i r="1">
      <x v="1"/>
    </i>
    <i r="1">
      <x v="2"/>
    </i>
    <i r="1">
      <x v="3"/>
    </i>
    <i t="grand">
      <x/>
    </i>
  </rowItems>
  <colFields count="1">
    <field x="-2"/>
  </colFields>
  <colItems count="3">
    <i>
      <x/>
    </i>
    <i i="1">
      <x v="1"/>
    </i>
    <i i="2">
      <x v="2"/>
    </i>
  </colItems>
  <dataFields count="3">
    <dataField name="Sum of Impressions" fld="1" baseField="0" baseItem="0" numFmtId="10">
      <extLst>
        <ext xmlns:x14="http://schemas.microsoft.com/office/spreadsheetml/2009/9/main" uri="{E15A36E0-9728-4e99-A89B-3F7291B0FE68}">
          <x14:dataField pivotShowAs="percentOfParentRow"/>
        </ext>
      </extLst>
    </dataField>
    <dataField name="Sum of Engagement Rate" fld="2" baseField="0" baseItem="0" numFmtId="10">
      <extLst>
        <ext xmlns:x14="http://schemas.microsoft.com/office/spreadsheetml/2009/9/main" uri="{E15A36E0-9728-4e99-A89B-3F7291B0FE68}">
          <x14:dataField pivotShowAs="percentOfParentRow"/>
        </ext>
      </extLst>
    </dataField>
    <dataField name="Sum of Audience Growth Rate" fld="3" baseField="0" baseItem="0" numFmtId="10">
      <extLst>
        <ext xmlns:x14="http://schemas.microsoft.com/office/spreadsheetml/2009/9/main" uri="{E15A36E0-9728-4e99-A89B-3F7291B0FE68}">
          <x14:dataField pivotShowAs="percentOfParentRow"/>
        </ext>
      </extLst>
    </dataField>
  </dataFields>
  <formats count="23">
    <format dxfId="228">
      <pivotArea outline="0" collapsedLevelsAreSubtotals="1" fieldPosition="0"/>
    </format>
    <format dxfId="229">
      <pivotArea dataOnly="0" labelOnly="1" grandRow="1" outline="0" fieldPosition="0"/>
    </format>
    <format dxfId="230">
      <pivotArea outline="0" collapsedLevelsAreSubtotals="1" fieldPosition="0"/>
    </format>
    <format dxfId="231">
      <pivotArea outline="0" fieldPosition="0">
        <references count="1">
          <reference field="4294967294" count="1">
            <x v="1"/>
          </reference>
        </references>
      </pivotArea>
    </format>
    <format dxfId="232">
      <pivotArea collapsedLevelsAreSubtotals="1" fieldPosition="0">
        <references count="3">
          <reference field="4294967294" count="1" selected="0">
            <x v="1"/>
          </reference>
          <reference field="0" count="1" selected="0">
            <x v="1"/>
          </reference>
          <reference field="7" count="0"/>
        </references>
      </pivotArea>
    </format>
    <format dxfId="233">
      <pivotArea collapsedLevelsAreSubtotals="1" fieldPosition="0">
        <references count="2">
          <reference field="4294967294" count="1" selected="0">
            <x v="1"/>
          </reference>
          <reference field="0" count="1">
            <x v="2"/>
          </reference>
        </references>
      </pivotArea>
    </format>
    <format dxfId="234">
      <pivotArea collapsedLevelsAreSubtotals="1" fieldPosition="0">
        <references count="3">
          <reference field="4294967294" count="1" selected="0">
            <x v="1"/>
          </reference>
          <reference field="0" count="1" selected="0">
            <x v="2"/>
          </reference>
          <reference field="7" count="0"/>
        </references>
      </pivotArea>
    </format>
    <format dxfId="235">
      <pivotArea collapsedLevelsAreSubtotals="1" fieldPosition="0">
        <references count="2">
          <reference field="4294967294" count="1" selected="0">
            <x v="1"/>
          </reference>
          <reference field="0" count="1">
            <x v="3"/>
          </reference>
        </references>
      </pivotArea>
    </format>
    <format dxfId="236">
      <pivotArea collapsedLevelsAreSubtotals="1" fieldPosition="0">
        <references count="3">
          <reference field="4294967294" count="1" selected="0">
            <x v="1"/>
          </reference>
          <reference field="0" count="1" selected="0">
            <x v="3"/>
          </reference>
          <reference field="7" count="0"/>
        </references>
      </pivotArea>
    </format>
    <format dxfId="237">
      <pivotArea collapsedLevelsAreSubtotals="1" fieldPosition="0">
        <references count="2">
          <reference field="4294967294" count="1" selected="0">
            <x v="1"/>
          </reference>
          <reference field="0" count="1">
            <x v="4"/>
          </reference>
        </references>
      </pivotArea>
    </format>
    <format dxfId="238">
      <pivotArea collapsedLevelsAreSubtotals="1" fieldPosition="0">
        <references count="3">
          <reference field="4294967294" count="1" selected="0">
            <x v="1"/>
          </reference>
          <reference field="0" count="1" selected="0">
            <x v="4"/>
          </reference>
          <reference field="7" count="0"/>
        </references>
      </pivotArea>
    </format>
    <format dxfId="227">
      <pivotArea outline="0" fieldPosition="0">
        <references count="1">
          <reference field="4294967294" count="1">
            <x v="0"/>
          </reference>
        </references>
      </pivotArea>
    </format>
    <format dxfId="226">
      <pivotArea outline="0" fieldPosition="0">
        <references count="1">
          <reference field="4294967294" count="1">
            <x v="2"/>
          </reference>
        </references>
      </pivotArea>
    </format>
    <format dxfId="177">
      <pivotArea type="all" dataOnly="0" outline="0" fieldPosition="0"/>
    </format>
    <format dxfId="176">
      <pivotArea outline="0" collapsedLevelsAreSubtotals="1" fieldPosition="0"/>
    </format>
    <format dxfId="175">
      <pivotArea field="0" type="button" dataOnly="0" labelOnly="1" outline="0" axis="axisRow" fieldPosition="0"/>
    </format>
    <format dxfId="174">
      <pivotArea dataOnly="0" labelOnly="1" fieldPosition="0">
        <references count="1">
          <reference field="0" count="0"/>
        </references>
      </pivotArea>
    </format>
    <format dxfId="173">
      <pivotArea dataOnly="0" labelOnly="1" grandRow="1" outline="0" fieldPosition="0"/>
    </format>
    <format dxfId="172">
      <pivotArea dataOnly="0" labelOnly="1" fieldPosition="0">
        <references count="2">
          <reference field="0" count="1" selected="0">
            <x v="1"/>
          </reference>
          <reference field="7" count="0"/>
        </references>
      </pivotArea>
    </format>
    <format dxfId="171">
      <pivotArea dataOnly="0" labelOnly="1" fieldPosition="0">
        <references count="2">
          <reference field="0" count="1" selected="0">
            <x v="2"/>
          </reference>
          <reference field="7" count="0"/>
        </references>
      </pivotArea>
    </format>
    <format dxfId="170">
      <pivotArea dataOnly="0" labelOnly="1" fieldPosition="0">
        <references count="2">
          <reference field="0" count="1" selected="0">
            <x v="3"/>
          </reference>
          <reference field="7" count="0"/>
        </references>
      </pivotArea>
    </format>
    <format dxfId="169">
      <pivotArea dataOnly="0" labelOnly="1" fieldPosition="0">
        <references count="2">
          <reference field="0" count="1" selected="0">
            <x v="4"/>
          </reference>
          <reference field="7" count="0"/>
        </references>
      </pivotArea>
    </format>
    <format dxfId="168">
      <pivotArea dataOnly="0" labelOnly="1" outline="0" fieldPosition="0">
        <references count="1">
          <reference field="4294967294" count="3">
            <x v="0"/>
            <x v="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790E084-FCF0-4725-9B0A-B5B11C756A75}" name="PivotTable64" cacheId="1208"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F103:I124" firstHeaderRow="0" firstDataRow="1" firstDataCol="1"/>
  <pivotFields count="8">
    <pivotField axis="axisRow" showAll="0" defaultSubtotal="0">
      <items count="6">
        <item h="1" x="0"/>
        <item x="1"/>
        <item x="2"/>
        <item x="3"/>
        <item x="4"/>
        <item h="1" x="5"/>
      </items>
    </pivotField>
    <pivotField dataField="1" numFmtId="3" showAll="0" defaultSubtotal="0"/>
    <pivotField dataField="1" numFmtId="10" showAll="0" defaultSubtotal="0"/>
    <pivotField dataField="1" numFmtId="3" showAll="0" defaultSubtotal="0"/>
    <pivotField numFmtId="9" showAll="0" defaultSubtotal="0"/>
    <pivotField numFmtId="3" showAll="0" defaultSubtotal="0"/>
    <pivotField numFmtId="3" showAll="0" defaultSubtotal="0"/>
    <pivotField axis="axisRow" showAll="0" defaultSubtotal="0">
      <items count="4">
        <item x="0"/>
        <item x="2"/>
        <item x="1"/>
        <item x="3"/>
      </items>
    </pivotField>
  </pivotFields>
  <rowFields count="2">
    <field x="0"/>
    <field x="7"/>
  </rowFields>
  <rowItems count="21">
    <i>
      <x v="1"/>
    </i>
    <i r="1">
      <x/>
    </i>
    <i r="1">
      <x v="1"/>
    </i>
    <i r="1">
      <x v="2"/>
    </i>
    <i r="1">
      <x v="3"/>
    </i>
    <i>
      <x v="2"/>
    </i>
    <i r="1">
      <x/>
    </i>
    <i r="1">
      <x v="1"/>
    </i>
    <i r="1">
      <x v="2"/>
    </i>
    <i r="1">
      <x v="3"/>
    </i>
    <i>
      <x v="3"/>
    </i>
    <i r="1">
      <x/>
    </i>
    <i r="1">
      <x v="1"/>
    </i>
    <i r="1">
      <x v="2"/>
    </i>
    <i r="1">
      <x v="3"/>
    </i>
    <i>
      <x v="4"/>
    </i>
    <i r="1">
      <x/>
    </i>
    <i r="1">
      <x v="1"/>
    </i>
    <i r="1">
      <x v="2"/>
    </i>
    <i r="1">
      <x v="3"/>
    </i>
    <i t="grand">
      <x/>
    </i>
  </rowItems>
  <colFields count="1">
    <field x="-2"/>
  </colFields>
  <colItems count="3">
    <i>
      <x/>
    </i>
    <i i="1">
      <x v="1"/>
    </i>
    <i i="2">
      <x v="2"/>
    </i>
  </colItems>
  <dataFields count="3">
    <dataField name="Sum of Impressions" fld="1" baseField="0" baseItem="0"/>
    <dataField name="Sum of Engagement Rate" fld="2" baseField="0" baseItem="0" numFmtId="10">
      <extLst>
        <ext xmlns:x14="http://schemas.microsoft.com/office/spreadsheetml/2009/9/main" uri="{E15A36E0-9728-4e99-A89B-3F7291B0FE68}">
          <x14:dataField pivotShowAs="percentOfParentRow"/>
        </ext>
      </extLst>
    </dataField>
    <dataField name="Sum of Audience Growth Rate" fld="3" baseField="0" baseItem="0"/>
  </dataFields>
  <formats count="21">
    <format dxfId="242">
      <pivotArea outline="0" collapsedLevelsAreSubtotals="1" fieldPosition="0"/>
    </format>
    <format dxfId="243">
      <pivotArea dataOnly="0" labelOnly="1" grandRow="1" outline="0" fieldPosition="0"/>
    </format>
    <format dxfId="244">
      <pivotArea outline="0" collapsedLevelsAreSubtotals="1" fieldPosition="0"/>
    </format>
    <format dxfId="245">
      <pivotArea outline="0" fieldPosition="0">
        <references count="1">
          <reference field="4294967294" count="1">
            <x v="1"/>
          </reference>
        </references>
      </pivotArea>
    </format>
    <format dxfId="246">
      <pivotArea collapsedLevelsAreSubtotals="1" fieldPosition="0">
        <references count="3">
          <reference field="4294967294" count="1" selected="0">
            <x v="1"/>
          </reference>
          <reference field="0" count="1" selected="0">
            <x v="1"/>
          </reference>
          <reference field="7" count="0"/>
        </references>
      </pivotArea>
    </format>
    <format dxfId="247">
      <pivotArea collapsedLevelsAreSubtotals="1" fieldPosition="0">
        <references count="2">
          <reference field="4294967294" count="1" selected="0">
            <x v="1"/>
          </reference>
          <reference field="0" count="1">
            <x v="2"/>
          </reference>
        </references>
      </pivotArea>
    </format>
    <format dxfId="248">
      <pivotArea collapsedLevelsAreSubtotals="1" fieldPosition="0">
        <references count="3">
          <reference field="4294967294" count="1" selected="0">
            <x v="1"/>
          </reference>
          <reference field="0" count="1" selected="0">
            <x v="2"/>
          </reference>
          <reference field="7" count="0"/>
        </references>
      </pivotArea>
    </format>
    <format dxfId="249">
      <pivotArea collapsedLevelsAreSubtotals="1" fieldPosition="0">
        <references count="2">
          <reference field="4294967294" count="1" selected="0">
            <x v="1"/>
          </reference>
          <reference field="0" count="1">
            <x v="3"/>
          </reference>
        </references>
      </pivotArea>
    </format>
    <format dxfId="250">
      <pivotArea collapsedLevelsAreSubtotals="1" fieldPosition="0">
        <references count="3">
          <reference field="4294967294" count="1" selected="0">
            <x v="1"/>
          </reference>
          <reference field="0" count="1" selected="0">
            <x v="3"/>
          </reference>
          <reference field="7" count="0"/>
        </references>
      </pivotArea>
    </format>
    <format dxfId="251">
      <pivotArea collapsedLevelsAreSubtotals="1" fieldPosition="0">
        <references count="2">
          <reference field="4294967294" count="1" selected="0">
            <x v="1"/>
          </reference>
          <reference field="0" count="1">
            <x v="4"/>
          </reference>
        </references>
      </pivotArea>
    </format>
    <format dxfId="252">
      <pivotArea collapsedLevelsAreSubtotals="1" fieldPosition="0">
        <references count="3">
          <reference field="4294967294" count="1" selected="0">
            <x v="1"/>
          </reference>
          <reference field="0" count="1" selected="0">
            <x v="4"/>
          </reference>
          <reference field="7" count="0"/>
        </references>
      </pivotArea>
    </format>
    <format dxfId="225">
      <pivotArea type="all" dataOnly="0" outline="0" fieldPosition="0"/>
    </format>
    <format dxfId="224">
      <pivotArea outline="0" collapsedLevelsAreSubtotals="1" fieldPosition="0"/>
    </format>
    <format dxfId="223">
      <pivotArea field="0" type="button" dataOnly="0" labelOnly="1" outline="0" axis="axisRow" fieldPosition="0"/>
    </format>
    <format dxfId="222">
      <pivotArea dataOnly="0" labelOnly="1" fieldPosition="0">
        <references count="1">
          <reference field="0" count="0"/>
        </references>
      </pivotArea>
    </format>
    <format dxfId="221">
      <pivotArea dataOnly="0" labelOnly="1" grandRow="1" outline="0" fieldPosition="0"/>
    </format>
    <format dxfId="220">
      <pivotArea dataOnly="0" labelOnly="1" fieldPosition="0">
        <references count="2">
          <reference field="0" count="1" selected="0">
            <x v="1"/>
          </reference>
          <reference field="7" count="0"/>
        </references>
      </pivotArea>
    </format>
    <format dxfId="219">
      <pivotArea dataOnly="0" labelOnly="1" fieldPosition="0">
        <references count="2">
          <reference field="0" count="1" selected="0">
            <x v="2"/>
          </reference>
          <reference field="7" count="0"/>
        </references>
      </pivotArea>
    </format>
    <format dxfId="218">
      <pivotArea dataOnly="0" labelOnly="1" fieldPosition="0">
        <references count="2">
          <reference field="0" count="1" selected="0">
            <x v="3"/>
          </reference>
          <reference field="7" count="0"/>
        </references>
      </pivotArea>
    </format>
    <format dxfId="217">
      <pivotArea dataOnly="0" labelOnly="1" fieldPosition="0">
        <references count="2">
          <reference field="0" count="1" selected="0">
            <x v="4"/>
          </reference>
          <reference field="7" count="0"/>
        </references>
      </pivotArea>
    </format>
    <format dxfId="216">
      <pivotArea dataOnly="0" labelOnly="1" outline="0" fieldPosition="0">
        <references count="1">
          <reference field="4294967294" count="3">
            <x v="0"/>
            <x v="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0D56893-F518-4E88-BB82-6AD6D9B90010}" name="PivotTable63" cacheId="1208" applyNumberFormats="0" applyBorderFormats="0" applyFontFormats="0" applyPatternFormats="0" applyAlignmentFormats="0" applyWidthHeightFormats="1" dataCaption="Values" updatedVersion="7" minRefreshableVersion="3" useAutoFormatting="1" colGrandTotals="0" itemPrintTitles="1" createdVersion="7" indent="0" outline="1" outlineData="1" multipleFieldFilters="0" chartFormat="45">
  <location ref="H35:I41" firstHeaderRow="1" firstDataRow="2" firstDataCol="1"/>
  <pivotFields count="8">
    <pivotField axis="axisRow" showAll="0" defaultSubtotal="0">
      <items count="6">
        <item h="1" x="0"/>
        <item x="1"/>
        <item x="2"/>
        <item x="3"/>
        <item x="4"/>
        <item h="1" x="5"/>
      </items>
    </pivotField>
    <pivotField numFmtId="3" showAll="0" defaultSubtotal="0"/>
    <pivotField numFmtId="10" showAll="0" defaultSubtotal="0"/>
    <pivotField dataField="1" numFmtId="3" showAll="0" defaultSubtotal="0"/>
    <pivotField numFmtId="9" showAll="0" defaultSubtotal="0"/>
    <pivotField numFmtId="3" showAll="0" defaultSubtotal="0"/>
    <pivotField numFmtId="3" showAll="0" defaultSubtotal="0"/>
    <pivotField axis="axisCol" showAll="0" defaultSubtotal="0">
      <items count="4">
        <item h="1" x="0"/>
        <item h="1" x="2"/>
        <item h="1" x="1"/>
        <item x="3"/>
      </items>
    </pivotField>
  </pivotFields>
  <rowFields count="1">
    <field x="0"/>
  </rowFields>
  <rowItems count="5">
    <i>
      <x v="1"/>
    </i>
    <i>
      <x v="2"/>
    </i>
    <i>
      <x v="3"/>
    </i>
    <i>
      <x v="4"/>
    </i>
    <i t="grand">
      <x/>
    </i>
  </rowItems>
  <colFields count="1">
    <field x="7"/>
  </colFields>
  <colItems count="1">
    <i>
      <x v="3"/>
    </i>
  </colItems>
  <dataFields count="1">
    <dataField name="Sum of Audience Growth Rate" fld="3" baseField="0" baseItem="0"/>
  </dataFields>
  <formats count="14">
    <format dxfId="253">
      <pivotArea outline="0" collapsedLevelsAreSubtotals="1" fieldPosition="0"/>
    </format>
    <format dxfId="254">
      <pivotArea dataOnly="0" labelOnly="1" grandRow="1" outline="0" fieldPosition="0"/>
    </format>
    <format dxfId="255">
      <pivotArea outline="0" collapsedLevelsAreSubtotals="1" fieldPosition="0"/>
    </format>
    <format dxfId="256">
      <pivotArea dataOnly="0" labelOnly="1" grandRow="1" outline="0" fieldPosition="0"/>
    </format>
    <format dxfId="257">
      <pivotArea dataOnly="0" labelOnly="1" fieldPosition="0">
        <references count="1">
          <reference field="7" count="1">
            <x v="3"/>
          </reference>
        </references>
      </pivotArea>
    </format>
    <format dxfId="258">
      <pivotArea dataOnly="0" labelOnly="1" fieldPosition="0">
        <references count="1">
          <reference field="7" count="1">
            <x v="3"/>
          </reference>
        </references>
      </pivotArea>
    </format>
    <format dxfId="215">
      <pivotArea type="all" dataOnly="0" outline="0" fieldPosition="0"/>
    </format>
    <format dxfId="214">
      <pivotArea outline="0" collapsedLevelsAreSubtotals="1" fieldPosition="0"/>
    </format>
    <format dxfId="213">
      <pivotArea type="origin" dataOnly="0" labelOnly="1" outline="0" fieldPosition="0"/>
    </format>
    <format dxfId="212">
      <pivotArea field="7" type="button" dataOnly="0" labelOnly="1" outline="0" axis="axisCol" fieldPosition="0"/>
    </format>
    <format dxfId="211">
      <pivotArea field="0" type="button" dataOnly="0" labelOnly="1" outline="0" axis="axisRow" fieldPosition="0"/>
    </format>
    <format dxfId="210">
      <pivotArea dataOnly="0" labelOnly="1" fieldPosition="0">
        <references count="1">
          <reference field="0" count="0"/>
        </references>
      </pivotArea>
    </format>
    <format dxfId="209">
      <pivotArea dataOnly="0" labelOnly="1" grandRow="1" outline="0" fieldPosition="0"/>
    </format>
    <format dxfId="208">
      <pivotArea dataOnly="0" labelOnly="1" fieldPosition="0">
        <references count="1">
          <reference field="7" count="0"/>
        </references>
      </pivotArea>
    </format>
  </formats>
  <chartFormats count="75">
    <chartFormat chart="15" format="228" series="1">
      <pivotArea type="data" outline="0" fieldPosition="0">
        <references count="2">
          <reference field="4294967294" count="1" selected="0">
            <x v="0"/>
          </reference>
          <reference field="7" count="1" selected="0">
            <x v="0"/>
          </reference>
        </references>
      </pivotArea>
    </chartFormat>
    <chartFormat chart="15" format="229">
      <pivotArea type="data" outline="0" fieldPosition="0">
        <references count="3">
          <reference field="4294967294" count="1" selected="0">
            <x v="0"/>
          </reference>
          <reference field="0" count="1" selected="0">
            <x v="1"/>
          </reference>
          <reference field="7" count="1" selected="0">
            <x v="0"/>
          </reference>
        </references>
      </pivotArea>
    </chartFormat>
    <chartFormat chart="15" format="230">
      <pivotArea type="data" outline="0" fieldPosition="0">
        <references count="3">
          <reference field="4294967294" count="1" selected="0">
            <x v="0"/>
          </reference>
          <reference field="0" count="1" selected="0">
            <x v="2"/>
          </reference>
          <reference field="7" count="1" selected="0">
            <x v="0"/>
          </reference>
        </references>
      </pivotArea>
    </chartFormat>
    <chartFormat chart="15" format="231">
      <pivotArea type="data" outline="0" fieldPosition="0">
        <references count="3">
          <reference field="4294967294" count="1" selected="0">
            <x v="0"/>
          </reference>
          <reference field="0" count="1" selected="0">
            <x v="3"/>
          </reference>
          <reference field="7" count="1" selected="0">
            <x v="0"/>
          </reference>
        </references>
      </pivotArea>
    </chartFormat>
    <chartFormat chart="15" format="232">
      <pivotArea type="data" outline="0" fieldPosition="0">
        <references count="3">
          <reference field="4294967294" count="1" selected="0">
            <x v="0"/>
          </reference>
          <reference field="0" count="1" selected="0">
            <x v="4"/>
          </reference>
          <reference field="7" count="1" selected="0">
            <x v="0"/>
          </reference>
        </references>
      </pivotArea>
    </chartFormat>
    <chartFormat chart="15" format="233" series="1">
      <pivotArea type="data" outline="0" fieldPosition="0">
        <references count="2">
          <reference field="4294967294" count="1" selected="0">
            <x v="0"/>
          </reference>
          <reference field="7" count="1" selected="0">
            <x v="1"/>
          </reference>
        </references>
      </pivotArea>
    </chartFormat>
    <chartFormat chart="15" format="234">
      <pivotArea type="data" outline="0" fieldPosition="0">
        <references count="3">
          <reference field="4294967294" count="1" selected="0">
            <x v="0"/>
          </reference>
          <reference field="0" count="1" selected="0">
            <x v="1"/>
          </reference>
          <reference field="7" count="1" selected="0">
            <x v="1"/>
          </reference>
        </references>
      </pivotArea>
    </chartFormat>
    <chartFormat chart="15" format="235">
      <pivotArea type="data" outline="0" fieldPosition="0">
        <references count="3">
          <reference field="4294967294" count="1" selected="0">
            <x v="0"/>
          </reference>
          <reference field="0" count="1" selected="0">
            <x v="2"/>
          </reference>
          <reference field="7" count="1" selected="0">
            <x v="1"/>
          </reference>
        </references>
      </pivotArea>
    </chartFormat>
    <chartFormat chart="15" format="236">
      <pivotArea type="data" outline="0" fieldPosition="0">
        <references count="3">
          <reference field="4294967294" count="1" selected="0">
            <x v="0"/>
          </reference>
          <reference field="0" count="1" selected="0">
            <x v="3"/>
          </reference>
          <reference field="7" count="1" selected="0">
            <x v="1"/>
          </reference>
        </references>
      </pivotArea>
    </chartFormat>
    <chartFormat chart="15" format="237">
      <pivotArea type="data" outline="0" fieldPosition="0">
        <references count="3">
          <reference field="4294967294" count="1" selected="0">
            <x v="0"/>
          </reference>
          <reference field="0" count="1" selected="0">
            <x v="4"/>
          </reference>
          <reference field="7" count="1" selected="0">
            <x v="1"/>
          </reference>
        </references>
      </pivotArea>
    </chartFormat>
    <chartFormat chart="15" format="238" series="1">
      <pivotArea type="data" outline="0" fieldPosition="0">
        <references count="2">
          <reference field="4294967294" count="1" selected="0">
            <x v="0"/>
          </reference>
          <reference field="7" count="1" selected="0">
            <x v="2"/>
          </reference>
        </references>
      </pivotArea>
    </chartFormat>
    <chartFormat chart="15" format="239">
      <pivotArea type="data" outline="0" fieldPosition="0">
        <references count="3">
          <reference field="4294967294" count="1" selected="0">
            <x v="0"/>
          </reference>
          <reference field="0" count="1" selected="0">
            <x v="1"/>
          </reference>
          <reference field="7" count="1" selected="0">
            <x v="2"/>
          </reference>
        </references>
      </pivotArea>
    </chartFormat>
    <chartFormat chart="15" format="240">
      <pivotArea type="data" outline="0" fieldPosition="0">
        <references count="3">
          <reference field="4294967294" count="1" selected="0">
            <x v="0"/>
          </reference>
          <reference field="0" count="1" selected="0">
            <x v="2"/>
          </reference>
          <reference field="7" count="1" selected="0">
            <x v="2"/>
          </reference>
        </references>
      </pivotArea>
    </chartFormat>
    <chartFormat chart="15" format="241">
      <pivotArea type="data" outline="0" fieldPosition="0">
        <references count="3">
          <reference field="4294967294" count="1" selected="0">
            <x v="0"/>
          </reference>
          <reference field="0" count="1" selected="0">
            <x v="3"/>
          </reference>
          <reference field="7" count="1" selected="0">
            <x v="2"/>
          </reference>
        </references>
      </pivotArea>
    </chartFormat>
    <chartFormat chart="15" format="242">
      <pivotArea type="data" outline="0" fieldPosition="0">
        <references count="3">
          <reference field="4294967294" count="1" selected="0">
            <x v="0"/>
          </reference>
          <reference field="0" count="1" selected="0">
            <x v="4"/>
          </reference>
          <reference field="7" count="1" selected="0">
            <x v="2"/>
          </reference>
        </references>
      </pivotArea>
    </chartFormat>
    <chartFormat chart="15" format="243" series="1">
      <pivotArea type="data" outline="0" fieldPosition="0">
        <references count="2">
          <reference field="4294967294" count="1" selected="0">
            <x v="0"/>
          </reference>
          <reference field="7" count="1" selected="0">
            <x v="3"/>
          </reference>
        </references>
      </pivotArea>
    </chartFormat>
    <chartFormat chart="15" format="244">
      <pivotArea type="data" outline="0" fieldPosition="0">
        <references count="3">
          <reference field="4294967294" count="1" selected="0">
            <x v="0"/>
          </reference>
          <reference field="0" count="1" selected="0">
            <x v="1"/>
          </reference>
          <reference field="7" count="1" selected="0">
            <x v="3"/>
          </reference>
        </references>
      </pivotArea>
    </chartFormat>
    <chartFormat chart="15" format="245">
      <pivotArea type="data" outline="0" fieldPosition="0">
        <references count="3">
          <reference field="4294967294" count="1" selected="0">
            <x v="0"/>
          </reference>
          <reference field="0" count="1" selected="0">
            <x v="2"/>
          </reference>
          <reference field="7" count="1" selected="0">
            <x v="3"/>
          </reference>
        </references>
      </pivotArea>
    </chartFormat>
    <chartFormat chart="15" format="246">
      <pivotArea type="data" outline="0" fieldPosition="0">
        <references count="3">
          <reference field="4294967294" count="1" selected="0">
            <x v="0"/>
          </reference>
          <reference field="0" count="1" selected="0">
            <x v="3"/>
          </reference>
          <reference field="7" count="1" selected="0">
            <x v="3"/>
          </reference>
        </references>
      </pivotArea>
    </chartFormat>
    <chartFormat chart="15" format="247">
      <pivotArea type="data" outline="0" fieldPosition="0">
        <references count="3">
          <reference field="4294967294" count="1" selected="0">
            <x v="0"/>
          </reference>
          <reference field="0" count="1" selected="0">
            <x v="4"/>
          </reference>
          <reference field="7" count="1" selected="0">
            <x v="3"/>
          </reference>
        </references>
      </pivotArea>
    </chartFormat>
    <chartFormat chart="32" format="248" series="1">
      <pivotArea type="data" outline="0" fieldPosition="0">
        <references count="2">
          <reference field="4294967294" count="1" selected="0">
            <x v="0"/>
          </reference>
          <reference field="7" count="1" selected="0">
            <x v="0"/>
          </reference>
        </references>
      </pivotArea>
    </chartFormat>
    <chartFormat chart="32" format="249">
      <pivotArea type="data" outline="0" fieldPosition="0">
        <references count="3">
          <reference field="4294967294" count="1" selected="0">
            <x v="0"/>
          </reference>
          <reference field="0" count="1" selected="0">
            <x v="1"/>
          </reference>
          <reference field="7" count="1" selected="0">
            <x v="0"/>
          </reference>
        </references>
      </pivotArea>
    </chartFormat>
    <chartFormat chart="32" format="250">
      <pivotArea type="data" outline="0" fieldPosition="0">
        <references count="3">
          <reference field="4294967294" count="1" selected="0">
            <x v="0"/>
          </reference>
          <reference field="0" count="1" selected="0">
            <x v="2"/>
          </reference>
          <reference field="7" count="1" selected="0">
            <x v="0"/>
          </reference>
        </references>
      </pivotArea>
    </chartFormat>
    <chartFormat chart="32" format="251">
      <pivotArea type="data" outline="0" fieldPosition="0">
        <references count="3">
          <reference field="4294967294" count="1" selected="0">
            <x v="0"/>
          </reference>
          <reference field="0" count="1" selected="0">
            <x v="3"/>
          </reference>
          <reference field="7" count="1" selected="0">
            <x v="0"/>
          </reference>
        </references>
      </pivotArea>
    </chartFormat>
    <chartFormat chart="32" format="252">
      <pivotArea type="data" outline="0" fieldPosition="0">
        <references count="3">
          <reference field="4294967294" count="1" selected="0">
            <x v="0"/>
          </reference>
          <reference field="0" count="1" selected="0">
            <x v="4"/>
          </reference>
          <reference field="7" count="1" selected="0">
            <x v="0"/>
          </reference>
        </references>
      </pivotArea>
    </chartFormat>
    <chartFormat chart="32" format="253" series="1">
      <pivotArea type="data" outline="0" fieldPosition="0">
        <references count="2">
          <reference field="4294967294" count="1" selected="0">
            <x v="0"/>
          </reference>
          <reference field="7" count="1" selected="0">
            <x v="1"/>
          </reference>
        </references>
      </pivotArea>
    </chartFormat>
    <chartFormat chart="32" format="254">
      <pivotArea type="data" outline="0" fieldPosition="0">
        <references count="3">
          <reference field="4294967294" count="1" selected="0">
            <x v="0"/>
          </reference>
          <reference field="0" count="1" selected="0">
            <x v="1"/>
          </reference>
          <reference field="7" count="1" selected="0">
            <x v="1"/>
          </reference>
        </references>
      </pivotArea>
    </chartFormat>
    <chartFormat chart="32" format="255">
      <pivotArea type="data" outline="0" fieldPosition="0">
        <references count="3">
          <reference field="4294967294" count="1" selected="0">
            <x v="0"/>
          </reference>
          <reference field="0" count="1" selected="0">
            <x v="2"/>
          </reference>
          <reference field="7" count="1" selected="0">
            <x v="1"/>
          </reference>
        </references>
      </pivotArea>
    </chartFormat>
    <chartFormat chart="32" format="256">
      <pivotArea type="data" outline="0" fieldPosition="0">
        <references count="3">
          <reference field="4294967294" count="1" selected="0">
            <x v="0"/>
          </reference>
          <reference field="0" count="1" selected="0">
            <x v="3"/>
          </reference>
          <reference field="7" count="1" selected="0">
            <x v="1"/>
          </reference>
        </references>
      </pivotArea>
    </chartFormat>
    <chartFormat chart="32" format="257">
      <pivotArea type="data" outline="0" fieldPosition="0">
        <references count="3">
          <reference field="4294967294" count="1" selected="0">
            <x v="0"/>
          </reference>
          <reference field="0" count="1" selected="0">
            <x v="4"/>
          </reference>
          <reference field="7" count="1" selected="0">
            <x v="1"/>
          </reference>
        </references>
      </pivotArea>
    </chartFormat>
    <chartFormat chart="32" format="258" series="1">
      <pivotArea type="data" outline="0" fieldPosition="0">
        <references count="2">
          <reference field="4294967294" count="1" selected="0">
            <x v="0"/>
          </reference>
          <reference field="7" count="1" selected="0">
            <x v="2"/>
          </reference>
        </references>
      </pivotArea>
    </chartFormat>
    <chartFormat chart="32" format="259">
      <pivotArea type="data" outline="0" fieldPosition="0">
        <references count="3">
          <reference field="4294967294" count="1" selected="0">
            <x v="0"/>
          </reference>
          <reference field="0" count="1" selected="0">
            <x v="1"/>
          </reference>
          <reference field="7" count="1" selected="0">
            <x v="2"/>
          </reference>
        </references>
      </pivotArea>
    </chartFormat>
    <chartFormat chart="32" format="260">
      <pivotArea type="data" outline="0" fieldPosition="0">
        <references count="3">
          <reference field="4294967294" count="1" selected="0">
            <x v="0"/>
          </reference>
          <reference field="0" count="1" selected="0">
            <x v="2"/>
          </reference>
          <reference field="7" count="1" selected="0">
            <x v="2"/>
          </reference>
        </references>
      </pivotArea>
    </chartFormat>
    <chartFormat chart="32" format="261">
      <pivotArea type="data" outline="0" fieldPosition="0">
        <references count="3">
          <reference field="4294967294" count="1" selected="0">
            <x v="0"/>
          </reference>
          <reference field="0" count="1" selected="0">
            <x v="3"/>
          </reference>
          <reference field="7" count="1" selected="0">
            <x v="2"/>
          </reference>
        </references>
      </pivotArea>
    </chartFormat>
    <chartFormat chart="32" format="262">
      <pivotArea type="data" outline="0" fieldPosition="0">
        <references count="3">
          <reference field="4294967294" count="1" selected="0">
            <x v="0"/>
          </reference>
          <reference field="0" count="1" selected="0">
            <x v="4"/>
          </reference>
          <reference field="7" count="1" selected="0">
            <x v="2"/>
          </reference>
        </references>
      </pivotArea>
    </chartFormat>
    <chartFormat chart="32" format="263" series="1">
      <pivotArea type="data" outline="0" fieldPosition="0">
        <references count="2">
          <reference field="4294967294" count="1" selected="0">
            <x v="0"/>
          </reference>
          <reference field="7" count="1" selected="0">
            <x v="3"/>
          </reference>
        </references>
      </pivotArea>
    </chartFormat>
    <chartFormat chart="32" format="264">
      <pivotArea type="data" outline="0" fieldPosition="0">
        <references count="3">
          <reference field="4294967294" count="1" selected="0">
            <x v="0"/>
          </reference>
          <reference field="0" count="1" selected="0">
            <x v="1"/>
          </reference>
          <reference field="7" count="1" selected="0">
            <x v="3"/>
          </reference>
        </references>
      </pivotArea>
    </chartFormat>
    <chartFormat chart="32" format="265">
      <pivotArea type="data" outline="0" fieldPosition="0">
        <references count="3">
          <reference field="4294967294" count="1" selected="0">
            <x v="0"/>
          </reference>
          <reference field="0" count="1" selected="0">
            <x v="2"/>
          </reference>
          <reference field="7" count="1" selected="0">
            <x v="3"/>
          </reference>
        </references>
      </pivotArea>
    </chartFormat>
    <chartFormat chart="32" format="266">
      <pivotArea type="data" outline="0" fieldPosition="0">
        <references count="3">
          <reference field="4294967294" count="1" selected="0">
            <x v="0"/>
          </reference>
          <reference field="0" count="1" selected="0">
            <x v="3"/>
          </reference>
          <reference field="7" count="1" selected="0">
            <x v="3"/>
          </reference>
        </references>
      </pivotArea>
    </chartFormat>
    <chartFormat chart="32" format="267">
      <pivotArea type="data" outline="0" fieldPosition="0">
        <references count="3">
          <reference field="4294967294" count="1" selected="0">
            <x v="0"/>
          </reference>
          <reference field="0" count="1" selected="0">
            <x v="4"/>
          </reference>
          <reference field="7" count="1" selected="0">
            <x v="3"/>
          </reference>
        </references>
      </pivotArea>
    </chartFormat>
    <chartFormat chart="33" format="268" series="1">
      <pivotArea type="data" outline="0" fieldPosition="0">
        <references count="2">
          <reference field="4294967294" count="1" selected="0">
            <x v="0"/>
          </reference>
          <reference field="7" count="1" selected="0">
            <x v="0"/>
          </reference>
        </references>
      </pivotArea>
    </chartFormat>
    <chartFormat chart="33" format="269">
      <pivotArea type="data" outline="0" fieldPosition="0">
        <references count="3">
          <reference field="4294967294" count="1" selected="0">
            <x v="0"/>
          </reference>
          <reference field="0" count="1" selected="0">
            <x v="1"/>
          </reference>
          <reference field="7" count="1" selected="0">
            <x v="0"/>
          </reference>
        </references>
      </pivotArea>
    </chartFormat>
    <chartFormat chart="33" format="270">
      <pivotArea type="data" outline="0" fieldPosition="0">
        <references count="3">
          <reference field="4294967294" count="1" selected="0">
            <x v="0"/>
          </reference>
          <reference field="0" count="1" selected="0">
            <x v="2"/>
          </reference>
          <reference field="7" count="1" selected="0">
            <x v="0"/>
          </reference>
        </references>
      </pivotArea>
    </chartFormat>
    <chartFormat chart="33" format="271">
      <pivotArea type="data" outline="0" fieldPosition="0">
        <references count="3">
          <reference field="4294967294" count="1" selected="0">
            <x v="0"/>
          </reference>
          <reference field="0" count="1" selected="0">
            <x v="3"/>
          </reference>
          <reference field="7" count="1" selected="0">
            <x v="0"/>
          </reference>
        </references>
      </pivotArea>
    </chartFormat>
    <chartFormat chart="33" format="272">
      <pivotArea type="data" outline="0" fieldPosition="0">
        <references count="3">
          <reference field="4294967294" count="1" selected="0">
            <x v="0"/>
          </reference>
          <reference field="0" count="1" selected="0">
            <x v="4"/>
          </reference>
          <reference field="7" count="1" selected="0">
            <x v="0"/>
          </reference>
        </references>
      </pivotArea>
    </chartFormat>
    <chartFormat chart="33" format="273" series="1">
      <pivotArea type="data" outline="0" fieldPosition="0">
        <references count="2">
          <reference field="4294967294" count="1" selected="0">
            <x v="0"/>
          </reference>
          <reference field="7" count="1" selected="0">
            <x v="1"/>
          </reference>
        </references>
      </pivotArea>
    </chartFormat>
    <chartFormat chart="33" format="274">
      <pivotArea type="data" outline="0" fieldPosition="0">
        <references count="3">
          <reference field="4294967294" count="1" selected="0">
            <x v="0"/>
          </reference>
          <reference field="0" count="1" selected="0">
            <x v="1"/>
          </reference>
          <reference field="7" count="1" selected="0">
            <x v="1"/>
          </reference>
        </references>
      </pivotArea>
    </chartFormat>
    <chartFormat chart="33" format="275">
      <pivotArea type="data" outline="0" fieldPosition="0">
        <references count="3">
          <reference field="4294967294" count="1" selected="0">
            <x v="0"/>
          </reference>
          <reference field="0" count="1" selected="0">
            <x v="2"/>
          </reference>
          <reference field="7" count="1" selected="0">
            <x v="1"/>
          </reference>
        </references>
      </pivotArea>
    </chartFormat>
    <chartFormat chart="33" format="276">
      <pivotArea type="data" outline="0" fieldPosition="0">
        <references count="3">
          <reference field="4294967294" count="1" selected="0">
            <x v="0"/>
          </reference>
          <reference field="0" count="1" selected="0">
            <x v="3"/>
          </reference>
          <reference field="7" count="1" selected="0">
            <x v="1"/>
          </reference>
        </references>
      </pivotArea>
    </chartFormat>
    <chartFormat chart="33" format="277">
      <pivotArea type="data" outline="0" fieldPosition="0">
        <references count="3">
          <reference field="4294967294" count="1" selected="0">
            <x v="0"/>
          </reference>
          <reference field="0" count="1" selected="0">
            <x v="4"/>
          </reference>
          <reference field="7" count="1" selected="0">
            <x v="1"/>
          </reference>
        </references>
      </pivotArea>
    </chartFormat>
    <chartFormat chart="33" format="278" series="1">
      <pivotArea type="data" outline="0" fieldPosition="0">
        <references count="2">
          <reference field="4294967294" count="1" selected="0">
            <x v="0"/>
          </reference>
          <reference field="7" count="1" selected="0">
            <x v="2"/>
          </reference>
        </references>
      </pivotArea>
    </chartFormat>
    <chartFormat chart="33" format="279">
      <pivotArea type="data" outline="0" fieldPosition="0">
        <references count="3">
          <reference field="4294967294" count="1" selected="0">
            <x v="0"/>
          </reference>
          <reference field="0" count="1" selected="0">
            <x v="1"/>
          </reference>
          <reference field="7" count="1" selected="0">
            <x v="2"/>
          </reference>
        </references>
      </pivotArea>
    </chartFormat>
    <chartFormat chart="33" format="280">
      <pivotArea type="data" outline="0" fieldPosition="0">
        <references count="3">
          <reference field="4294967294" count="1" selected="0">
            <x v="0"/>
          </reference>
          <reference field="0" count="1" selected="0">
            <x v="2"/>
          </reference>
          <reference field="7" count="1" selected="0">
            <x v="2"/>
          </reference>
        </references>
      </pivotArea>
    </chartFormat>
    <chartFormat chart="33" format="281">
      <pivotArea type="data" outline="0" fieldPosition="0">
        <references count="3">
          <reference field="4294967294" count="1" selected="0">
            <x v="0"/>
          </reference>
          <reference field="0" count="1" selected="0">
            <x v="3"/>
          </reference>
          <reference field="7" count="1" selected="0">
            <x v="2"/>
          </reference>
        </references>
      </pivotArea>
    </chartFormat>
    <chartFormat chart="33" format="282">
      <pivotArea type="data" outline="0" fieldPosition="0">
        <references count="3">
          <reference field="4294967294" count="1" selected="0">
            <x v="0"/>
          </reference>
          <reference field="0" count="1" selected="0">
            <x v="4"/>
          </reference>
          <reference field="7" count="1" selected="0">
            <x v="2"/>
          </reference>
        </references>
      </pivotArea>
    </chartFormat>
    <chartFormat chart="33" format="283" series="1">
      <pivotArea type="data" outline="0" fieldPosition="0">
        <references count="2">
          <reference field="4294967294" count="1" selected="0">
            <x v="0"/>
          </reference>
          <reference field="7" count="1" selected="0">
            <x v="3"/>
          </reference>
        </references>
      </pivotArea>
    </chartFormat>
    <chartFormat chart="33" format="284">
      <pivotArea type="data" outline="0" fieldPosition="0">
        <references count="3">
          <reference field="4294967294" count="1" selected="0">
            <x v="0"/>
          </reference>
          <reference field="0" count="1" selected="0">
            <x v="1"/>
          </reference>
          <reference field="7" count="1" selected="0">
            <x v="3"/>
          </reference>
        </references>
      </pivotArea>
    </chartFormat>
    <chartFormat chart="33" format="285">
      <pivotArea type="data" outline="0" fieldPosition="0">
        <references count="3">
          <reference field="4294967294" count="1" selected="0">
            <x v="0"/>
          </reference>
          <reference field="0" count="1" selected="0">
            <x v="2"/>
          </reference>
          <reference field="7" count="1" selected="0">
            <x v="3"/>
          </reference>
        </references>
      </pivotArea>
    </chartFormat>
    <chartFormat chart="33" format="286">
      <pivotArea type="data" outline="0" fieldPosition="0">
        <references count="3">
          <reference field="4294967294" count="1" selected="0">
            <x v="0"/>
          </reference>
          <reference field="0" count="1" selected="0">
            <x v="3"/>
          </reference>
          <reference field="7" count="1" selected="0">
            <x v="3"/>
          </reference>
        </references>
      </pivotArea>
    </chartFormat>
    <chartFormat chart="33" format="287">
      <pivotArea type="data" outline="0" fieldPosition="0">
        <references count="3">
          <reference field="4294967294" count="1" selected="0">
            <x v="0"/>
          </reference>
          <reference field="0" count="1" selected="0">
            <x v="4"/>
          </reference>
          <reference field="7" count="1" selected="0">
            <x v="3"/>
          </reference>
        </references>
      </pivotArea>
    </chartFormat>
    <chartFormat chart="38" format="0" series="1">
      <pivotArea type="data" outline="0" fieldPosition="0">
        <references count="2">
          <reference field="4294967294" count="1" selected="0">
            <x v="0"/>
          </reference>
          <reference field="7" count="1" selected="0">
            <x v="0"/>
          </reference>
        </references>
      </pivotArea>
    </chartFormat>
    <chartFormat chart="38" format="1" series="1">
      <pivotArea type="data" outline="0" fieldPosition="0">
        <references count="2">
          <reference field="4294967294" count="1" selected="0">
            <x v="0"/>
          </reference>
          <reference field="7" count="1" selected="0">
            <x v="1"/>
          </reference>
        </references>
      </pivotArea>
    </chartFormat>
    <chartFormat chart="38" format="2" series="1">
      <pivotArea type="data" outline="0" fieldPosition="0">
        <references count="2">
          <reference field="4294967294" count="1" selected="0">
            <x v="0"/>
          </reference>
          <reference field="7" count="1" selected="0">
            <x v="2"/>
          </reference>
        </references>
      </pivotArea>
    </chartFormat>
    <chartFormat chart="38" format="3" series="1">
      <pivotArea type="data" outline="0" fieldPosition="0">
        <references count="2">
          <reference field="4294967294" count="1" selected="0">
            <x v="0"/>
          </reference>
          <reference field="7" count="1" selected="0">
            <x v="3"/>
          </reference>
        </references>
      </pivotArea>
    </chartFormat>
    <chartFormat chart="38" format="4" series="1">
      <pivotArea type="data" outline="0" fieldPosition="0">
        <references count="1">
          <reference field="4294967294" count="1" selected="0">
            <x v="0"/>
          </reference>
        </references>
      </pivotArea>
    </chartFormat>
    <chartFormat chart="40" format="10" series="1">
      <pivotArea type="data" outline="0" fieldPosition="0">
        <references count="1">
          <reference field="4294967294" count="1" selected="0">
            <x v="0"/>
          </reference>
        </references>
      </pivotArea>
    </chartFormat>
    <chartFormat chart="40" format="11">
      <pivotArea type="data" outline="0" fieldPosition="0">
        <references count="2">
          <reference field="4294967294" count="1" selected="0">
            <x v="0"/>
          </reference>
          <reference field="0" count="1" selected="0">
            <x v="1"/>
          </reference>
        </references>
      </pivotArea>
    </chartFormat>
    <chartFormat chart="40" format="12">
      <pivotArea type="data" outline="0" fieldPosition="0">
        <references count="2">
          <reference field="4294967294" count="1" selected="0">
            <x v="0"/>
          </reference>
          <reference field="0" count="1" selected="0">
            <x v="2"/>
          </reference>
        </references>
      </pivotArea>
    </chartFormat>
    <chartFormat chart="40" format="13">
      <pivotArea type="data" outline="0" fieldPosition="0">
        <references count="2">
          <reference field="4294967294" count="1" selected="0">
            <x v="0"/>
          </reference>
          <reference field="0" count="1" selected="0">
            <x v="3"/>
          </reference>
        </references>
      </pivotArea>
    </chartFormat>
    <chartFormat chart="40" format="14">
      <pivotArea type="data" outline="0" fieldPosition="0">
        <references count="2">
          <reference field="4294967294" count="1" selected="0">
            <x v="0"/>
          </reference>
          <reference field="0" count="1" selected="0">
            <x v="4"/>
          </reference>
        </references>
      </pivotArea>
    </chartFormat>
    <chartFormat chart="44" format="6" series="1">
      <pivotArea type="data" outline="0" fieldPosition="0">
        <references count="1">
          <reference field="4294967294" count="1" selected="0">
            <x v="0"/>
          </reference>
        </references>
      </pivotArea>
    </chartFormat>
    <chartFormat chart="44" format="7">
      <pivotArea type="data" outline="0" fieldPosition="0">
        <references count="2">
          <reference field="4294967294" count="1" selected="0">
            <x v="0"/>
          </reference>
          <reference field="0" count="1" selected="0">
            <x v="1"/>
          </reference>
        </references>
      </pivotArea>
    </chartFormat>
    <chartFormat chart="44" format="8">
      <pivotArea type="data" outline="0" fieldPosition="0">
        <references count="2">
          <reference field="4294967294" count="1" selected="0">
            <x v="0"/>
          </reference>
          <reference field="0" count="1" selected="0">
            <x v="2"/>
          </reference>
        </references>
      </pivotArea>
    </chartFormat>
    <chartFormat chart="44" format="9">
      <pivotArea type="data" outline="0" fieldPosition="0">
        <references count="2">
          <reference field="4294967294" count="1" selected="0">
            <x v="0"/>
          </reference>
          <reference field="0" count="1" selected="0">
            <x v="3"/>
          </reference>
        </references>
      </pivotArea>
    </chartFormat>
    <chartFormat chart="44" format="10">
      <pivotArea type="data" outline="0" fieldPosition="0">
        <references count="2">
          <reference field="4294967294" count="1" selected="0">
            <x v="0"/>
          </reference>
          <reference field="0"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A1BA87C-378C-4B33-98A1-E7EE472DE1C7}" name="PivotTable62" cacheId="1208" applyNumberFormats="0" applyBorderFormats="0" applyFontFormats="0" applyPatternFormats="0" applyAlignmentFormats="0" applyWidthHeightFormats="1" dataCaption="Values" updatedVersion="7" minRefreshableVersion="3" useAutoFormatting="1" colGrandTotals="0" itemPrintTitles="1" createdVersion="7" indent="0" outline="1" outlineData="1" multipleFieldFilters="0" chartFormat="46">
  <location ref="E35:F41" firstHeaderRow="1" firstDataRow="2" firstDataCol="1"/>
  <pivotFields count="8">
    <pivotField axis="axisRow" showAll="0" defaultSubtotal="0">
      <items count="6">
        <item h="1" x="0"/>
        <item x="1"/>
        <item x="2"/>
        <item x="3"/>
        <item x="4"/>
        <item h="1" x="5"/>
      </items>
    </pivotField>
    <pivotField numFmtId="3" showAll="0" defaultSubtotal="0"/>
    <pivotField numFmtId="10" showAll="0" defaultSubtotal="0"/>
    <pivotField dataField="1" numFmtId="3" showAll="0" defaultSubtotal="0"/>
    <pivotField numFmtId="9" showAll="0" defaultSubtotal="0"/>
    <pivotField numFmtId="3" showAll="0" defaultSubtotal="0"/>
    <pivotField numFmtId="3" showAll="0" defaultSubtotal="0"/>
    <pivotField axis="axisCol" showAll="0" defaultSubtotal="0">
      <items count="4">
        <item h="1" x="0"/>
        <item h="1" x="2"/>
        <item x="1"/>
        <item h="1" x="3"/>
      </items>
    </pivotField>
  </pivotFields>
  <rowFields count="1">
    <field x="0"/>
  </rowFields>
  <rowItems count="5">
    <i>
      <x v="1"/>
    </i>
    <i>
      <x v="2"/>
    </i>
    <i>
      <x v="3"/>
    </i>
    <i>
      <x v="4"/>
    </i>
    <i t="grand">
      <x/>
    </i>
  </rowItems>
  <colFields count="1">
    <field x="7"/>
  </colFields>
  <colItems count="1">
    <i>
      <x v="2"/>
    </i>
  </colItems>
  <dataFields count="1">
    <dataField name="Sum of Audience Growth Rate" fld="3" baseField="0" baseItem="0"/>
  </dataFields>
  <formats count="14">
    <format dxfId="259">
      <pivotArea outline="0" collapsedLevelsAreSubtotals="1" fieldPosition="0"/>
    </format>
    <format dxfId="260">
      <pivotArea dataOnly="0" labelOnly="1" grandRow="1" outline="0" fieldPosition="0"/>
    </format>
    <format dxfId="261">
      <pivotArea outline="0" collapsedLevelsAreSubtotals="1" fieldPosition="0"/>
    </format>
    <format dxfId="262">
      <pivotArea dataOnly="0" labelOnly="1" grandRow="1" outline="0" fieldPosition="0"/>
    </format>
    <format dxfId="263">
      <pivotArea dataOnly="0" labelOnly="1" fieldPosition="0">
        <references count="1">
          <reference field="7" count="1">
            <x v="3"/>
          </reference>
        </references>
      </pivotArea>
    </format>
    <format dxfId="264">
      <pivotArea dataOnly="0" labelOnly="1" fieldPosition="0">
        <references count="1">
          <reference field="7" count="1">
            <x v="3"/>
          </reference>
        </references>
      </pivotArea>
    </format>
    <format dxfId="207">
      <pivotArea type="all" dataOnly="0" outline="0" fieldPosition="0"/>
    </format>
    <format dxfId="206">
      <pivotArea outline="0" collapsedLevelsAreSubtotals="1" fieldPosition="0"/>
    </format>
    <format dxfId="205">
      <pivotArea type="origin" dataOnly="0" labelOnly="1" outline="0" fieldPosition="0"/>
    </format>
    <format dxfId="204">
      <pivotArea field="7" type="button" dataOnly="0" labelOnly="1" outline="0" axis="axisCol" fieldPosition="0"/>
    </format>
    <format dxfId="203">
      <pivotArea field="0" type="button" dataOnly="0" labelOnly="1" outline="0" axis="axisRow" fieldPosition="0"/>
    </format>
    <format dxfId="202">
      <pivotArea dataOnly="0" labelOnly="1" fieldPosition="0">
        <references count="1">
          <reference field="0" count="0"/>
        </references>
      </pivotArea>
    </format>
    <format dxfId="201">
      <pivotArea dataOnly="0" labelOnly="1" grandRow="1" outline="0" fieldPosition="0"/>
    </format>
    <format dxfId="200">
      <pivotArea dataOnly="0" labelOnly="1" fieldPosition="0">
        <references count="1">
          <reference field="7" count="0"/>
        </references>
      </pivotArea>
    </format>
  </formats>
  <chartFormats count="75">
    <chartFormat chart="15" format="228" series="1">
      <pivotArea type="data" outline="0" fieldPosition="0">
        <references count="2">
          <reference field="4294967294" count="1" selected="0">
            <x v="0"/>
          </reference>
          <reference field="7" count="1" selected="0">
            <x v="0"/>
          </reference>
        </references>
      </pivotArea>
    </chartFormat>
    <chartFormat chart="15" format="229">
      <pivotArea type="data" outline="0" fieldPosition="0">
        <references count="3">
          <reference field="4294967294" count="1" selected="0">
            <x v="0"/>
          </reference>
          <reference field="0" count="1" selected="0">
            <x v="1"/>
          </reference>
          <reference field="7" count="1" selected="0">
            <x v="0"/>
          </reference>
        </references>
      </pivotArea>
    </chartFormat>
    <chartFormat chart="15" format="230">
      <pivotArea type="data" outline="0" fieldPosition="0">
        <references count="3">
          <reference field="4294967294" count="1" selected="0">
            <x v="0"/>
          </reference>
          <reference field="0" count="1" selected="0">
            <x v="2"/>
          </reference>
          <reference field="7" count="1" selected="0">
            <x v="0"/>
          </reference>
        </references>
      </pivotArea>
    </chartFormat>
    <chartFormat chart="15" format="231">
      <pivotArea type="data" outline="0" fieldPosition="0">
        <references count="3">
          <reference field="4294967294" count="1" selected="0">
            <x v="0"/>
          </reference>
          <reference field="0" count="1" selected="0">
            <x v="3"/>
          </reference>
          <reference field="7" count="1" selected="0">
            <x v="0"/>
          </reference>
        </references>
      </pivotArea>
    </chartFormat>
    <chartFormat chart="15" format="232">
      <pivotArea type="data" outline="0" fieldPosition="0">
        <references count="3">
          <reference field="4294967294" count="1" selected="0">
            <x v="0"/>
          </reference>
          <reference field="0" count="1" selected="0">
            <x v="4"/>
          </reference>
          <reference field="7" count="1" selected="0">
            <x v="0"/>
          </reference>
        </references>
      </pivotArea>
    </chartFormat>
    <chartFormat chart="15" format="233" series="1">
      <pivotArea type="data" outline="0" fieldPosition="0">
        <references count="2">
          <reference field="4294967294" count="1" selected="0">
            <x v="0"/>
          </reference>
          <reference field="7" count="1" selected="0">
            <x v="1"/>
          </reference>
        </references>
      </pivotArea>
    </chartFormat>
    <chartFormat chart="15" format="234">
      <pivotArea type="data" outline="0" fieldPosition="0">
        <references count="3">
          <reference field="4294967294" count="1" selected="0">
            <x v="0"/>
          </reference>
          <reference field="0" count="1" selected="0">
            <x v="1"/>
          </reference>
          <reference field="7" count="1" selected="0">
            <x v="1"/>
          </reference>
        </references>
      </pivotArea>
    </chartFormat>
    <chartFormat chart="15" format="235">
      <pivotArea type="data" outline="0" fieldPosition="0">
        <references count="3">
          <reference field="4294967294" count="1" selected="0">
            <x v="0"/>
          </reference>
          <reference field="0" count="1" selected="0">
            <x v="2"/>
          </reference>
          <reference field="7" count="1" selected="0">
            <x v="1"/>
          </reference>
        </references>
      </pivotArea>
    </chartFormat>
    <chartFormat chart="15" format="236">
      <pivotArea type="data" outline="0" fieldPosition="0">
        <references count="3">
          <reference field="4294967294" count="1" selected="0">
            <x v="0"/>
          </reference>
          <reference field="0" count="1" selected="0">
            <x v="3"/>
          </reference>
          <reference field="7" count="1" selected="0">
            <x v="1"/>
          </reference>
        </references>
      </pivotArea>
    </chartFormat>
    <chartFormat chart="15" format="237">
      <pivotArea type="data" outline="0" fieldPosition="0">
        <references count="3">
          <reference field="4294967294" count="1" selected="0">
            <x v="0"/>
          </reference>
          <reference field="0" count="1" selected="0">
            <x v="4"/>
          </reference>
          <reference field="7" count="1" selected="0">
            <x v="1"/>
          </reference>
        </references>
      </pivotArea>
    </chartFormat>
    <chartFormat chart="15" format="238" series="1">
      <pivotArea type="data" outline="0" fieldPosition="0">
        <references count="2">
          <reference field="4294967294" count="1" selected="0">
            <x v="0"/>
          </reference>
          <reference field="7" count="1" selected="0">
            <x v="2"/>
          </reference>
        </references>
      </pivotArea>
    </chartFormat>
    <chartFormat chart="15" format="239">
      <pivotArea type="data" outline="0" fieldPosition="0">
        <references count="3">
          <reference field="4294967294" count="1" selected="0">
            <x v="0"/>
          </reference>
          <reference field="0" count="1" selected="0">
            <x v="1"/>
          </reference>
          <reference field="7" count="1" selected="0">
            <x v="2"/>
          </reference>
        </references>
      </pivotArea>
    </chartFormat>
    <chartFormat chart="15" format="240">
      <pivotArea type="data" outline="0" fieldPosition="0">
        <references count="3">
          <reference field="4294967294" count="1" selected="0">
            <x v="0"/>
          </reference>
          <reference field="0" count="1" selected="0">
            <x v="2"/>
          </reference>
          <reference field="7" count="1" selected="0">
            <x v="2"/>
          </reference>
        </references>
      </pivotArea>
    </chartFormat>
    <chartFormat chart="15" format="241">
      <pivotArea type="data" outline="0" fieldPosition="0">
        <references count="3">
          <reference field="4294967294" count="1" selected="0">
            <x v="0"/>
          </reference>
          <reference field="0" count="1" selected="0">
            <x v="3"/>
          </reference>
          <reference field="7" count="1" selected="0">
            <x v="2"/>
          </reference>
        </references>
      </pivotArea>
    </chartFormat>
    <chartFormat chart="15" format="242">
      <pivotArea type="data" outline="0" fieldPosition="0">
        <references count="3">
          <reference field="4294967294" count="1" selected="0">
            <x v="0"/>
          </reference>
          <reference field="0" count="1" selected="0">
            <x v="4"/>
          </reference>
          <reference field="7" count="1" selected="0">
            <x v="2"/>
          </reference>
        </references>
      </pivotArea>
    </chartFormat>
    <chartFormat chart="15" format="243" series="1">
      <pivotArea type="data" outline="0" fieldPosition="0">
        <references count="2">
          <reference field="4294967294" count="1" selected="0">
            <x v="0"/>
          </reference>
          <reference field="7" count="1" selected="0">
            <x v="3"/>
          </reference>
        </references>
      </pivotArea>
    </chartFormat>
    <chartFormat chart="15" format="244">
      <pivotArea type="data" outline="0" fieldPosition="0">
        <references count="3">
          <reference field="4294967294" count="1" selected="0">
            <x v="0"/>
          </reference>
          <reference field="0" count="1" selected="0">
            <x v="1"/>
          </reference>
          <reference field="7" count="1" selected="0">
            <x v="3"/>
          </reference>
        </references>
      </pivotArea>
    </chartFormat>
    <chartFormat chart="15" format="245">
      <pivotArea type="data" outline="0" fieldPosition="0">
        <references count="3">
          <reference field="4294967294" count="1" selected="0">
            <x v="0"/>
          </reference>
          <reference field="0" count="1" selected="0">
            <x v="2"/>
          </reference>
          <reference field="7" count="1" selected="0">
            <x v="3"/>
          </reference>
        </references>
      </pivotArea>
    </chartFormat>
    <chartFormat chart="15" format="246">
      <pivotArea type="data" outline="0" fieldPosition="0">
        <references count="3">
          <reference field="4294967294" count="1" selected="0">
            <x v="0"/>
          </reference>
          <reference field="0" count="1" selected="0">
            <x v="3"/>
          </reference>
          <reference field="7" count="1" selected="0">
            <x v="3"/>
          </reference>
        </references>
      </pivotArea>
    </chartFormat>
    <chartFormat chart="15" format="247">
      <pivotArea type="data" outline="0" fieldPosition="0">
        <references count="3">
          <reference field="4294967294" count="1" selected="0">
            <x v="0"/>
          </reference>
          <reference field="0" count="1" selected="0">
            <x v="4"/>
          </reference>
          <reference field="7" count="1" selected="0">
            <x v="3"/>
          </reference>
        </references>
      </pivotArea>
    </chartFormat>
    <chartFormat chart="32" format="248" series="1">
      <pivotArea type="data" outline="0" fieldPosition="0">
        <references count="2">
          <reference field="4294967294" count="1" selected="0">
            <x v="0"/>
          </reference>
          <reference field="7" count="1" selected="0">
            <x v="0"/>
          </reference>
        </references>
      </pivotArea>
    </chartFormat>
    <chartFormat chart="32" format="249">
      <pivotArea type="data" outline="0" fieldPosition="0">
        <references count="3">
          <reference field="4294967294" count="1" selected="0">
            <x v="0"/>
          </reference>
          <reference field="0" count="1" selected="0">
            <x v="1"/>
          </reference>
          <reference field="7" count="1" selected="0">
            <x v="0"/>
          </reference>
        </references>
      </pivotArea>
    </chartFormat>
    <chartFormat chart="32" format="250">
      <pivotArea type="data" outline="0" fieldPosition="0">
        <references count="3">
          <reference field="4294967294" count="1" selected="0">
            <x v="0"/>
          </reference>
          <reference field="0" count="1" selected="0">
            <x v="2"/>
          </reference>
          <reference field="7" count="1" selected="0">
            <x v="0"/>
          </reference>
        </references>
      </pivotArea>
    </chartFormat>
    <chartFormat chart="32" format="251">
      <pivotArea type="data" outline="0" fieldPosition="0">
        <references count="3">
          <reference field="4294967294" count="1" selected="0">
            <x v="0"/>
          </reference>
          <reference field="0" count="1" selected="0">
            <x v="3"/>
          </reference>
          <reference field="7" count="1" selected="0">
            <x v="0"/>
          </reference>
        </references>
      </pivotArea>
    </chartFormat>
    <chartFormat chart="32" format="252">
      <pivotArea type="data" outline="0" fieldPosition="0">
        <references count="3">
          <reference field="4294967294" count="1" selected="0">
            <x v="0"/>
          </reference>
          <reference field="0" count="1" selected="0">
            <x v="4"/>
          </reference>
          <reference field="7" count="1" selected="0">
            <x v="0"/>
          </reference>
        </references>
      </pivotArea>
    </chartFormat>
    <chartFormat chart="32" format="253" series="1">
      <pivotArea type="data" outline="0" fieldPosition="0">
        <references count="2">
          <reference field="4294967294" count="1" selected="0">
            <x v="0"/>
          </reference>
          <reference field="7" count="1" selected="0">
            <x v="1"/>
          </reference>
        </references>
      </pivotArea>
    </chartFormat>
    <chartFormat chart="32" format="254">
      <pivotArea type="data" outline="0" fieldPosition="0">
        <references count="3">
          <reference field="4294967294" count="1" selected="0">
            <x v="0"/>
          </reference>
          <reference field="0" count="1" selected="0">
            <x v="1"/>
          </reference>
          <reference field="7" count="1" selected="0">
            <x v="1"/>
          </reference>
        </references>
      </pivotArea>
    </chartFormat>
    <chartFormat chart="32" format="255">
      <pivotArea type="data" outline="0" fieldPosition="0">
        <references count="3">
          <reference field="4294967294" count="1" selected="0">
            <x v="0"/>
          </reference>
          <reference field="0" count="1" selected="0">
            <x v="2"/>
          </reference>
          <reference field="7" count="1" selected="0">
            <x v="1"/>
          </reference>
        </references>
      </pivotArea>
    </chartFormat>
    <chartFormat chart="32" format="256">
      <pivotArea type="data" outline="0" fieldPosition="0">
        <references count="3">
          <reference field="4294967294" count="1" selected="0">
            <x v="0"/>
          </reference>
          <reference field="0" count="1" selected="0">
            <x v="3"/>
          </reference>
          <reference field="7" count="1" selected="0">
            <x v="1"/>
          </reference>
        </references>
      </pivotArea>
    </chartFormat>
    <chartFormat chart="32" format="257">
      <pivotArea type="data" outline="0" fieldPosition="0">
        <references count="3">
          <reference field="4294967294" count="1" selected="0">
            <x v="0"/>
          </reference>
          <reference field="0" count="1" selected="0">
            <x v="4"/>
          </reference>
          <reference field="7" count="1" selected="0">
            <x v="1"/>
          </reference>
        </references>
      </pivotArea>
    </chartFormat>
    <chartFormat chart="32" format="258" series="1">
      <pivotArea type="data" outline="0" fieldPosition="0">
        <references count="2">
          <reference field="4294967294" count="1" selected="0">
            <x v="0"/>
          </reference>
          <reference field="7" count="1" selected="0">
            <x v="2"/>
          </reference>
        </references>
      </pivotArea>
    </chartFormat>
    <chartFormat chart="32" format="259">
      <pivotArea type="data" outline="0" fieldPosition="0">
        <references count="3">
          <reference field="4294967294" count="1" selected="0">
            <x v="0"/>
          </reference>
          <reference field="0" count="1" selected="0">
            <x v="1"/>
          </reference>
          <reference field="7" count="1" selected="0">
            <x v="2"/>
          </reference>
        </references>
      </pivotArea>
    </chartFormat>
    <chartFormat chart="32" format="260">
      <pivotArea type="data" outline="0" fieldPosition="0">
        <references count="3">
          <reference field="4294967294" count="1" selected="0">
            <x v="0"/>
          </reference>
          <reference field="0" count="1" selected="0">
            <x v="2"/>
          </reference>
          <reference field="7" count="1" selected="0">
            <x v="2"/>
          </reference>
        </references>
      </pivotArea>
    </chartFormat>
    <chartFormat chart="32" format="261">
      <pivotArea type="data" outline="0" fieldPosition="0">
        <references count="3">
          <reference field="4294967294" count="1" selected="0">
            <x v="0"/>
          </reference>
          <reference field="0" count="1" selected="0">
            <x v="3"/>
          </reference>
          <reference field="7" count="1" selected="0">
            <x v="2"/>
          </reference>
        </references>
      </pivotArea>
    </chartFormat>
    <chartFormat chart="32" format="262">
      <pivotArea type="data" outline="0" fieldPosition="0">
        <references count="3">
          <reference field="4294967294" count="1" selected="0">
            <x v="0"/>
          </reference>
          <reference field="0" count="1" selected="0">
            <x v="4"/>
          </reference>
          <reference field="7" count="1" selected="0">
            <x v="2"/>
          </reference>
        </references>
      </pivotArea>
    </chartFormat>
    <chartFormat chart="32" format="263" series="1">
      <pivotArea type="data" outline="0" fieldPosition="0">
        <references count="2">
          <reference field="4294967294" count="1" selected="0">
            <x v="0"/>
          </reference>
          <reference field="7" count="1" selected="0">
            <x v="3"/>
          </reference>
        </references>
      </pivotArea>
    </chartFormat>
    <chartFormat chart="32" format="264">
      <pivotArea type="data" outline="0" fieldPosition="0">
        <references count="3">
          <reference field="4294967294" count="1" selected="0">
            <x v="0"/>
          </reference>
          <reference field="0" count="1" selected="0">
            <x v="1"/>
          </reference>
          <reference field="7" count="1" selected="0">
            <x v="3"/>
          </reference>
        </references>
      </pivotArea>
    </chartFormat>
    <chartFormat chart="32" format="265">
      <pivotArea type="data" outline="0" fieldPosition="0">
        <references count="3">
          <reference field="4294967294" count="1" selected="0">
            <x v="0"/>
          </reference>
          <reference field="0" count="1" selected="0">
            <x v="2"/>
          </reference>
          <reference field="7" count="1" selected="0">
            <x v="3"/>
          </reference>
        </references>
      </pivotArea>
    </chartFormat>
    <chartFormat chart="32" format="266">
      <pivotArea type="data" outline="0" fieldPosition="0">
        <references count="3">
          <reference field="4294967294" count="1" selected="0">
            <x v="0"/>
          </reference>
          <reference field="0" count="1" selected="0">
            <x v="3"/>
          </reference>
          <reference field="7" count="1" selected="0">
            <x v="3"/>
          </reference>
        </references>
      </pivotArea>
    </chartFormat>
    <chartFormat chart="32" format="267">
      <pivotArea type="data" outline="0" fieldPosition="0">
        <references count="3">
          <reference field="4294967294" count="1" selected="0">
            <x v="0"/>
          </reference>
          <reference field="0" count="1" selected="0">
            <x v="4"/>
          </reference>
          <reference field="7" count="1" selected="0">
            <x v="3"/>
          </reference>
        </references>
      </pivotArea>
    </chartFormat>
    <chartFormat chart="33" format="268" series="1">
      <pivotArea type="data" outline="0" fieldPosition="0">
        <references count="2">
          <reference field="4294967294" count="1" selected="0">
            <x v="0"/>
          </reference>
          <reference field="7" count="1" selected="0">
            <x v="0"/>
          </reference>
        </references>
      </pivotArea>
    </chartFormat>
    <chartFormat chart="33" format="269">
      <pivotArea type="data" outline="0" fieldPosition="0">
        <references count="3">
          <reference field="4294967294" count="1" selected="0">
            <x v="0"/>
          </reference>
          <reference field="0" count="1" selected="0">
            <x v="1"/>
          </reference>
          <reference field="7" count="1" selected="0">
            <x v="0"/>
          </reference>
        </references>
      </pivotArea>
    </chartFormat>
    <chartFormat chart="33" format="270">
      <pivotArea type="data" outline="0" fieldPosition="0">
        <references count="3">
          <reference field="4294967294" count="1" selected="0">
            <x v="0"/>
          </reference>
          <reference field="0" count="1" selected="0">
            <x v="2"/>
          </reference>
          <reference field="7" count="1" selected="0">
            <x v="0"/>
          </reference>
        </references>
      </pivotArea>
    </chartFormat>
    <chartFormat chart="33" format="271">
      <pivotArea type="data" outline="0" fieldPosition="0">
        <references count="3">
          <reference field="4294967294" count="1" selected="0">
            <x v="0"/>
          </reference>
          <reference field="0" count="1" selected="0">
            <x v="3"/>
          </reference>
          <reference field="7" count="1" selected="0">
            <x v="0"/>
          </reference>
        </references>
      </pivotArea>
    </chartFormat>
    <chartFormat chart="33" format="272">
      <pivotArea type="data" outline="0" fieldPosition="0">
        <references count="3">
          <reference field="4294967294" count="1" selected="0">
            <x v="0"/>
          </reference>
          <reference field="0" count="1" selected="0">
            <x v="4"/>
          </reference>
          <reference field="7" count="1" selected="0">
            <x v="0"/>
          </reference>
        </references>
      </pivotArea>
    </chartFormat>
    <chartFormat chart="33" format="273" series="1">
      <pivotArea type="data" outline="0" fieldPosition="0">
        <references count="2">
          <reference field="4294967294" count="1" selected="0">
            <x v="0"/>
          </reference>
          <reference field="7" count="1" selected="0">
            <x v="1"/>
          </reference>
        </references>
      </pivotArea>
    </chartFormat>
    <chartFormat chart="33" format="274">
      <pivotArea type="data" outline="0" fieldPosition="0">
        <references count="3">
          <reference field="4294967294" count="1" selected="0">
            <x v="0"/>
          </reference>
          <reference field="0" count="1" selected="0">
            <x v="1"/>
          </reference>
          <reference field="7" count="1" selected="0">
            <x v="1"/>
          </reference>
        </references>
      </pivotArea>
    </chartFormat>
    <chartFormat chart="33" format="275">
      <pivotArea type="data" outline="0" fieldPosition="0">
        <references count="3">
          <reference field="4294967294" count="1" selected="0">
            <x v="0"/>
          </reference>
          <reference field="0" count="1" selected="0">
            <x v="2"/>
          </reference>
          <reference field="7" count="1" selected="0">
            <x v="1"/>
          </reference>
        </references>
      </pivotArea>
    </chartFormat>
    <chartFormat chart="33" format="276">
      <pivotArea type="data" outline="0" fieldPosition="0">
        <references count="3">
          <reference field="4294967294" count="1" selected="0">
            <x v="0"/>
          </reference>
          <reference field="0" count="1" selected="0">
            <x v="3"/>
          </reference>
          <reference field="7" count="1" selected="0">
            <x v="1"/>
          </reference>
        </references>
      </pivotArea>
    </chartFormat>
    <chartFormat chart="33" format="277">
      <pivotArea type="data" outline="0" fieldPosition="0">
        <references count="3">
          <reference field="4294967294" count="1" selected="0">
            <x v="0"/>
          </reference>
          <reference field="0" count="1" selected="0">
            <x v="4"/>
          </reference>
          <reference field="7" count="1" selected="0">
            <x v="1"/>
          </reference>
        </references>
      </pivotArea>
    </chartFormat>
    <chartFormat chart="33" format="278" series="1">
      <pivotArea type="data" outline="0" fieldPosition="0">
        <references count="2">
          <reference field="4294967294" count="1" selected="0">
            <x v="0"/>
          </reference>
          <reference field="7" count="1" selected="0">
            <x v="2"/>
          </reference>
        </references>
      </pivotArea>
    </chartFormat>
    <chartFormat chart="33" format="279">
      <pivotArea type="data" outline="0" fieldPosition="0">
        <references count="3">
          <reference field="4294967294" count="1" selected="0">
            <x v="0"/>
          </reference>
          <reference field="0" count="1" selected="0">
            <x v="1"/>
          </reference>
          <reference field="7" count="1" selected="0">
            <x v="2"/>
          </reference>
        </references>
      </pivotArea>
    </chartFormat>
    <chartFormat chart="33" format="280">
      <pivotArea type="data" outline="0" fieldPosition="0">
        <references count="3">
          <reference field="4294967294" count="1" selected="0">
            <x v="0"/>
          </reference>
          <reference field="0" count="1" selected="0">
            <x v="2"/>
          </reference>
          <reference field="7" count="1" selected="0">
            <x v="2"/>
          </reference>
        </references>
      </pivotArea>
    </chartFormat>
    <chartFormat chart="33" format="281">
      <pivotArea type="data" outline="0" fieldPosition="0">
        <references count="3">
          <reference field="4294967294" count="1" selected="0">
            <x v="0"/>
          </reference>
          <reference field="0" count="1" selected="0">
            <x v="3"/>
          </reference>
          <reference field="7" count="1" selected="0">
            <x v="2"/>
          </reference>
        </references>
      </pivotArea>
    </chartFormat>
    <chartFormat chart="33" format="282">
      <pivotArea type="data" outline="0" fieldPosition="0">
        <references count="3">
          <reference field="4294967294" count="1" selected="0">
            <x v="0"/>
          </reference>
          <reference field="0" count="1" selected="0">
            <x v="4"/>
          </reference>
          <reference field="7" count="1" selected="0">
            <x v="2"/>
          </reference>
        </references>
      </pivotArea>
    </chartFormat>
    <chartFormat chart="33" format="283" series="1">
      <pivotArea type="data" outline="0" fieldPosition="0">
        <references count="2">
          <reference field="4294967294" count="1" selected="0">
            <x v="0"/>
          </reference>
          <reference field="7" count="1" selected="0">
            <x v="3"/>
          </reference>
        </references>
      </pivotArea>
    </chartFormat>
    <chartFormat chart="33" format="284">
      <pivotArea type="data" outline="0" fieldPosition="0">
        <references count="3">
          <reference field="4294967294" count="1" selected="0">
            <x v="0"/>
          </reference>
          <reference field="0" count="1" selected="0">
            <x v="1"/>
          </reference>
          <reference field="7" count="1" selected="0">
            <x v="3"/>
          </reference>
        </references>
      </pivotArea>
    </chartFormat>
    <chartFormat chart="33" format="285">
      <pivotArea type="data" outline="0" fieldPosition="0">
        <references count="3">
          <reference field="4294967294" count="1" selected="0">
            <x v="0"/>
          </reference>
          <reference field="0" count="1" selected="0">
            <x v="2"/>
          </reference>
          <reference field="7" count="1" selected="0">
            <x v="3"/>
          </reference>
        </references>
      </pivotArea>
    </chartFormat>
    <chartFormat chart="33" format="286">
      <pivotArea type="data" outline="0" fieldPosition="0">
        <references count="3">
          <reference field="4294967294" count="1" selected="0">
            <x v="0"/>
          </reference>
          <reference field="0" count="1" selected="0">
            <x v="3"/>
          </reference>
          <reference field="7" count="1" selected="0">
            <x v="3"/>
          </reference>
        </references>
      </pivotArea>
    </chartFormat>
    <chartFormat chart="33" format="287">
      <pivotArea type="data" outline="0" fieldPosition="0">
        <references count="3">
          <reference field="4294967294" count="1" selected="0">
            <x v="0"/>
          </reference>
          <reference field="0" count="1" selected="0">
            <x v="4"/>
          </reference>
          <reference field="7" count="1" selected="0">
            <x v="3"/>
          </reference>
        </references>
      </pivotArea>
    </chartFormat>
    <chartFormat chart="38" format="0" series="1">
      <pivotArea type="data" outline="0" fieldPosition="0">
        <references count="2">
          <reference field="4294967294" count="1" selected="0">
            <x v="0"/>
          </reference>
          <reference field="7" count="1" selected="0">
            <x v="0"/>
          </reference>
        </references>
      </pivotArea>
    </chartFormat>
    <chartFormat chart="38" format="1" series="1">
      <pivotArea type="data" outline="0" fieldPosition="0">
        <references count="2">
          <reference field="4294967294" count="1" selected="0">
            <x v="0"/>
          </reference>
          <reference field="7" count="1" selected="0">
            <x v="1"/>
          </reference>
        </references>
      </pivotArea>
    </chartFormat>
    <chartFormat chart="38" format="2" series="1">
      <pivotArea type="data" outline="0" fieldPosition="0">
        <references count="2">
          <reference field="4294967294" count="1" selected="0">
            <x v="0"/>
          </reference>
          <reference field="7" count="1" selected="0">
            <x v="2"/>
          </reference>
        </references>
      </pivotArea>
    </chartFormat>
    <chartFormat chart="38" format="3" series="1">
      <pivotArea type="data" outline="0" fieldPosition="0">
        <references count="2">
          <reference field="4294967294" count="1" selected="0">
            <x v="0"/>
          </reference>
          <reference field="7" count="1" selected="0">
            <x v="3"/>
          </reference>
        </references>
      </pivotArea>
    </chartFormat>
    <chartFormat chart="38" format="4" series="1">
      <pivotArea type="data" outline="0" fieldPosition="0">
        <references count="1">
          <reference field="4294967294" count="1" selected="0">
            <x v="0"/>
          </reference>
        </references>
      </pivotArea>
    </chartFormat>
    <chartFormat chart="40" format="10" series="1">
      <pivotArea type="data" outline="0" fieldPosition="0">
        <references count="1">
          <reference field="4294967294" count="1" selected="0">
            <x v="0"/>
          </reference>
        </references>
      </pivotArea>
    </chartFormat>
    <chartFormat chart="40" format="11">
      <pivotArea type="data" outline="0" fieldPosition="0">
        <references count="2">
          <reference field="4294967294" count="1" selected="0">
            <x v="0"/>
          </reference>
          <reference field="0" count="1" selected="0">
            <x v="1"/>
          </reference>
        </references>
      </pivotArea>
    </chartFormat>
    <chartFormat chart="40" format="12">
      <pivotArea type="data" outline="0" fieldPosition="0">
        <references count="2">
          <reference field="4294967294" count="1" selected="0">
            <x v="0"/>
          </reference>
          <reference field="0" count="1" selected="0">
            <x v="2"/>
          </reference>
        </references>
      </pivotArea>
    </chartFormat>
    <chartFormat chart="40" format="13">
      <pivotArea type="data" outline="0" fieldPosition="0">
        <references count="2">
          <reference field="4294967294" count="1" selected="0">
            <x v="0"/>
          </reference>
          <reference field="0" count="1" selected="0">
            <x v="3"/>
          </reference>
        </references>
      </pivotArea>
    </chartFormat>
    <chartFormat chart="40" format="14">
      <pivotArea type="data" outline="0" fieldPosition="0">
        <references count="2">
          <reference field="4294967294" count="1" selected="0">
            <x v="0"/>
          </reference>
          <reference field="0" count="1" selected="0">
            <x v="4"/>
          </reference>
        </references>
      </pivotArea>
    </chartFormat>
    <chartFormat chart="45" format="6" series="1">
      <pivotArea type="data" outline="0" fieldPosition="0">
        <references count="1">
          <reference field="4294967294" count="1" selected="0">
            <x v="0"/>
          </reference>
        </references>
      </pivotArea>
    </chartFormat>
    <chartFormat chart="45" format="7">
      <pivotArea type="data" outline="0" fieldPosition="0">
        <references count="2">
          <reference field="4294967294" count="1" selected="0">
            <x v="0"/>
          </reference>
          <reference field="0" count="1" selected="0">
            <x v="1"/>
          </reference>
        </references>
      </pivotArea>
    </chartFormat>
    <chartFormat chart="45" format="8">
      <pivotArea type="data" outline="0" fieldPosition="0">
        <references count="2">
          <reference field="4294967294" count="1" selected="0">
            <x v="0"/>
          </reference>
          <reference field="0" count="1" selected="0">
            <x v="2"/>
          </reference>
        </references>
      </pivotArea>
    </chartFormat>
    <chartFormat chart="45" format="9">
      <pivotArea type="data" outline="0" fieldPosition="0">
        <references count="2">
          <reference field="4294967294" count="1" selected="0">
            <x v="0"/>
          </reference>
          <reference field="0" count="1" selected="0">
            <x v="3"/>
          </reference>
        </references>
      </pivotArea>
    </chartFormat>
    <chartFormat chart="45" format="10">
      <pivotArea type="data" outline="0" fieldPosition="0">
        <references count="2">
          <reference field="4294967294" count="1" selected="0">
            <x v="0"/>
          </reference>
          <reference field="0"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1C4A62A-462A-44A7-BE21-DCFA63FDBC80}" name="PivotTable61" cacheId="1208" applyNumberFormats="0" applyBorderFormats="0" applyFontFormats="0" applyPatternFormats="0" applyAlignmentFormats="0" applyWidthHeightFormats="1" dataCaption="Values" updatedVersion="7" minRefreshableVersion="3" useAutoFormatting="1" colGrandTotals="0" itemPrintTitles="1" createdVersion="7" indent="0" outline="1" outlineData="1" multipleFieldFilters="0" chartFormat="43">
  <location ref="B35:C41" firstHeaderRow="1" firstDataRow="2" firstDataCol="1"/>
  <pivotFields count="8">
    <pivotField axis="axisRow" showAll="0" defaultSubtotal="0">
      <items count="6">
        <item h="1" x="0"/>
        <item x="1"/>
        <item x="2"/>
        <item x="3"/>
        <item x="4"/>
        <item h="1" x="5"/>
      </items>
    </pivotField>
    <pivotField numFmtId="3" showAll="0" defaultSubtotal="0"/>
    <pivotField numFmtId="10" showAll="0" defaultSubtotal="0"/>
    <pivotField dataField="1" numFmtId="3" showAll="0" defaultSubtotal="0"/>
    <pivotField numFmtId="9" showAll="0" defaultSubtotal="0"/>
    <pivotField numFmtId="3" showAll="0" defaultSubtotal="0"/>
    <pivotField numFmtId="3" showAll="0" defaultSubtotal="0"/>
    <pivotField axis="axisCol" showAll="0" defaultSubtotal="0">
      <items count="4">
        <item h="1" x="0"/>
        <item x="2"/>
        <item h="1" x="1"/>
        <item h="1" x="3"/>
      </items>
    </pivotField>
  </pivotFields>
  <rowFields count="1">
    <field x="0"/>
  </rowFields>
  <rowItems count="5">
    <i>
      <x v="1"/>
    </i>
    <i>
      <x v="2"/>
    </i>
    <i>
      <x v="3"/>
    </i>
    <i>
      <x v="4"/>
    </i>
    <i t="grand">
      <x/>
    </i>
  </rowItems>
  <colFields count="1">
    <field x="7"/>
  </colFields>
  <colItems count="1">
    <i>
      <x v="1"/>
    </i>
  </colItems>
  <dataFields count="1">
    <dataField name="Sum of Audience Growth Rate" fld="3" baseField="0" baseItem="0"/>
  </dataFields>
  <formats count="14">
    <format dxfId="265">
      <pivotArea outline="0" collapsedLevelsAreSubtotals="1" fieldPosition="0"/>
    </format>
    <format dxfId="266">
      <pivotArea dataOnly="0" labelOnly="1" grandRow="1" outline="0" fieldPosition="0"/>
    </format>
    <format dxfId="267">
      <pivotArea outline="0" collapsedLevelsAreSubtotals="1" fieldPosition="0"/>
    </format>
    <format dxfId="268">
      <pivotArea dataOnly="0" labelOnly="1" grandRow="1" outline="0" fieldPosition="0"/>
    </format>
    <format dxfId="269">
      <pivotArea dataOnly="0" labelOnly="1" fieldPosition="0">
        <references count="1">
          <reference field="7" count="1">
            <x v="3"/>
          </reference>
        </references>
      </pivotArea>
    </format>
    <format dxfId="270">
      <pivotArea dataOnly="0" labelOnly="1" fieldPosition="0">
        <references count="1">
          <reference field="7" count="1">
            <x v="3"/>
          </reference>
        </references>
      </pivotArea>
    </format>
    <format dxfId="199">
      <pivotArea type="all" dataOnly="0" outline="0" fieldPosition="0"/>
    </format>
    <format dxfId="198">
      <pivotArea outline="0" collapsedLevelsAreSubtotals="1" fieldPosition="0"/>
    </format>
    <format dxfId="197">
      <pivotArea type="origin" dataOnly="0" labelOnly="1" outline="0" fieldPosition="0"/>
    </format>
    <format dxfId="196">
      <pivotArea field="7" type="button" dataOnly="0" labelOnly="1" outline="0" axis="axisCol" fieldPosition="0"/>
    </format>
    <format dxfId="195">
      <pivotArea field="0" type="button" dataOnly="0" labelOnly="1" outline="0" axis="axisRow" fieldPosition="0"/>
    </format>
    <format dxfId="194">
      <pivotArea dataOnly="0" labelOnly="1" fieldPosition="0">
        <references count="1">
          <reference field="0" count="0"/>
        </references>
      </pivotArea>
    </format>
    <format dxfId="193">
      <pivotArea dataOnly="0" labelOnly="1" grandRow="1" outline="0" fieldPosition="0"/>
    </format>
    <format dxfId="192">
      <pivotArea dataOnly="0" labelOnly="1" fieldPosition="0">
        <references count="1">
          <reference field="7" count="0"/>
        </references>
      </pivotArea>
    </format>
  </formats>
  <chartFormats count="65">
    <chartFormat chart="15" format="228" series="1">
      <pivotArea type="data" outline="0" fieldPosition="0">
        <references count="2">
          <reference field="4294967294" count="1" selected="0">
            <x v="0"/>
          </reference>
          <reference field="7" count="1" selected="0">
            <x v="0"/>
          </reference>
        </references>
      </pivotArea>
    </chartFormat>
    <chartFormat chart="15" format="229">
      <pivotArea type="data" outline="0" fieldPosition="0">
        <references count="3">
          <reference field="4294967294" count="1" selected="0">
            <x v="0"/>
          </reference>
          <reference field="0" count="1" selected="0">
            <x v="1"/>
          </reference>
          <reference field="7" count="1" selected="0">
            <x v="0"/>
          </reference>
        </references>
      </pivotArea>
    </chartFormat>
    <chartFormat chart="15" format="230">
      <pivotArea type="data" outline="0" fieldPosition="0">
        <references count="3">
          <reference field="4294967294" count="1" selected="0">
            <x v="0"/>
          </reference>
          <reference field="0" count="1" selected="0">
            <x v="2"/>
          </reference>
          <reference field="7" count="1" selected="0">
            <x v="0"/>
          </reference>
        </references>
      </pivotArea>
    </chartFormat>
    <chartFormat chart="15" format="231">
      <pivotArea type="data" outline="0" fieldPosition="0">
        <references count="3">
          <reference field="4294967294" count="1" selected="0">
            <x v="0"/>
          </reference>
          <reference field="0" count="1" selected="0">
            <x v="3"/>
          </reference>
          <reference field="7" count="1" selected="0">
            <x v="0"/>
          </reference>
        </references>
      </pivotArea>
    </chartFormat>
    <chartFormat chart="15" format="232">
      <pivotArea type="data" outline="0" fieldPosition="0">
        <references count="3">
          <reference field="4294967294" count="1" selected="0">
            <x v="0"/>
          </reference>
          <reference field="0" count="1" selected="0">
            <x v="4"/>
          </reference>
          <reference field="7" count="1" selected="0">
            <x v="0"/>
          </reference>
        </references>
      </pivotArea>
    </chartFormat>
    <chartFormat chart="15" format="233" series="1">
      <pivotArea type="data" outline="0" fieldPosition="0">
        <references count="2">
          <reference field="4294967294" count="1" selected="0">
            <x v="0"/>
          </reference>
          <reference field="7" count="1" selected="0">
            <x v="1"/>
          </reference>
        </references>
      </pivotArea>
    </chartFormat>
    <chartFormat chart="15" format="234">
      <pivotArea type="data" outline="0" fieldPosition="0">
        <references count="3">
          <reference field="4294967294" count="1" selected="0">
            <x v="0"/>
          </reference>
          <reference field="0" count="1" selected="0">
            <x v="1"/>
          </reference>
          <reference field="7" count="1" selected="0">
            <x v="1"/>
          </reference>
        </references>
      </pivotArea>
    </chartFormat>
    <chartFormat chart="15" format="235">
      <pivotArea type="data" outline="0" fieldPosition="0">
        <references count="3">
          <reference field="4294967294" count="1" selected="0">
            <x v="0"/>
          </reference>
          <reference field="0" count="1" selected="0">
            <x v="2"/>
          </reference>
          <reference field="7" count="1" selected="0">
            <x v="1"/>
          </reference>
        </references>
      </pivotArea>
    </chartFormat>
    <chartFormat chart="15" format="236">
      <pivotArea type="data" outline="0" fieldPosition="0">
        <references count="3">
          <reference field="4294967294" count="1" selected="0">
            <x v="0"/>
          </reference>
          <reference field="0" count="1" selected="0">
            <x v="3"/>
          </reference>
          <reference field="7" count="1" selected="0">
            <x v="1"/>
          </reference>
        </references>
      </pivotArea>
    </chartFormat>
    <chartFormat chart="15" format="237">
      <pivotArea type="data" outline="0" fieldPosition="0">
        <references count="3">
          <reference field="4294967294" count="1" selected="0">
            <x v="0"/>
          </reference>
          <reference field="0" count="1" selected="0">
            <x v="4"/>
          </reference>
          <reference field="7" count="1" selected="0">
            <x v="1"/>
          </reference>
        </references>
      </pivotArea>
    </chartFormat>
    <chartFormat chart="15" format="238" series="1">
      <pivotArea type="data" outline="0" fieldPosition="0">
        <references count="2">
          <reference field="4294967294" count="1" selected="0">
            <x v="0"/>
          </reference>
          <reference field="7" count="1" selected="0">
            <x v="2"/>
          </reference>
        </references>
      </pivotArea>
    </chartFormat>
    <chartFormat chart="15" format="239">
      <pivotArea type="data" outline="0" fieldPosition="0">
        <references count="3">
          <reference field="4294967294" count="1" selected="0">
            <x v="0"/>
          </reference>
          <reference field="0" count="1" selected="0">
            <x v="1"/>
          </reference>
          <reference field="7" count="1" selected="0">
            <x v="2"/>
          </reference>
        </references>
      </pivotArea>
    </chartFormat>
    <chartFormat chart="15" format="240">
      <pivotArea type="data" outline="0" fieldPosition="0">
        <references count="3">
          <reference field="4294967294" count="1" selected="0">
            <x v="0"/>
          </reference>
          <reference field="0" count="1" selected="0">
            <x v="2"/>
          </reference>
          <reference field="7" count="1" selected="0">
            <x v="2"/>
          </reference>
        </references>
      </pivotArea>
    </chartFormat>
    <chartFormat chart="15" format="241">
      <pivotArea type="data" outline="0" fieldPosition="0">
        <references count="3">
          <reference field="4294967294" count="1" selected="0">
            <x v="0"/>
          </reference>
          <reference field="0" count="1" selected="0">
            <x v="3"/>
          </reference>
          <reference field="7" count="1" selected="0">
            <x v="2"/>
          </reference>
        </references>
      </pivotArea>
    </chartFormat>
    <chartFormat chart="15" format="242">
      <pivotArea type="data" outline="0" fieldPosition="0">
        <references count="3">
          <reference field="4294967294" count="1" selected="0">
            <x v="0"/>
          </reference>
          <reference field="0" count="1" selected="0">
            <x v="4"/>
          </reference>
          <reference field="7" count="1" selected="0">
            <x v="2"/>
          </reference>
        </references>
      </pivotArea>
    </chartFormat>
    <chartFormat chart="15" format="243" series="1">
      <pivotArea type="data" outline="0" fieldPosition="0">
        <references count="2">
          <reference field="4294967294" count="1" selected="0">
            <x v="0"/>
          </reference>
          <reference field="7" count="1" selected="0">
            <x v="3"/>
          </reference>
        </references>
      </pivotArea>
    </chartFormat>
    <chartFormat chart="15" format="244">
      <pivotArea type="data" outline="0" fieldPosition="0">
        <references count="3">
          <reference field="4294967294" count="1" selected="0">
            <x v="0"/>
          </reference>
          <reference field="0" count="1" selected="0">
            <x v="1"/>
          </reference>
          <reference field="7" count="1" selected="0">
            <x v="3"/>
          </reference>
        </references>
      </pivotArea>
    </chartFormat>
    <chartFormat chart="15" format="245">
      <pivotArea type="data" outline="0" fieldPosition="0">
        <references count="3">
          <reference field="4294967294" count="1" selected="0">
            <x v="0"/>
          </reference>
          <reference field="0" count="1" selected="0">
            <x v="2"/>
          </reference>
          <reference field="7" count="1" selected="0">
            <x v="3"/>
          </reference>
        </references>
      </pivotArea>
    </chartFormat>
    <chartFormat chart="15" format="246">
      <pivotArea type="data" outline="0" fieldPosition="0">
        <references count="3">
          <reference field="4294967294" count="1" selected="0">
            <x v="0"/>
          </reference>
          <reference field="0" count="1" selected="0">
            <x v="3"/>
          </reference>
          <reference field="7" count="1" selected="0">
            <x v="3"/>
          </reference>
        </references>
      </pivotArea>
    </chartFormat>
    <chartFormat chart="15" format="247">
      <pivotArea type="data" outline="0" fieldPosition="0">
        <references count="3">
          <reference field="4294967294" count="1" selected="0">
            <x v="0"/>
          </reference>
          <reference field="0" count="1" selected="0">
            <x v="4"/>
          </reference>
          <reference field="7" count="1" selected="0">
            <x v="3"/>
          </reference>
        </references>
      </pivotArea>
    </chartFormat>
    <chartFormat chart="32" format="248" series="1">
      <pivotArea type="data" outline="0" fieldPosition="0">
        <references count="2">
          <reference field="4294967294" count="1" selected="0">
            <x v="0"/>
          </reference>
          <reference field="7" count="1" selected="0">
            <x v="0"/>
          </reference>
        </references>
      </pivotArea>
    </chartFormat>
    <chartFormat chart="32" format="249">
      <pivotArea type="data" outline="0" fieldPosition="0">
        <references count="3">
          <reference field="4294967294" count="1" selected="0">
            <x v="0"/>
          </reference>
          <reference field="0" count="1" selected="0">
            <x v="1"/>
          </reference>
          <reference field="7" count="1" selected="0">
            <x v="0"/>
          </reference>
        </references>
      </pivotArea>
    </chartFormat>
    <chartFormat chart="32" format="250">
      <pivotArea type="data" outline="0" fieldPosition="0">
        <references count="3">
          <reference field="4294967294" count="1" selected="0">
            <x v="0"/>
          </reference>
          <reference field="0" count="1" selected="0">
            <x v="2"/>
          </reference>
          <reference field="7" count="1" selected="0">
            <x v="0"/>
          </reference>
        </references>
      </pivotArea>
    </chartFormat>
    <chartFormat chart="32" format="251">
      <pivotArea type="data" outline="0" fieldPosition="0">
        <references count="3">
          <reference field="4294967294" count="1" selected="0">
            <x v="0"/>
          </reference>
          <reference field="0" count="1" selected="0">
            <x v="3"/>
          </reference>
          <reference field="7" count="1" selected="0">
            <x v="0"/>
          </reference>
        </references>
      </pivotArea>
    </chartFormat>
    <chartFormat chart="32" format="252">
      <pivotArea type="data" outline="0" fieldPosition="0">
        <references count="3">
          <reference field="4294967294" count="1" selected="0">
            <x v="0"/>
          </reference>
          <reference field="0" count="1" selected="0">
            <x v="4"/>
          </reference>
          <reference field="7" count="1" selected="0">
            <x v="0"/>
          </reference>
        </references>
      </pivotArea>
    </chartFormat>
    <chartFormat chart="32" format="253" series="1">
      <pivotArea type="data" outline="0" fieldPosition="0">
        <references count="2">
          <reference field="4294967294" count="1" selected="0">
            <x v="0"/>
          </reference>
          <reference field="7" count="1" selected="0">
            <x v="1"/>
          </reference>
        </references>
      </pivotArea>
    </chartFormat>
    <chartFormat chart="32" format="254">
      <pivotArea type="data" outline="0" fieldPosition="0">
        <references count="3">
          <reference field="4294967294" count="1" selected="0">
            <x v="0"/>
          </reference>
          <reference field="0" count="1" selected="0">
            <x v="1"/>
          </reference>
          <reference field="7" count="1" selected="0">
            <x v="1"/>
          </reference>
        </references>
      </pivotArea>
    </chartFormat>
    <chartFormat chart="32" format="255">
      <pivotArea type="data" outline="0" fieldPosition="0">
        <references count="3">
          <reference field="4294967294" count="1" selected="0">
            <x v="0"/>
          </reference>
          <reference field="0" count="1" selected="0">
            <x v="2"/>
          </reference>
          <reference field="7" count="1" selected="0">
            <x v="1"/>
          </reference>
        </references>
      </pivotArea>
    </chartFormat>
    <chartFormat chart="32" format="256">
      <pivotArea type="data" outline="0" fieldPosition="0">
        <references count="3">
          <reference field="4294967294" count="1" selected="0">
            <x v="0"/>
          </reference>
          <reference field="0" count="1" selected="0">
            <x v="3"/>
          </reference>
          <reference field="7" count="1" selected="0">
            <x v="1"/>
          </reference>
        </references>
      </pivotArea>
    </chartFormat>
    <chartFormat chart="32" format="257">
      <pivotArea type="data" outline="0" fieldPosition="0">
        <references count="3">
          <reference field="4294967294" count="1" selected="0">
            <x v="0"/>
          </reference>
          <reference field="0" count="1" selected="0">
            <x v="4"/>
          </reference>
          <reference field="7" count="1" selected="0">
            <x v="1"/>
          </reference>
        </references>
      </pivotArea>
    </chartFormat>
    <chartFormat chart="32" format="258" series="1">
      <pivotArea type="data" outline="0" fieldPosition="0">
        <references count="2">
          <reference field="4294967294" count="1" selected="0">
            <x v="0"/>
          </reference>
          <reference field="7" count="1" selected="0">
            <x v="2"/>
          </reference>
        </references>
      </pivotArea>
    </chartFormat>
    <chartFormat chart="32" format="259">
      <pivotArea type="data" outline="0" fieldPosition="0">
        <references count="3">
          <reference field="4294967294" count="1" selected="0">
            <x v="0"/>
          </reference>
          <reference field="0" count="1" selected="0">
            <x v="1"/>
          </reference>
          <reference field="7" count="1" selected="0">
            <x v="2"/>
          </reference>
        </references>
      </pivotArea>
    </chartFormat>
    <chartFormat chart="32" format="260">
      <pivotArea type="data" outline="0" fieldPosition="0">
        <references count="3">
          <reference field="4294967294" count="1" selected="0">
            <x v="0"/>
          </reference>
          <reference field="0" count="1" selected="0">
            <x v="2"/>
          </reference>
          <reference field="7" count="1" selected="0">
            <x v="2"/>
          </reference>
        </references>
      </pivotArea>
    </chartFormat>
    <chartFormat chart="32" format="261">
      <pivotArea type="data" outline="0" fieldPosition="0">
        <references count="3">
          <reference field="4294967294" count="1" selected="0">
            <x v="0"/>
          </reference>
          <reference field="0" count="1" selected="0">
            <x v="3"/>
          </reference>
          <reference field="7" count="1" selected="0">
            <x v="2"/>
          </reference>
        </references>
      </pivotArea>
    </chartFormat>
    <chartFormat chart="32" format="262">
      <pivotArea type="data" outline="0" fieldPosition="0">
        <references count="3">
          <reference field="4294967294" count="1" selected="0">
            <x v="0"/>
          </reference>
          <reference field="0" count="1" selected="0">
            <x v="4"/>
          </reference>
          <reference field="7" count="1" selected="0">
            <x v="2"/>
          </reference>
        </references>
      </pivotArea>
    </chartFormat>
    <chartFormat chart="32" format="263" series="1">
      <pivotArea type="data" outline="0" fieldPosition="0">
        <references count="2">
          <reference field="4294967294" count="1" selected="0">
            <x v="0"/>
          </reference>
          <reference field="7" count="1" selected="0">
            <x v="3"/>
          </reference>
        </references>
      </pivotArea>
    </chartFormat>
    <chartFormat chart="32" format="264">
      <pivotArea type="data" outline="0" fieldPosition="0">
        <references count="3">
          <reference field="4294967294" count="1" selected="0">
            <x v="0"/>
          </reference>
          <reference field="0" count="1" selected="0">
            <x v="1"/>
          </reference>
          <reference field="7" count="1" selected="0">
            <x v="3"/>
          </reference>
        </references>
      </pivotArea>
    </chartFormat>
    <chartFormat chart="32" format="265">
      <pivotArea type="data" outline="0" fieldPosition="0">
        <references count="3">
          <reference field="4294967294" count="1" selected="0">
            <x v="0"/>
          </reference>
          <reference field="0" count="1" selected="0">
            <x v="2"/>
          </reference>
          <reference field="7" count="1" selected="0">
            <x v="3"/>
          </reference>
        </references>
      </pivotArea>
    </chartFormat>
    <chartFormat chart="32" format="266">
      <pivotArea type="data" outline="0" fieldPosition="0">
        <references count="3">
          <reference field="4294967294" count="1" selected="0">
            <x v="0"/>
          </reference>
          <reference field="0" count="1" selected="0">
            <x v="3"/>
          </reference>
          <reference field="7" count="1" selected="0">
            <x v="3"/>
          </reference>
        </references>
      </pivotArea>
    </chartFormat>
    <chartFormat chart="32" format="267">
      <pivotArea type="data" outline="0" fieldPosition="0">
        <references count="3">
          <reference field="4294967294" count="1" selected="0">
            <x v="0"/>
          </reference>
          <reference field="0" count="1" selected="0">
            <x v="4"/>
          </reference>
          <reference field="7" count="1" selected="0">
            <x v="3"/>
          </reference>
        </references>
      </pivotArea>
    </chartFormat>
    <chartFormat chart="33" format="268" series="1">
      <pivotArea type="data" outline="0" fieldPosition="0">
        <references count="2">
          <reference field="4294967294" count="1" selected="0">
            <x v="0"/>
          </reference>
          <reference field="7" count="1" selected="0">
            <x v="0"/>
          </reference>
        </references>
      </pivotArea>
    </chartFormat>
    <chartFormat chart="33" format="269">
      <pivotArea type="data" outline="0" fieldPosition="0">
        <references count="3">
          <reference field="4294967294" count="1" selected="0">
            <x v="0"/>
          </reference>
          <reference field="0" count="1" selected="0">
            <x v="1"/>
          </reference>
          <reference field="7" count="1" selected="0">
            <x v="0"/>
          </reference>
        </references>
      </pivotArea>
    </chartFormat>
    <chartFormat chart="33" format="270">
      <pivotArea type="data" outline="0" fieldPosition="0">
        <references count="3">
          <reference field="4294967294" count="1" selected="0">
            <x v="0"/>
          </reference>
          <reference field="0" count="1" selected="0">
            <x v="2"/>
          </reference>
          <reference field="7" count="1" selected="0">
            <x v="0"/>
          </reference>
        </references>
      </pivotArea>
    </chartFormat>
    <chartFormat chart="33" format="271">
      <pivotArea type="data" outline="0" fieldPosition="0">
        <references count="3">
          <reference field="4294967294" count="1" selected="0">
            <x v="0"/>
          </reference>
          <reference field="0" count="1" selected="0">
            <x v="3"/>
          </reference>
          <reference field="7" count="1" selected="0">
            <x v="0"/>
          </reference>
        </references>
      </pivotArea>
    </chartFormat>
    <chartFormat chart="33" format="272">
      <pivotArea type="data" outline="0" fieldPosition="0">
        <references count="3">
          <reference field="4294967294" count="1" selected="0">
            <x v="0"/>
          </reference>
          <reference field="0" count="1" selected="0">
            <x v="4"/>
          </reference>
          <reference field="7" count="1" selected="0">
            <x v="0"/>
          </reference>
        </references>
      </pivotArea>
    </chartFormat>
    <chartFormat chart="33" format="273" series="1">
      <pivotArea type="data" outline="0" fieldPosition="0">
        <references count="2">
          <reference field="4294967294" count="1" selected="0">
            <x v="0"/>
          </reference>
          <reference field="7" count="1" selected="0">
            <x v="1"/>
          </reference>
        </references>
      </pivotArea>
    </chartFormat>
    <chartFormat chart="33" format="274">
      <pivotArea type="data" outline="0" fieldPosition="0">
        <references count="3">
          <reference field="4294967294" count="1" selected="0">
            <x v="0"/>
          </reference>
          <reference field="0" count="1" selected="0">
            <x v="1"/>
          </reference>
          <reference field="7" count="1" selected="0">
            <x v="1"/>
          </reference>
        </references>
      </pivotArea>
    </chartFormat>
    <chartFormat chart="33" format="275">
      <pivotArea type="data" outline="0" fieldPosition="0">
        <references count="3">
          <reference field="4294967294" count="1" selected="0">
            <x v="0"/>
          </reference>
          <reference field="0" count="1" selected="0">
            <x v="2"/>
          </reference>
          <reference field="7" count="1" selected="0">
            <x v="1"/>
          </reference>
        </references>
      </pivotArea>
    </chartFormat>
    <chartFormat chart="33" format="276">
      <pivotArea type="data" outline="0" fieldPosition="0">
        <references count="3">
          <reference field="4294967294" count="1" selected="0">
            <x v="0"/>
          </reference>
          <reference field="0" count="1" selected="0">
            <x v="3"/>
          </reference>
          <reference field="7" count="1" selected="0">
            <x v="1"/>
          </reference>
        </references>
      </pivotArea>
    </chartFormat>
    <chartFormat chart="33" format="277">
      <pivotArea type="data" outline="0" fieldPosition="0">
        <references count="3">
          <reference field="4294967294" count="1" selected="0">
            <x v="0"/>
          </reference>
          <reference field="0" count="1" selected="0">
            <x v="4"/>
          </reference>
          <reference field="7" count="1" selected="0">
            <x v="1"/>
          </reference>
        </references>
      </pivotArea>
    </chartFormat>
    <chartFormat chart="33" format="278" series="1">
      <pivotArea type="data" outline="0" fieldPosition="0">
        <references count="2">
          <reference field="4294967294" count="1" selected="0">
            <x v="0"/>
          </reference>
          <reference field="7" count="1" selected="0">
            <x v="2"/>
          </reference>
        </references>
      </pivotArea>
    </chartFormat>
    <chartFormat chart="33" format="279">
      <pivotArea type="data" outline="0" fieldPosition="0">
        <references count="3">
          <reference field="4294967294" count="1" selected="0">
            <x v="0"/>
          </reference>
          <reference field="0" count="1" selected="0">
            <x v="1"/>
          </reference>
          <reference field="7" count="1" selected="0">
            <x v="2"/>
          </reference>
        </references>
      </pivotArea>
    </chartFormat>
    <chartFormat chart="33" format="280">
      <pivotArea type="data" outline="0" fieldPosition="0">
        <references count="3">
          <reference field="4294967294" count="1" selected="0">
            <x v="0"/>
          </reference>
          <reference field="0" count="1" selected="0">
            <x v="2"/>
          </reference>
          <reference field="7" count="1" selected="0">
            <x v="2"/>
          </reference>
        </references>
      </pivotArea>
    </chartFormat>
    <chartFormat chart="33" format="281">
      <pivotArea type="data" outline="0" fieldPosition="0">
        <references count="3">
          <reference field="4294967294" count="1" selected="0">
            <x v="0"/>
          </reference>
          <reference field="0" count="1" selected="0">
            <x v="3"/>
          </reference>
          <reference field="7" count="1" selected="0">
            <x v="2"/>
          </reference>
        </references>
      </pivotArea>
    </chartFormat>
    <chartFormat chart="33" format="282">
      <pivotArea type="data" outline="0" fieldPosition="0">
        <references count="3">
          <reference field="4294967294" count="1" selected="0">
            <x v="0"/>
          </reference>
          <reference field="0" count="1" selected="0">
            <x v="4"/>
          </reference>
          <reference field="7" count="1" selected="0">
            <x v="2"/>
          </reference>
        </references>
      </pivotArea>
    </chartFormat>
    <chartFormat chart="33" format="283" series="1">
      <pivotArea type="data" outline="0" fieldPosition="0">
        <references count="2">
          <reference field="4294967294" count="1" selected="0">
            <x v="0"/>
          </reference>
          <reference field="7" count="1" selected="0">
            <x v="3"/>
          </reference>
        </references>
      </pivotArea>
    </chartFormat>
    <chartFormat chart="33" format="284">
      <pivotArea type="data" outline="0" fieldPosition="0">
        <references count="3">
          <reference field="4294967294" count="1" selected="0">
            <x v="0"/>
          </reference>
          <reference field="0" count="1" selected="0">
            <x v="1"/>
          </reference>
          <reference field="7" count="1" selected="0">
            <x v="3"/>
          </reference>
        </references>
      </pivotArea>
    </chartFormat>
    <chartFormat chart="33" format="285">
      <pivotArea type="data" outline="0" fieldPosition="0">
        <references count="3">
          <reference field="4294967294" count="1" selected="0">
            <x v="0"/>
          </reference>
          <reference field="0" count="1" selected="0">
            <x v="2"/>
          </reference>
          <reference field="7" count="1" selected="0">
            <x v="3"/>
          </reference>
        </references>
      </pivotArea>
    </chartFormat>
    <chartFormat chart="33" format="286">
      <pivotArea type="data" outline="0" fieldPosition="0">
        <references count="3">
          <reference field="4294967294" count="1" selected="0">
            <x v="0"/>
          </reference>
          <reference field="0" count="1" selected="0">
            <x v="3"/>
          </reference>
          <reference field="7" count="1" selected="0">
            <x v="3"/>
          </reference>
        </references>
      </pivotArea>
    </chartFormat>
    <chartFormat chart="33" format="287">
      <pivotArea type="data" outline="0" fieldPosition="0">
        <references count="3">
          <reference field="4294967294" count="1" selected="0">
            <x v="0"/>
          </reference>
          <reference field="0" count="1" selected="0">
            <x v="4"/>
          </reference>
          <reference field="7" count="1" selected="0">
            <x v="3"/>
          </reference>
        </references>
      </pivotArea>
    </chartFormat>
    <chartFormat chart="40" format="10" series="1">
      <pivotArea type="data" outline="0" fieldPosition="0">
        <references count="1">
          <reference field="4294967294" count="1" selected="0">
            <x v="0"/>
          </reference>
        </references>
      </pivotArea>
    </chartFormat>
    <chartFormat chart="40" format="11">
      <pivotArea type="data" outline="0" fieldPosition="0">
        <references count="2">
          <reference field="4294967294" count="1" selected="0">
            <x v="0"/>
          </reference>
          <reference field="0" count="1" selected="0">
            <x v="1"/>
          </reference>
        </references>
      </pivotArea>
    </chartFormat>
    <chartFormat chart="40" format="12">
      <pivotArea type="data" outline="0" fieldPosition="0">
        <references count="2">
          <reference field="4294967294" count="1" selected="0">
            <x v="0"/>
          </reference>
          <reference field="0" count="1" selected="0">
            <x v="2"/>
          </reference>
        </references>
      </pivotArea>
    </chartFormat>
    <chartFormat chart="40" format="13">
      <pivotArea type="data" outline="0" fieldPosition="0">
        <references count="2">
          <reference field="4294967294" count="1" selected="0">
            <x v="0"/>
          </reference>
          <reference field="0" count="1" selected="0">
            <x v="3"/>
          </reference>
        </references>
      </pivotArea>
    </chartFormat>
    <chartFormat chart="40" format="14">
      <pivotArea type="data" outline="0" fieldPosition="0">
        <references count="2">
          <reference field="4294967294" count="1" selected="0">
            <x v="0"/>
          </reference>
          <reference field="0"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539CACA-3437-4D5F-9F79-4D4DFF57FA24}" name="PivotTable60" cacheId="1208" applyNumberFormats="0" applyBorderFormats="0" applyFontFormats="0" applyPatternFormats="0" applyAlignmentFormats="0" applyWidthHeightFormats="1" dataCaption="Values" updatedVersion="7" minRefreshableVersion="3" useAutoFormatting="1" colGrandTotals="0" itemPrintTitles="1" createdVersion="7" indent="0" outline="1" outlineData="1" multipleFieldFilters="0" chartFormat="37">
  <location ref="B27:F33" firstHeaderRow="1" firstDataRow="2" firstDataCol="1"/>
  <pivotFields count="8">
    <pivotField axis="axisRow" showAll="0" defaultSubtotal="0">
      <items count="6">
        <item h="1" x="0"/>
        <item x="1"/>
        <item x="2"/>
        <item x="3"/>
        <item x="4"/>
        <item h="1" x="5"/>
      </items>
    </pivotField>
    <pivotField numFmtId="3" showAll="0" defaultSubtotal="0"/>
    <pivotField numFmtId="10" showAll="0" defaultSubtotal="0"/>
    <pivotField dataField="1" numFmtId="3" showAll="0" defaultSubtotal="0"/>
    <pivotField numFmtId="9" showAll="0" defaultSubtotal="0"/>
    <pivotField numFmtId="3" showAll="0" defaultSubtotal="0"/>
    <pivotField numFmtId="3" showAll="0" defaultSubtotal="0"/>
    <pivotField axis="axisCol" showAll="0" defaultSubtotal="0">
      <items count="4">
        <item x="0"/>
        <item x="2"/>
        <item x="1"/>
        <item x="3"/>
      </items>
    </pivotField>
  </pivotFields>
  <rowFields count="1">
    <field x="0"/>
  </rowFields>
  <rowItems count="5">
    <i>
      <x v="1"/>
    </i>
    <i>
      <x v="2"/>
    </i>
    <i>
      <x v="3"/>
    </i>
    <i>
      <x v="4"/>
    </i>
    <i t="grand">
      <x/>
    </i>
  </rowItems>
  <colFields count="1">
    <field x="7"/>
  </colFields>
  <colItems count="4">
    <i>
      <x/>
    </i>
    <i>
      <x v="1"/>
    </i>
    <i>
      <x v="2"/>
    </i>
    <i>
      <x v="3"/>
    </i>
  </colItems>
  <dataFields count="1">
    <dataField name="Sum of Audience Growth Rate" fld="3" baseField="0" baseItem="0"/>
  </dataFields>
  <formats count="15">
    <format dxfId="271">
      <pivotArea outline="0" collapsedLevelsAreSubtotals="1" fieldPosition="0"/>
    </format>
    <format dxfId="272">
      <pivotArea dataOnly="0" labelOnly="1" grandRow="1" outline="0" fieldPosition="0"/>
    </format>
    <format dxfId="273">
      <pivotArea outline="0" collapsedLevelsAreSubtotals="1" fieldPosition="0"/>
    </format>
    <format dxfId="274">
      <pivotArea dataOnly="0" labelOnly="1" grandRow="1" outline="0" fieldPosition="0"/>
    </format>
    <format dxfId="275">
      <pivotArea dataOnly="0" labelOnly="1" fieldPosition="0">
        <references count="1">
          <reference field="7" count="1">
            <x v="3"/>
          </reference>
        </references>
      </pivotArea>
    </format>
    <format dxfId="276">
      <pivotArea dataOnly="0" labelOnly="1" fieldPosition="0">
        <references count="1">
          <reference field="7" count="1">
            <x v="3"/>
          </reference>
        </references>
      </pivotArea>
    </format>
    <format dxfId="191">
      <pivotArea type="all" dataOnly="0" outline="0" fieldPosition="0"/>
    </format>
    <format dxfId="190">
      <pivotArea outline="0" collapsedLevelsAreSubtotals="1" fieldPosition="0"/>
    </format>
    <format dxfId="189">
      <pivotArea type="origin" dataOnly="0" labelOnly="1" outline="0" fieldPosition="0"/>
    </format>
    <format dxfId="188">
      <pivotArea field="7" type="button" dataOnly="0" labelOnly="1" outline="0" axis="axisCol" fieldPosition="0"/>
    </format>
    <format dxfId="187">
      <pivotArea type="topRight" dataOnly="0" labelOnly="1" outline="0" fieldPosition="0"/>
    </format>
    <format dxfId="186">
      <pivotArea field="0" type="button" dataOnly="0" labelOnly="1" outline="0" axis="axisRow" fieldPosition="0"/>
    </format>
    <format dxfId="185">
      <pivotArea dataOnly="0" labelOnly="1" fieldPosition="0">
        <references count="1">
          <reference field="0" count="0"/>
        </references>
      </pivotArea>
    </format>
    <format dxfId="184">
      <pivotArea dataOnly="0" labelOnly="1" grandRow="1" outline="0" fieldPosition="0"/>
    </format>
    <format dxfId="183">
      <pivotArea dataOnly="0" labelOnly="1" fieldPosition="0">
        <references count="1">
          <reference field="7" count="0"/>
        </references>
      </pivotArea>
    </format>
  </formats>
  <chartFormats count="40">
    <chartFormat chart="32" format="248" series="1">
      <pivotArea type="data" outline="0" fieldPosition="0">
        <references count="2">
          <reference field="4294967294" count="1" selected="0">
            <x v="0"/>
          </reference>
          <reference field="7" count="1" selected="0">
            <x v="0"/>
          </reference>
        </references>
      </pivotArea>
    </chartFormat>
    <chartFormat chart="32" format="249">
      <pivotArea type="data" outline="0" fieldPosition="0">
        <references count="3">
          <reference field="4294967294" count="1" selected="0">
            <x v="0"/>
          </reference>
          <reference field="0" count="1" selected="0">
            <x v="1"/>
          </reference>
          <reference field="7" count="1" selected="0">
            <x v="0"/>
          </reference>
        </references>
      </pivotArea>
    </chartFormat>
    <chartFormat chart="32" format="250">
      <pivotArea type="data" outline="0" fieldPosition="0">
        <references count="3">
          <reference field="4294967294" count="1" selected="0">
            <x v="0"/>
          </reference>
          <reference field="0" count="1" selected="0">
            <x v="2"/>
          </reference>
          <reference field="7" count="1" selected="0">
            <x v="0"/>
          </reference>
        </references>
      </pivotArea>
    </chartFormat>
    <chartFormat chart="32" format="251">
      <pivotArea type="data" outline="0" fieldPosition="0">
        <references count="3">
          <reference field="4294967294" count="1" selected="0">
            <x v="0"/>
          </reference>
          <reference field="0" count="1" selected="0">
            <x v="3"/>
          </reference>
          <reference field="7" count="1" selected="0">
            <x v="0"/>
          </reference>
        </references>
      </pivotArea>
    </chartFormat>
    <chartFormat chart="32" format="252">
      <pivotArea type="data" outline="0" fieldPosition="0">
        <references count="3">
          <reference field="4294967294" count="1" selected="0">
            <x v="0"/>
          </reference>
          <reference field="0" count="1" selected="0">
            <x v="4"/>
          </reference>
          <reference field="7" count="1" selected="0">
            <x v="0"/>
          </reference>
        </references>
      </pivotArea>
    </chartFormat>
    <chartFormat chart="32" format="253" series="1">
      <pivotArea type="data" outline="0" fieldPosition="0">
        <references count="2">
          <reference field="4294967294" count="1" selected="0">
            <x v="0"/>
          </reference>
          <reference field="7" count="1" selected="0">
            <x v="1"/>
          </reference>
        </references>
      </pivotArea>
    </chartFormat>
    <chartFormat chart="32" format="254">
      <pivotArea type="data" outline="0" fieldPosition="0">
        <references count="3">
          <reference field="4294967294" count="1" selected="0">
            <x v="0"/>
          </reference>
          <reference field="0" count="1" selected="0">
            <x v="1"/>
          </reference>
          <reference field="7" count="1" selected="0">
            <x v="1"/>
          </reference>
        </references>
      </pivotArea>
    </chartFormat>
    <chartFormat chart="32" format="255">
      <pivotArea type="data" outline="0" fieldPosition="0">
        <references count="3">
          <reference field="4294967294" count="1" selected="0">
            <x v="0"/>
          </reference>
          <reference field="0" count="1" selected="0">
            <x v="2"/>
          </reference>
          <reference field="7" count="1" selected="0">
            <x v="1"/>
          </reference>
        </references>
      </pivotArea>
    </chartFormat>
    <chartFormat chart="32" format="256">
      <pivotArea type="data" outline="0" fieldPosition="0">
        <references count="3">
          <reference field="4294967294" count="1" selected="0">
            <x v="0"/>
          </reference>
          <reference field="0" count="1" selected="0">
            <x v="3"/>
          </reference>
          <reference field="7" count="1" selected="0">
            <x v="1"/>
          </reference>
        </references>
      </pivotArea>
    </chartFormat>
    <chartFormat chart="32" format="257">
      <pivotArea type="data" outline="0" fieldPosition="0">
        <references count="3">
          <reference field="4294967294" count="1" selected="0">
            <x v="0"/>
          </reference>
          <reference field="0" count="1" selected="0">
            <x v="4"/>
          </reference>
          <reference field="7" count="1" selected="0">
            <x v="1"/>
          </reference>
        </references>
      </pivotArea>
    </chartFormat>
    <chartFormat chart="32" format="258" series="1">
      <pivotArea type="data" outline="0" fieldPosition="0">
        <references count="2">
          <reference field="4294967294" count="1" selected="0">
            <x v="0"/>
          </reference>
          <reference field="7" count="1" selected="0">
            <x v="2"/>
          </reference>
        </references>
      </pivotArea>
    </chartFormat>
    <chartFormat chart="32" format="259">
      <pivotArea type="data" outline="0" fieldPosition="0">
        <references count="3">
          <reference field="4294967294" count="1" selected="0">
            <x v="0"/>
          </reference>
          <reference field="0" count="1" selected="0">
            <x v="1"/>
          </reference>
          <reference field="7" count="1" selected="0">
            <x v="2"/>
          </reference>
        </references>
      </pivotArea>
    </chartFormat>
    <chartFormat chart="32" format="260">
      <pivotArea type="data" outline="0" fieldPosition="0">
        <references count="3">
          <reference field="4294967294" count="1" selected="0">
            <x v="0"/>
          </reference>
          <reference field="0" count="1" selected="0">
            <x v="2"/>
          </reference>
          <reference field="7" count="1" selected="0">
            <x v="2"/>
          </reference>
        </references>
      </pivotArea>
    </chartFormat>
    <chartFormat chart="32" format="261">
      <pivotArea type="data" outline="0" fieldPosition="0">
        <references count="3">
          <reference field="4294967294" count="1" selected="0">
            <x v="0"/>
          </reference>
          <reference field="0" count="1" selected="0">
            <x v="3"/>
          </reference>
          <reference field="7" count="1" selected="0">
            <x v="2"/>
          </reference>
        </references>
      </pivotArea>
    </chartFormat>
    <chartFormat chart="32" format="262">
      <pivotArea type="data" outline="0" fieldPosition="0">
        <references count="3">
          <reference field="4294967294" count="1" selected="0">
            <x v="0"/>
          </reference>
          <reference field="0" count="1" selected="0">
            <x v="4"/>
          </reference>
          <reference field="7" count="1" selected="0">
            <x v="2"/>
          </reference>
        </references>
      </pivotArea>
    </chartFormat>
    <chartFormat chart="32" format="263" series="1">
      <pivotArea type="data" outline="0" fieldPosition="0">
        <references count="2">
          <reference field="4294967294" count="1" selected="0">
            <x v="0"/>
          </reference>
          <reference field="7" count="1" selected="0">
            <x v="3"/>
          </reference>
        </references>
      </pivotArea>
    </chartFormat>
    <chartFormat chart="32" format="264">
      <pivotArea type="data" outline="0" fieldPosition="0">
        <references count="3">
          <reference field="4294967294" count="1" selected="0">
            <x v="0"/>
          </reference>
          <reference field="0" count="1" selected="0">
            <x v="1"/>
          </reference>
          <reference field="7" count="1" selected="0">
            <x v="3"/>
          </reference>
        </references>
      </pivotArea>
    </chartFormat>
    <chartFormat chart="32" format="265">
      <pivotArea type="data" outline="0" fieldPosition="0">
        <references count="3">
          <reference field="4294967294" count="1" selected="0">
            <x v="0"/>
          </reference>
          <reference field="0" count="1" selected="0">
            <x v="2"/>
          </reference>
          <reference field="7" count="1" selected="0">
            <x v="3"/>
          </reference>
        </references>
      </pivotArea>
    </chartFormat>
    <chartFormat chart="32" format="266">
      <pivotArea type="data" outline="0" fieldPosition="0">
        <references count="3">
          <reference field="4294967294" count="1" selected="0">
            <x v="0"/>
          </reference>
          <reference field="0" count="1" selected="0">
            <x v="3"/>
          </reference>
          <reference field="7" count="1" selected="0">
            <x v="3"/>
          </reference>
        </references>
      </pivotArea>
    </chartFormat>
    <chartFormat chart="32" format="267">
      <pivotArea type="data" outline="0" fieldPosition="0">
        <references count="3">
          <reference field="4294967294" count="1" selected="0">
            <x v="0"/>
          </reference>
          <reference field="0" count="1" selected="0">
            <x v="4"/>
          </reference>
          <reference field="7" count="1" selected="0">
            <x v="3"/>
          </reference>
        </references>
      </pivotArea>
    </chartFormat>
    <chartFormat chart="33" format="268" series="1">
      <pivotArea type="data" outline="0" fieldPosition="0">
        <references count="2">
          <reference field="4294967294" count="1" selected="0">
            <x v="0"/>
          </reference>
          <reference field="7" count="1" selected="0">
            <x v="0"/>
          </reference>
        </references>
      </pivotArea>
    </chartFormat>
    <chartFormat chart="33" format="269">
      <pivotArea type="data" outline="0" fieldPosition="0">
        <references count="3">
          <reference field="4294967294" count="1" selected="0">
            <x v="0"/>
          </reference>
          <reference field="0" count="1" selected="0">
            <x v="1"/>
          </reference>
          <reference field="7" count="1" selected="0">
            <x v="0"/>
          </reference>
        </references>
      </pivotArea>
    </chartFormat>
    <chartFormat chart="33" format="270">
      <pivotArea type="data" outline="0" fieldPosition="0">
        <references count="3">
          <reference field="4294967294" count="1" selected="0">
            <x v="0"/>
          </reference>
          <reference field="0" count="1" selected="0">
            <x v="2"/>
          </reference>
          <reference field="7" count="1" selected="0">
            <x v="0"/>
          </reference>
        </references>
      </pivotArea>
    </chartFormat>
    <chartFormat chart="33" format="271">
      <pivotArea type="data" outline="0" fieldPosition="0">
        <references count="3">
          <reference field="4294967294" count="1" selected="0">
            <x v="0"/>
          </reference>
          <reference field="0" count="1" selected="0">
            <x v="3"/>
          </reference>
          <reference field="7" count="1" selected="0">
            <x v="0"/>
          </reference>
        </references>
      </pivotArea>
    </chartFormat>
    <chartFormat chart="33" format="272">
      <pivotArea type="data" outline="0" fieldPosition="0">
        <references count="3">
          <reference field="4294967294" count="1" selected="0">
            <x v="0"/>
          </reference>
          <reference field="0" count="1" selected="0">
            <x v="4"/>
          </reference>
          <reference field="7" count="1" selected="0">
            <x v="0"/>
          </reference>
        </references>
      </pivotArea>
    </chartFormat>
    <chartFormat chart="33" format="273" series="1">
      <pivotArea type="data" outline="0" fieldPosition="0">
        <references count="2">
          <reference field="4294967294" count="1" selected="0">
            <x v="0"/>
          </reference>
          <reference field="7" count="1" selected="0">
            <x v="1"/>
          </reference>
        </references>
      </pivotArea>
    </chartFormat>
    <chartFormat chart="33" format="274">
      <pivotArea type="data" outline="0" fieldPosition="0">
        <references count="3">
          <reference field="4294967294" count="1" selected="0">
            <x v="0"/>
          </reference>
          <reference field="0" count="1" selected="0">
            <x v="1"/>
          </reference>
          <reference field="7" count="1" selected="0">
            <x v="1"/>
          </reference>
        </references>
      </pivotArea>
    </chartFormat>
    <chartFormat chart="33" format="275">
      <pivotArea type="data" outline="0" fieldPosition="0">
        <references count="3">
          <reference field="4294967294" count="1" selected="0">
            <x v="0"/>
          </reference>
          <reference field="0" count="1" selected="0">
            <x v="2"/>
          </reference>
          <reference field="7" count="1" selected="0">
            <x v="1"/>
          </reference>
        </references>
      </pivotArea>
    </chartFormat>
    <chartFormat chart="33" format="276">
      <pivotArea type="data" outline="0" fieldPosition="0">
        <references count="3">
          <reference field="4294967294" count="1" selected="0">
            <x v="0"/>
          </reference>
          <reference field="0" count="1" selected="0">
            <x v="3"/>
          </reference>
          <reference field="7" count="1" selected="0">
            <x v="1"/>
          </reference>
        </references>
      </pivotArea>
    </chartFormat>
    <chartFormat chart="33" format="277">
      <pivotArea type="data" outline="0" fieldPosition="0">
        <references count="3">
          <reference field="4294967294" count="1" selected="0">
            <x v="0"/>
          </reference>
          <reference field="0" count="1" selected="0">
            <x v="4"/>
          </reference>
          <reference field="7" count="1" selected="0">
            <x v="1"/>
          </reference>
        </references>
      </pivotArea>
    </chartFormat>
    <chartFormat chart="33" format="278" series="1">
      <pivotArea type="data" outline="0" fieldPosition="0">
        <references count="2">
          <reference field="4294967294" count="1" selected="0">
            <x v="0"/>
          </reference>
          <reference field="7" count="1" selected="0">
            <x v="2"/>
          </reference>
        </references>
      </pivotArea>
    </chartFormat>
    <chartFormat chart="33" format="279">
      <pivotArea type="data" outline="0" fieldPosition="0">
        <references count="3">
          <reference field="4294967294" count="1" selected="0">
            <x v="0"/>
          </reference>
          <reference field="0" count="1" selected="0">
            <x v="1"/>
          </reference>
          <reference field="7" count="1" selected="0">
            <x v="2"/>
          </reference>
        </references>
      </pivotArea>
    </chartFormat>
    <chartFormat chart="33" format="280">
      <pivotArea type="data" outline="0" fieldPosition="0">
        <references count="3">
          <reference field="4294967294" count="1" selected="0">
            <x v="0"/>
          </reference>
          <reference field="0" count="1" selected="0">
            <x v="2"/>
          </reference>
          <reference field="7" count="1" selected="0">
            <x v="2"/>
          </reference>
        </references>
      </pivotArea>
    </chartFormat>
    <chartFormat chart="33" format="281">
      <pivotArea type="data" outline="0" fieldPosition="0">
        <references count="3">
          <reference field="4294967294" count="1" selected="0">
            <x v="0"/>
          </reference>
          <reference field="0" count="1" selected="0">
            <x v="3"/>
          </reference>
          <reference field="7" count="1" selected="0">
            <x v="2"/>
          </reference>
        </references>
      </pivotArea>
    </chartFormat>
    <chartFormat chart="33" format="282">
      <pivotArea type="data" outline="0" fieldPosition="0">
        <references count="3">
          <reference field="4294967294" count="1" selected="0">
            <x v="0"/>
          </reference>
          <reference field="0" count="1" selected="0">
            <x v="4"/>
          </reference>
          <reference field="7" count="1" selected="0">
            <x v="2"/>
          </reference>
        </references>
      </pivotArea>
    </chartFormat>
    <chartFormat chart="33" format="283" series="1">
      <pivotArea type="data" outline="0" fieldPosition="0">
        <references count="2">
          <reference field="4294967294" count="1" selected="0">
            <x v="0"/>
          </reference>
          <reference field="7" count="1" selected="0">
            <x v="3"/>
          </reference>
        </references>
      </pivotArea>
    </chartFormat>
    <chartFormat chart="33" format="284">
      <pivotArea type="data" outline="0" fieldPosition="0">
        <references count="3">
          <reference field="4294967294" count="1" selected="0">
            <x v="0"/>
          </reference>
          <reference field="0" count="1" selected="0">
            <x v="1"/>
          </reference>
          <reference field="7" count="1" selected="0">
            <x v="3"/>
          </reference>
        </references>
      </pivotArea>
    </chartFormat>
    <chartFormat chart="33" format="285">
      <pivotArea type="data" outline="0" fieldPosition="0">
        <references count="3">
          <reference field="4294967294" count="1" selected="0">
            <x v="0"/>
          </reference>
          <reference field="0" count="1" selected="0">
            <x v="2"/>
          </reference>
          <reference field="7" count="1" selected="0">
            <x v="3"/>
          </reference>
        </references>
      </pivotArea>
    </chartFormat>
    <chartFormat chart="33" format="286">
      <pivotArea type="data" outline="0" fieldPosition="0">
        <references count="3">
          <reference field="4294967294" count="1" selected="0">
            <x v="0"/>
          </reference>
          <reference field="0" count="1" selected="0">
            <x v="3"/>
          </reference>
          <reference field="7" count="1" selected="0">
            <x v="3"/>
          </reference>
        </references>
      </pivotArea>
    </chartFormat>
    <chartFormat chart="33" format="287">
      <pivotArea type="data" outline="0" fieldPosition="0">
        <references count="3">
          <reference field="4294967294" count="1" selected="0">
            <x v="0"/>
          </reference>
          <reference field="0" count="1" selected="0">
            <x v="4"/>
          </reference>
          <reference field="7"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9CF65AD-D2BF-4A1D-86B7-5367AC322F7F}" name="PivotTable58" cacheId="1208" applyNumberFormats="0" applyBorderFormats="0" applyFontFormats="0" applyPatternFormats="0" applyAlignmentFormats="0" applyWidthHeightFormats="1" dataCaption="Values" updatedVersion="7" minRefreshableVersion="3" useAutoFormatting="1" colGrandTotals="0" itemPrintTitles="1" createdVersion="7" indent="0" outline="1" outlineData="1" multipleFieldFilters="0">
  <location ref="A3:G8" firstHeaderRow="0" firstDataRow="1" firstDataCol="1"/>
  <pivotFields count="8">
    <pivotField showAll="0" defaultSubtotal="0">
      <items count="6">
        <item h="1" x="0"/>
        <item x="1"/>
        <item x="2"/>
        <item x="3"/>
        <item x="4"/>
        <item h="1" x="5"/>
      </items>
    </pivotField>
    <pivotField dataField="1" numFmtId="3" showAll="0" defaultSubtotal="0"/>
    <pivotField dataField="1" numFmtId="10" showAll="0" defaultSubtotal="0"/>
    <pivotField dataField="1" numFmtId="3" showAll="0" defaultSubtotal="0"/>
    <pivotField dataField="1" numFmtId="9" showAll="0" defaultSubtotal="0"/>
    <pivotField dataField="1" numFmtId="3" showAll="0" defaultSubtotal="0"/>
    <pivotField dataField="1" numFmtId="3" showAll="0" defaultSubtotal="0"/>
    <pivotField axis="axisRow" showAll="0" defaultSubtotal="0">
      <items count="4">
        <item x="0"/>
        <item x="2"/>
        <item x="1"/>
        <item x="3"/>
      </items>
    </pivotField>
  </pivotFields>
  <rowFields count="1">
    <field x="7"/>
  </rowFields>
  <rowItems count="5">
    <i>
      <x/>
    </i>
    <i>
      <x v="1"/>
    </i>
    <i>
      <x v="2"/>
    </i>
    <i>
      <x v="3"/>
    </i>
    <i t="grand">
      <x/>
    </i>
  </rowItems>
  <colFields count="1">
    <field x="-2"/>
  </colFields>
  <colItems count="6">
    <i>
      <x/>
    </i>
    <i i="1">
      <x v="1"/>
    </i>
    <i i="2">
      <x v="2"/>
    </i>
    <i i="3">
      <x v="3"/>
    </i>
    <i i="4">
      <x v="4"/>
    </i>
    <i i="5">
      <x v="5"/>
    </i>
  </colItems>
  <dataFields count="6">
    <dataField name="Sum of Audience Growth Rate" fld="3" baseField="0" baseItem="0"/>
    <dataField name="Sum of Post Reach" fld="5" baseField="0" baseItem="0"/>
    <dataField name="Sum of Likes" fld="6" baseField="0" baseItem="0"/>
    <dataField name="Average of Engagement Rate" fld="2" subtotal="average" baseField="7" baseItem="0"/>
    <dataField name="Average of Response Rate" fld="4" subtotal="average" baseField="7" baseItem="0"/>
    <dataField name="Sum of Impressions" fld="1" baseField="0" baseItem="0"/>
  </dataFields>
  <formats count="12">
    <format dxfId="277">
      <pivotArea outline="0" collapsedLevelsAreSubtotals="1" fieldPosition="0"/>
    </format>
    <format dxfId="278">
      <pivotArea dataOnly="0" labelOnly="1" fieldPosition="0">
        <references count="1">
          <reference field="7" count="0"/>
        </references>
      </pivotArea>
    </format>
    <format dxfId="279">
      <pivotArea dataOnly="0" labelOnly="1" grandRow="1" outline="0" fieldPosition="0"/>
    </format>
    <format dxfId="280">
      <pivotArea outline="0" collapsedLevelsAreSubtotals="1" fieldPosition="0"/>
    </format>
    <format dxfId="281">
      <pivotArea dataOnly="0" labelOnly="1" fieldPosition="0">
        <references count="1">
          <reference field="7" count="0"/>
        </references>
      </pivotArea>
    </format>
    <format dxfId="282">
      <pivotArea dataOnly="0" labelOnly="1" grandRow="1" outline="0" fieldPosition="0"/>
    </format>
    <format dxfId="283">
      <pivotArea outline="0" collapsedLevelsAreSubtotals="1" fieldPosition="0">
        <references count="1">
          <reference field="4294967294" count="1" selected="0">
            <x v="0"/>
          </reference>
        </references>
      </pivotArea>
    </format>
    <format dxfId="284">
      <pivotArea dataOnly="0" labelOnly="1" outline="0" fieldPosition="0">
        <references count="1">
          <reference field="4294967294" count="1">
            <x v="0"/>
          </reference>
        </references>
      </pivotArea>
    </format>
    <format dxfId="285">
      <pivotArea outline="0" collapsedLevelsAreSubtotals="1" fieldPosition="0">
        <references count="1">
          <reference field="4294967294" count="1" selected="0">
            <x v="3"/>
          </reference>
        </references>
      </pivotArea>
    </format>
    <format dxfId="286">
      <pivotArea dataOnly="0" labelOnly="1" outline="0" fieldPosition="0">
        <references count="1">
          <reference field="4294967294" count="1">
            <x v="3"/>
          </reference>
        </references>
      </pivotArea>
    </format>
    <format dxfId="287">
      <pivotArea outline="0" collapsedLevelsAreSubtotals="1" fieldPosition="0">
        <references count="1">
          <reference field="4294967294" count="1" selected="0">
            <x v="5"/>
          </reference>
        </references>
      </pivotArea>
    </format>
    <format dxfId="288">
      <pivotArea dataOnly="0" labelOnly="1" outline="0" fieldPosition="0">
        <references count="1">
          <reference field="4294967294" count="1">
            <x v="5"/>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ek" xr10:uid="{3B974B45-3FB9-42E1-95A4-746035BDC111}" sourceName="Week">
  <pivotTables>
    <pivotTable tabId="9" name="PivotTable58"/>
    <pivotTable tabId="9" name="PivotTable64"/>
    <pivotTable tabId="9" name="PivotTable68"/>
  </pivotTables>
  <data>
    <tabular pivotCacheId="837868635">
      <items count="6">
        <i x="1" s="1"/>
        <i x="2" s="1"/>
        <i x="3" s="1"/>
        <i x="4" s="1"/>
        <i x="0" nd="1"/>
        <i x="5"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eek 1" xr10:uid="{E824BE69-95E5-47FA-B2E8-211408D680BC}" cache="Slicer_Week" caption="Week" columnCount="4" showCaption="0" style="Slicer Style 1" rowHeight="36576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603ADDDD-688D-4823-8ABA-53091252C69F}" name="Facebook7" displayName="Facebook7" ref="A1:G53" totalsRowShown="0" headerRowDxfId="335" dataDxfId="334">
  <autoFilter ref="A1:G53" xr:uid="{603ADDDD-688D-4823-8ABA-53091252C69F}"/>
  <tableColumns count="7">
    <tableColumn id="1" xr3:uid="{9E7319E1-4FA6-4E9B-8658-1D75C3348581}" name="Week" dataDxfId="333"/>
    <tableColumn id="2" xr3:uid="{B04E21F2-4C6A-47DA-915E-4381DD9B1FE5}" name="Impressions" dataDxfId="332"/>
    <tableColumn id="3" xr3:uid="{BB32942A-165F-40DD-A85B-2676E07AC0AA}" name="Engagement Rate" dataDxfId="331"/>
    <tableColumn id="4" xr3:uid="{D094A0A4-908F-435C-AACD-21E5A48166AD}" name="Audience Growth Rate" dataDxfId="330"/>
    <tableColumn id="5" xr3:uid="{124BC117-8177-4908-80FA-0B88D7D75171}" name="Response Rate" dataDxfId="329"/>
    <tableColumn id="7" xr3:uid="{91DFF6E4-1F0D-4618-8E10-0476FCF68F79}" name="Post Reach" dataDxfId="328"/>
    <tableColumn id="8" xr3:uid="{60FFADC8-4C5D-42DB-AC1B-493DAAE6878A}" name="Likes" dataDxfId="327"/>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D6A6EAB5-F23A-410B-97FB-9A42E82A387A}" name="Linkedin8" displayName="Linkedin8" ref="A1:G53" totalsRowShown="0" headerRowDxfId="326" dataDxfId="325">
  <tableColumns count="7">
    <tableColumn id="1" xr3:uid="{CD489493-C4C6-4F30-87B7-8610E9F3C888}" name="Week" dataDxfId="324"/>
    <tableColumn id="2" xr3:uid="{91AC856D-FA1E-4D2C-BCBD-BD9600B05C4E}" name="Impressions" dataDxfId="323"/>
    <tableColumn id="3" xr3:uid="{6E743481-16C6-456D-AC55-81DE5CC99DF6}" name="Engagement Rate" dataDxfId="322"/>
    <tableColumn id="4" xr3:uid="{F8498469-DF63-4262-8B98-B2717AA58E70}" name="Audience Growth Rate" dataDxfId="321"/>
    <tableColumn id="5" xr3:uid="{717B4B82-FDB2-48D9-A9F6-B65DA4496B1B}" name="Response Rate" dataDxfId="320"/>
    <tableColumn id="7" xr3:uid="{6008ADA6-F585-49D9-8DF1-85724B937750}" name="Post Reach" dataDxfId="319"/>
    <tableColumn id="8" xr3:uid="{731CED34-C304-4163-A5F9-D484EE67228A}" name="Likes" dataDxfId="318"/>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6BACD1DF-DCDC-4C1C-906B-75E2334AB091}" name="Instagram9" displayName="Instagram9" ref="A1:G53" totalsRowShown="0" headerRowDxfId="317" dataDxfId="316">
  <tableColumns count="7">
    <tableColumn id="1" xr3:uid="{86D65C50-481C-45CB-B5EC-F169F18966B6}" name="Week" dataDxfId="315"/>
    <tableColumn id="2" xr3:uid="{0F8011BF-BA52-4D86-9F10-7A402E3B2E6F}" name="Impressions" dataDxfId="314"/>
    <tableColumn id="3" xr3:uid="{6DCD2A36-172B-4A9F-84D4-ED37729A90E8}" name="Engagement Rate" dataDxfId="313"/>
    <tableColumn id="4" xr3:uid="{5DC752E1-191B-4D21-B275-05980240F310}" name="Audience Growth Rate" dataDxfId="312"/>
    <tableColumn id="5" xr3:uid="{1D6164F1-E4AE-4416-82CC-BACB32A02256}" name="Response Rate" dataDxfId="311"/>
    <tableColumn id="7" xr3:uid="{67C728B1-4787-42F9-863F-1AE4D7FBC30F}" name="Post Reach" dataDxfId="310"/>
    <tableColumn id="8" xr3:uid="{8E8C63E1-8FA6-47A6-AF9B-5759D2A90DF2}" name="Likes" dataDxfId="309"/>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BF3874AE-DBDB-4CC3-A120-38F5B7AE5539}" name="X_10" displayName="X_10" ref="A1:G53" totalsRowShown="0" headerRowDxfId="308" dataDxfId="307">
  <tableColumns count="7">
    <tableColumn id="1" xr3:uid="{BCD31689-ED3F-42FC-8CC5-79F895AC12A7}" name="Week" dataDxfId="306"/>
    <tableColumn id="2" xr3:uid="{C9165D96-45CB-4A4E-B738-E869B42358DD}" name="Impressions" dataDxfId="305"/>
    <tableColumn id="3" xr3:uid="{BB18696E-86EF-4DB0-88B3-A04910C40139}" name="Engagement Rate" dataDxfId="304"/>
    <tableColumn id="4" xr3:uid="{1A1A7CF6-B6E9-4558-BEF6-BAC75AD4327B}" name="Audience Growth Rate" dataDxfId="303"/>
    <tableColumn id="5" xr3:uid="{AEB9AA69-01A0-4F73-85AE-B5470D3A643C}" name="Response Rate" dataDxfId="302"/>
    <tableColumn id="7" xr3:uid="{D9F3F591-C338-4D98-A69D-6FB85A74F9B2}" name="Post Reach" dataDxfId="301"/>
    <tableColumn id="8" xr3:uid="{2F0ED8F7-FBD8-4538-A752-FBFE0C9E3C16}" name="Likes" dataDxfId="300"/>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01A46C0-3A82-466F-B346-73681CE3E537}" name="Facebook72" displayName="Facebook72" ref="A1:H209" totalsRowShown="0" headerRowDxfId="299" dataDxfId="298">
  <autoFilter ref="A1:H209" xr:uid="{301A46C0-3A82-466F-B346-73681CE3E537}"/>
  <tableColumns count="8">
    <tableColumn id="1" xr3:uid="{5629B143-E811-4D3C-8ABE-9DE8FCDC89A3}" name="Week" dataDxfId="297"/>
    <tableColumn id="2" xr3:uid="{F5CF18C8-F817-42E0-A6C0-04583546D58C}" name="Impressions" dataDxfId="296"/>
    <tableColumn id="3" xr3:uid="{6CA7B5AF-2660-4A5F-8105-0B5F9723B178}" name="Engagement Rate" dataDxfId="295"/>
    <tableColumn id="4" xr3:uid="{3FAF3D55-B4ED-46FB-B205-FDB356CD5D3B}" name="Audience Growth Rate" dataDxfId="294"/>
    <tableColumn id="5" xr3:uid="{4032AFE8-646B-44A3-9738-8B16E856F0D4}" name="Response Rate" dataDxfId="293"/>
    <tableColumn id="7" xr3:uid="{0A61CADA-DA45-4ECB-A789-CC388E22806C}" name="Post Reach" dataDxfId="292"/>
    <tableColumn id="6" xr3:uid="{C596A144-B23D-4AF4-A199-F5BB51C9AB2E}" name="Likes" dataDxfId="291"/>
    <tableColumn id="8" xr3:uid="{7B95A938-4899-4800-957D-FA0E977EC29E}" name="Platform" dataDxfId="290"/>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72AFC3D2-3D6E-4448-9932-C720F3DE1727}" name="Table14" displayName="Table14" ref="G53:K57" totalsRowShown="0" headerRowDxfId="239" dataDxfId="240" tableBorderDxfId="241">
  <autoFilter ref="G53:K57" xr:uid="{72AFC3D2-3D6E-4448-9932-C720F3DE1727}"/>
  <tableColumns count="5">
    <tableColumn id="1" xr3:uid="{122E7D14-A3AD-49CC-898E-929352597977}" name="Time Stamp" dataDxfId="182"/>
    <tableColumn id="2" xr3:uid="{5742343A-A234-4873-8098-40D1012FA307}" name="Facebook" dataDxfId="181"/>
    <tableColumn id="3" xr3:uid="{35B0E381-43BC-4156-A49F-DEFD87A80D83}" name="Instagram" dataDxfId="180"/>
    <tableColumn id="4" xr3:uid="{B8AEA96F-FAD6-408D-845F-9784570B9D8B}" name="Linkedin" dataDxfId="179"/>
    <tableColumn id="5" xr3:uid="{1AE5BD2B-B9BF-4175-BB7A-67E8CCDA1631}" name="X" dataDxfId="178"/>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8" Type="http://schemas.openxmlformats.org/officeDocument/2006/relationships/drawing" Target="../drawings/drawing2.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table" Target="../tables/table6.xml"/></Relationships>
</file>

<file path=xl/worksheets/_rels/sheet8.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3.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EA9E1C-4024-44A6-8BD4-02C649AD9CA3}">
  <dimension ref="A1:H53"/>
  <sheetViews>
    <sheetView showGridLines="0" workbookViewId="0">
      <selection activeCell="F35" sqref="F35"/>
    </sheetView>
  </sheetViews>
  <sheetFormatPr defaultRowHeight="14.4"/>
  <cols>
    <col min="2" max="2" width="13.6640625" customWidth="1"/>
    <col min="3" max="3" width="17.77734375" customWidth="1"/>
    <col min="4" max="4" width="21.5546875" customWidth="1"/>
    <col min="5" max="5" width="15.5546875" customWidth="1"/>
    <col min="6" max="6" width="12.44140625" customWidth="1"/>
    <col min="7" max="8" width="12.88671875" customWidth="1"/>
  </cols>
  <sheetData>
    <row r="1" spans="1:8">
      <c r="A1" s="1" t="s">
        <v>0</v>
      </c>
      <c r="B1" s="1" t="s">
        <v>1</v>
      </c>
      <c r="C1" s="1" t="s">
        <v>2</v>
      </c>
      <c r="D1" s="1" t="s">
        <v>3</v>
      </c>
      <c r="E1" s="1" t="s">
        <v>4</v>
      </c>
      <c r="F1" s="1" t="s">
        <v>5</v>
      </c>
      <c r="G1" s="1" t="s">
        <v>6</v>
      </c>
      <c r="H1" s="15" t="s">
        <v>32</v>
      </c>
    </row>
    <row r="2" spans="1:8">
      <c r="A2" s="2">
        <v>1</v>
      </c>
      <c r="B2" s="3">
        <v>10645</v>
      </c>
      <c r="C2" s="5">
        <v>3.7499999999999999E-2</v>
      </c>
      <c r="D2" s="3">
        <v>18</v>
      </c>
      <c r="E2" s="4">
        <v>0.82</v>
      </c>
      <c r="F2" s="3">
        <v>8942</v>
      </c>
      <c r="G2" s="3">
        <v>596</v>
      </c>
      <c r="H2" s="16">
        <f>25450</f>
        <v>25450</v>
      </c>
    </row>
    <row r="3" spans="1:8">
      <c r="A3" s="2">
        <v>2</v>
      </c>
      <c r="B3" s="3">
        <v>10667</v>
      </c>
      <c r="C3" s="5">
        <v>2.2499999999999999E-2</v>
      </c>
      <c r="D3" s="3">
        <v>20</v>
      </c>
      <c r="E3" s="4">
        <v>0.79</v>
      </c>
      <c r="F3" s="3">
        <v>8854</v>
      </c>
      <c r="G3" s="3">
        <v>422</v>
      </c>
      <c r="H3" s="17">
        <v>422</v>
      </c>
    </row>
    <row r="4" spans="1:8">
      <c r="A4" s="2">
        <v>3</v>
      </c>
      <c r="B4" s="3">
        <v>8972</v>
      </c>
      <c r="C4" s="5">
        <v>0.01</v>
      </c>
      <c r="D4" s="3">
        <v>12</v>
      </c>
      <c r="E4" s="4">
        <v>0.8</v>
      </c>
      <c r="F4" s="3">
        <v>7178</v>
      </c>
      <c r="G4" s="3">
        <v>342</v>
      </c>
      <c r="H4" s="16">
        <v>342</v>
      </c>
    </row>
    <row r="5" spans="1:8">
      <c r="A5" s="2">
        <v>4</v>
      </c>
      <c r="B5" s="3">
        <v>9958</v>
      </c>
      <c r="C5" s="5">
        <v>0.03</v>
      </c>
      <c r="D5" s="3">
        <v>12</v>
      </c>
      <c r="E5" s="4">
        <v>0.83</v>
      </c>
      <c r="F5" s="3">
        <v>7966</v>
      </c>
      <c r="G5" s="3">
        <v>469</v>
      </c>
      <c r="H5" s="17">
        <v>469</v>
      </c>
    </row>
    <row r="6" spans="1:8">
      <c r="A6" s="2">
        <v>5</v>
      </c>
      <c r="B6" s="3">
        <v>9636</v>
      </c>
      <c r="C6" s="5">
        <v>2.2857142857142857E-2</v>
      </c>
      <c r="D6" s="3">
        <v>10</v>
      </c>
      <c r="E6" s="4">
        <v>0.88</v>
      </c>
      <c r="F6" s="3">
        <v>7805</v>
      </c>
      <c r="G6" s="3">
        <v>520</v>
      </c>
      <c r="H6" s="16">
        <v>520</v>
      </c>
    </row>
    <row r="7" spans="1:8">
      <c r="A7" s="2">
        <v>6</v>
      </c>
      <c r="B7" s="3">
        <v>10054</v>
      </c>
      <c r="C7" s="5">
        <v>2.2499999999999999E-2</v>
      </c>
      <c r="D7" s="3">
        <v>23</v>
      </c>
      <c r="E7" s="4">
        <v>0.78</v>
      </c>
      <c r="F7" s="3">
        <v>8043</v>
      </c>
      <c r="G7" s="3">
        <v>447</v>
      </c>
      <c r="H7" s="17">
        <v>447</v>
      </c>
    </row>
    <row r="8" spans="1:8">
      <c r="A8" s="2">
        <v>7</v>
      </c>
      <c r="B8" s="3">
        <v>9386</v>
      </c>
      <c r="C8" s="5">
        <v>2.2499999999999999E-2</v>
      </c>
      <c r="D8" s="3">
        <v>11</v>
      </c>
      <c r="E8" s="4">
        <v>0.78</v>
      </c>
      <c r="F8" s="3">
        <v>7697</v>
      </c>
      <c r="G8" s="3">
        <v>385</v>
      </c>
      <c r="H8" s="16">
        <v>385</v>
      </c>
    </row>
    <row r="9" spans="1:8">
      <c r="A9" s="2">
        <v>8</v>
      </c>
      <c r="B9" s="3">
        <v>10231</v>
      </c>
      <c r="C9" s="5">
        <v>1.714285714285714E-2</v>
      </c>
      <c r="D9" s="3">
        <v>11</v>
      </c>
      <c r="E9" s="4">
        <v>0.79</v>
      </c>
      <c r="F9" s="3">
        <v>8696</v>
      </c>
      <c r="G9" s="3">
        <v>458</v>
      </c>
      <c r="H9" s="17">
        <v>458</v>
      </c>
    </row>
    <row r="10" spans="1:8">
      <c r="A10" s="2">
        <v>9</v>
      </c>
      <c r="B10" s="3">
        <v>9921</v>
      </c>
      <c r="C10" s="5">
        <v>2.571428571428571E-2</v>
      </c>
      <c r="D10" s="3">
        <v>18</v>
      </c>
      <c r="E10" s="4">
        <v>0.78</v>
      </c>
      <c r="F10" s="3">
        <v>8433</v>
      </c>
      <c r="G10" s="3">
        <v>562</v>
      </c>
      <c r="H10" s="16">
        <v>562</v>
      </c>
    </row>
    <row r="11" spans="1:8">
      <c r="A11" s="2">
        <v>10</v>
      </c>
      <c r="B11" s="3">
        <v>9000</v>
      </c>
      <c r="C11" s="5">
        <v>2.2857142857142857E-2</v>
      </c>
      <c r="D11" s="3">
        <v>15</v>
      </c>
      <c r="E11" s="4">
        <v>0.79</v>
      </c>
      <c r="F11" s="3">
        <v>7380</v>
      </c>
      <c r="G11" s="3">
        <v>388</v>
      </c>
      <c r="H11" s="17">
        <v>388</v>
      </c>
    </row>
    <row r="12" spans="1:8">
      <c r="A12" s="2">
        <v>11</v>
      </c>
      <c r="B12" s="3">
        <v>9413</v>
      </c>
      <c r="C12" s="5">
        <v>7.4999999999999997E-3</v>
      </c>
      <c r="D12" s="3">
        <v>24</v>
      </c>
      <c r="E12" s="4">
        <v>0.82</v>
      </c>
      <c r="F12" s="3">
        <v>7625</v>
      </c>
      <c r="G12" s="3">
        <v>449</v>
      </c>
      <c r="H12" s="16">
        <v>449</v>
      </c>
    </row>
    <row r="13" spans="1:8">
      <c r="A13" s="2">
        <v>12</v>
      </c>
      <c r="B13" s="3">
        <v>10737</v>
      </c>
      <c r="C13" s="5">
        <v>2.1428571428571429E-2</v>
      </c>
      <c r="D13" s="3">
        <v>20</v>
      </c>
      <c r="E13" s="4">
        <v>0.8</v>
      </c>
      <c r="F13" s="3">
        <v>8697</v>
      </c>
      <c r="G13" s="3">
        <v>580</v>
      </c>
      <c r="H13" s="17">
        <v>580</v>
      </c>
    </row>
    <row r="14" spans="1:8">
      <c r="A14" s="2">
        <v>13</v>
      </c>
      <c r="B14" s="3">
        <v>10889</v>
      </c>
      <c r="C14" s="5">
        <v>2.571428571428571E-2</v>
      </c>
      <c r="D14" s="3">
        <v>16</v>
      </c>
      <c r="E14" s="4">
        <v>0.85</v>
      </c>
      <c r="F14" s="3">
        <v>9038</v>
      </c>
      <c r="G14" s="3">
        <v>452</v>
      </c>
      <c r="H14" s="16">
        <v>452</v>
      </c>
    </row>
    <row r="15" spans="1:8">
      <c r="A15" s="2">
        <v>14</v>
      </c>
      <c r="B15" s="3">
        <v>10845</v>
      </c>
      <c r="C15" s="5">
        <v>3.428571428571428E-2</v>
      </c>
      <c r="D15" s="3">
        <v>23</v>
      </c>
      <c r="E15" s="4">
        <v>0.86</v>
      </c>
      <c r="F15" s="3">
        <v>8893</v>
      </c>
      <c r="G15" s="3">
        <v>445</v>
      </c>
      <c r="H15" s="17">
        <v>445</v>
      </c>
    </row>
    <row r="16" spans="1:8">
      <c r="A16" s="2">
        <v>15</v>
      </c>
      <c r="B16" s="3">
        <v>8995</v>
      </c>
      <c r="C16" s="5">
        <v>1.714285714285714E-2</v>
      </c>
      <c r="D16" s="3">
        <v>10</v>
      </c>
      <c r="E16" s="4">
        <v>0.87</v>
      </c>
      <c r="F16" s="3">
        <v>7196</v>
      </c>
      <c r="G16" s="3">
        <v>379</v>
      </c>
      <c r="H16" s="16">
        <v>379</v>
      </c>
    </row>
    <row r="17" spans="1:8">
      <c r="A17" s="2">
        <v>16</v>
      </c>
      <c r="B17" s="3">
        <v>8781</v>
      </c>
      <c r="C17" s="5">
        <v>2.571428571428571E-2</v>
      </c>
      <c r="D17" s="3">
        <v>24</v>
      </c>
      <c r="E17" s="4">
        <v>0.78</v>
      </c>
      <c r="F17" s="3">
        <v>7113</v>
      </c>
      <c r="G17" s="3">
        <v>374</v>
      </c>
      <c r="H17" s="17">
        <v>374</v>
      </c>
    </row>
    <row r="18" spans="1:8">
      <c r="A18" s="2">
        <v>17</v>
      </c>
      <c r="B18" s="3">
        <v>10117</v>
      </c>
      <c r="C18" s="5">
        <v>1.714285714285714E-2</v>
      </c>
      <c r="D18" s="3">
        <v>25</v>
      </c>
      <c r="E18" s="4">
        <v>0.86</v>
      </c>
      <c r="F18" s="3">
        <v>8296</v>
      </c>
      <c r="G18" s="3">
        <v>461</v>
      </c>
      <c r="H18" s="16">
        <v>461</v>
      </c>
    </row>
    <row r="19" spans="1:8">
      <c r="A19" s="2">
        <v>18</v>
      </c>
      <c r="B19" s="3">
        <v>9514</v>
      </c>
      <c r="C19" s="5">
        <v>1.2857142857142855E-2</v>
      </c>
      <c r="D19" s="3">
        <v>12</v>
      </c>
      <c r="E19" s="4">
        <v>0.85</v>
      </c>
      <c r="F19" s="3">
        <v>7706</v>
      </c>
      <c r="G19" s="3">
        <v>428</v>
      </c>
      <c r="H19" s="17">
        <v>428</v>
      </c>
    </row>
    <row r="20" spans="1:8">
      <c r="A20" s="2">
        <v>19</v>
      </c>
      <c r="B20" s="3">
        <v>9714</v>
      </c>
      <c r="C20" s="5">
        <v>3.5714285714285719E-2</v>
      </c>
      <c r="D20" s="3">
        <v>17</v>
      </c>
      <c r="E20" s="4">
        <v>0.87</v>
      </c>
      <c r="F20" s="3">
        <v>8160</v>
      </c>
      <c r="G20" s="3">
        <v>480</v>
      </c>
      <c r="H20" s="16">
        <v>480</v>
      </c>
    </row>
    <row r="21" spans="1:8">
      <c r="A21" s="2">
        <v>20</v>
      </c>
      <c r="B21" s="3">
        <v>9973</v>
      </c>
      <c r="C21" s="5">
        <v>0.03</v>
      </c>
      <c r="D21" s="3">
        <v>23</v>
      </c>
      <c r="E21" s="4">
        <v>0.78</v>
      </c>
      <c r="F21" s="3">
        <v>8477</v>
      </c>
      <c r="G21" s="3">
        <v>471</v>
      </c>
      <c r="H21" s="17">
        <v>471</v>
      </c>
    </row>
    <row r="22" spans="1:8">
      <c r="A22" s="2">
        <v>21</v>
      </c>
      <c r="B22" s="3">
        <v>8518</v>
      </c>
      <c r="C22" s="5">
        <v>1.4999999999999999E-2</v>
      </c>
      <c r="D22" s="3">
        <v>8</v>
      </c>
      <c r="E22" s="4">
        <v>0.88</v>
      </c>
      <c r="F22" s="3">
        <v>7240</v>
      </c>
      <c r="G22" s="3">
        <v>381</v>
      </c>
      <c r="H22" s="16">
        <v>381</v>
      </c>
    </row>
    <row r="23" spans="1:8">
      <c r="A23" s="2">
        <v>22</v>
      </c>
      <c r="B23" s="3">
        <v>10499</v>
      </c>
      <c r="C23" s="5">
        <v>4.2857142857142858E-2</v>
      </c>
      <c r="D23" s="3">
        <v>14</v>
      </c>
      <c r="E23" s="4">
        <v>0.81</v>
      </c>
      <c r="F23" s="3">
        <v>8399</v>
      </c>
      <c r="G23" s="3">
        <v>494</v>
      </c>
      <c r="H23" s="17">
        <v>494</v>
      </c>
    </row>
    <row r="24" spans="1:8">
      <c r="A24" s="2">
        <v>23</v>
      </c>
      <c r="B24" s="3">
        <v>9221</v>
      </c>
      <c r="C24" s="5">
        <v>1.4999999999999999E-2</v>
      </c>
      <c r="D24" s="3">
        <v>24</v>
      </c>
      <c r="E24" s="4">
        <v>0.79</v>
      </c>
      <c r="F24" s="3">
        <v>7561</v>
      </c>
      <c r="G24" s="3">
        <v>398</v>
      </c>
      <c r="H24" s="16">
        <v>398</v>
      </c>
    </row>
    <row r="25" spans="1:8">
      <c r="A25" s="2">
        <v>24</v>
      </c>
      <c r="B25" s="3">
        <v>10547</v>
      </c>
      <c r="C25" s="5">
        <v>3.428571428571428E-2</v>
      </c>
      <c r="D25" s="3">
        <v>19</v>
      </c>
      <c r="E25" s="4">
        <v>0.83</v>
      </c>
      <c r="F25" s="3">
        <v>8543</v>
      </c>
      <c r="G25" s="3">
        <v>450</v>
      </c>
      <c r="H25" s="17">
        <v>450</v>
      </c>
    </row>
    <row r="26" spans="1:8">
      <c r="A26" s="2">
        <v>25</v>
      </c>
      <c r="B26" s="3">
        <v>10706</v>
      </c>
      <c r="C26" s="5">
        <v>1.2500000000000001E-2</v>
      </c>
      <c r="D26" s="3">
        <v>12</v>
      </c>
      <c r="E26" s="4">
        <v>0.87</v>
      </c>
      <c r="F26" s="3">
        <v>8672</v>
      </c>
      <c r="G26" s="3">
        <v>456</v>
      </c>
      <c r="H26" s="16">
        <v>456</v>
      </c>
    </row>
    <row r="27" spans="1:8">
      <c r="A27" s="2">
        <v>26</v>
      </c>
      <c r="B27" s="3">
        <v>9980</v>
      </c>
      <c r="C27" s="5">
        <v>3.7499999999999999E-2</v>
      </c>
      <c r="D27" s="3">
        <v>12</v>
      </c>
      <c r="E27" s="4">
        <v>0.8</v>
      </c>
      <c r="F27" s="3">
        <v>7984</v>
      </c>
      <c r="G27" s="3">
        <v>399</v>
      </c>
      <c r="H27" s="17">
        <v>399</v>
      </c>
    </row>
    <row r="28" spans="1:8">
      <c r="A28" s="2">
        <v>27</v>
      </c>
      <c r="B28" s="3">
        <v>9598</v>
      </c>
      <c r="C28" s="5">
        <v>0.01</v>
      </c>
      <c r="D28" s="3">
        <v>11</v>
      </c>
      <c r="E28" s="4">
        <v>0.9</v>
      </c>
      <c r="F28" s="3">
        <v>7678</v>
      </c>
      <c r="G28" s="3">
        <v>480</v>
      </c>
      <c r="H28" s="16">
        <v>480</v>
      </c>
    </row>
    <row r="29" spans="1:8">
      <c r="A29" s="2">
        <v>28</v>
      </c>
      <c r="B29" s="3">
        <v>9572</v>
      </c>
      <c r="C29" s="5">
        <v>2.5000000000000001E-2</v>
      </c>
      <c r="D29" s="3">
        <v>15</v>
      </c>
      <c r="E29" s="4">
        <v>0.93</v>
      </c>
      <c r="F29" s="3">
        <v>8136</v>
      </c>
      <c r="G29" s="3">
        <v>479</v>
      </c>
      <c r="H29" s="17">
        <v>479</v>
      </c>
    </row>
    <row r="30" spans="1:8">
      <c r="A30" s="2">
        <v>29</v>
      </c>
      <c r="B30" s="3">
        <v>8833</v>
      </c>
      <c r="C30" s="5">
        <v>2.1428571428571429E-2</v>
      </c>
      <c r="D30" s="3">
        <v>11</v>
      </c>
      <c r="E30" s="4">
        <v>0.89</v>
      </c>
      <c r="F30" s="3">
        <v>7420</v>
      </c>
      <c r="G30" s="3">
        <v>495</v>
      </c>
      <c r="H30" s="16">
        <v>495</v>
      </c>
    </row>
    <row r="31" spans="1:8">
      <c r="A31" s="2">
        <v>30</v>
      </c>
      <c r="B31" s="3">
        <v>9184</v>
      </c>
      <c r="C31" s="5">
        <v>1.4999999999999999E-2</v>
      </c>
      <c r="D31" s="3">
        <v>8</v>
      </c>
      <c r="E31" s="4">
        <v>0.79</v>
      </c>
      <c r="F31" s="3">
        <v>7806</v>
      </c>
      <c r="G31" s="3">
        <v>390</v>
      </c>
      <c r="H31" s="17">
        <v>390</v>
      </c>
    </row>
    <row r="32" spans="1:8">
      <c r="A32" s="2">
        <v>31</v>
      </c>
      <c r="B32" s="3">
        <v>8917</v>
      </c>
      <c r="C32" s="5">
        <v>7.4999999999999997E-3</v>
      </c>
      <c r="D32" s="3">
        <v>23</v>
      </c>
      <c r="E32" s="4">
        <v>0.8</v>
      </c>
      <c r="F32" s="3">
        <v>7401</v>
      </c>
      <c r="G32" s="3">
        <v>463</v>
      </c>
      <c r="H32" s="16">
        <v>463</v>
      </c>
    </row>
    <row r="33" spans="1:8">
      <c r="A33" s="2">
        <v>32</v>
      </c>
      <c r="B33" s="3">
        <v>9426</v>
      </c>
      <c r="C33" s="5">
        <v>1.2500000000000001E-2</v>
      </c>
      <c r="D33" s="3">
        <v>18</v>
      </c>
      <c r="E33" s="4">
        <v>0.93</v>
      </c>
      <c r="F33" s="3">
        <v>7729</v>
      </c>
      <c r="G33" s="3">
        <v>483</v>
      </c>
      <c r="H33" s="17">
        <v>483</v>
      </c>
    </row>
    <row r="34" spans="1:8">
      <c r="A34" s="2">
        <v>33</v>
      </c>
      <c r="B34" s="3">
        <v>10799</v>
      </c>
      <c r="C34" s="5">
        <v>4.2857142857142858E-2</v>
      </c>
      <c r="D34" s="3">
        <v>21</v>
      </c>
      <c r="E34" s="4">
        <v>0.87</v>
      </c>
      <c r="F34" s="3">
        <v>9179</v>
      </c>
      <c r="G34" s="3">
        <v>612</v>
      </c>
      <c r="H34" s="16">
        <v>612</v>
      </c>
    </row>
    <row r="35" spans="1:8">
      <c r="A35" s="2">
        <v>34</v>
      </c>
      <c r="B35" s="3">
        <v>9644</v>
      </c>
      <c r="C35" s="5">
        <v>8.5714285714285701E-3</v>
      </c>
      <c r="D35" s="3">
        <v>11</v>
      </c>
      <c r="E35" s="4">
        <v>0.79</v>
      </c>
      <c r="F35" s="3">
        <v>7908</v>
      </c>
      <c r="G35" s="3">
        <v>377</v>
      </c>
      <c r="H35" s="17">
        <v>377</v>
      </c>
    </row>
    <row r="36" spans="1:8">
      <c r="A36" s="2">
        <v>35</v>
      </c>
      <c r="B36" s="3">
        <v>8655</v>
      </c>
      <c r="C36" s="5">
        <v>1.4285714285714284E-2</v>
      </c>
      <c r="D36" s="3">
        <v>22</v>
      </c>
      <c r="E36" s="4">
        <v>0.87</v>
      </c>
      <c r="F36" s="3">
        <v>7097</v>
      </c>
      <c r="G36" s="3">
        <v>473</v>
      </c>
      <c r="H36" s="16">
        <v>473</v>
      </c>
    </row>
    <row r="37" spans="1:8">
      <c r="A37" s="2">
        <v>36</v>
      </c>
      <c r="B37" s="3">
        <v>9065</v>
      </c>
      <c r="C37" s="5">
        <v>2.5000000000000001E-2</v>
      </c>
      <c r="D37" s="3">
        <v>15</v>
      </c>
      <c r="E37" s="4">
        <v>0.88</v>
      </c>
      <c r="F37" s="3">
        <v>7343</v>
      </c>
      <c r="G37" s="3">
        <v>367</v>
      </c>
      <c r="H37" s="17">
        <v>367</v>
      </c>
    </row>
    <row r="38" spans="1:8">
      <c r="A38" s="2">
        <v>37</v>
      </c>
      <c r="B38" s="3">
        <v>10328</v>
      </c>
      <c r="C38" s="5">
        <v>2.571428571428571E-2</v>
      </c>
      <c r="D38" s="3">
        <v>8</v>
      </c>
      <c r="E38" s="4">
        <v>0.86</v>
      </c>
      <c r="F38" s="3">
        <v>8572</v>
      </c>
      <c r="G38" s="3">
        <v>536</v>
      </c>
      <c r="H38" s="16">
        <v>536</v>
      </c>
    </row>
    <row r="39" spans="1:8">
      <c r="A39" s="2">
        <v>38</v>
      </c>
      <c r="B39" s="3">
        <v>9918</v>
      </c>
      <c r="C39" s="5">
        <v>1.714285714285714E-2</v>
      </c>
      <c r="D39" s="3">
        <v>13</v>
      </c>
      <c r="E39" s="4">
        <v>0.86</v>
      </c>
      <c r="F39" s="3">
        <v>7934</v>
      </c>
      <c r="G39" s="3">
        <v>418</v>
      </c>
      <c r="H39" s="17">
        <v>418</v>
      </c>
    </row>
    <row r="40" spans="1:8">
      <c r="A40" s="2">
        <v>39</v>
      </c>
      <c r="B40" s="3">
        <v>9705</v>
      </c>
      <c r="C40" s="5">
        <v>0.03</v>
      </c>
      <c r="D40" s="3">
        <v>25</v>
      </c>
      <c r="E40" s="4">
        <v>0.87</v>
      </c>
      <c r="F40" s="3">
        <v>7861</v>
      </c>
      <c r="G40" s="3">
        <v>491</v>
      </c>
      <c r="H40" s="16">
        <v>491</v>
      </c>
    </row>
    <row r="41" spans="1:8">
      <c r="A41" s="2">
        <v>40</v>
      </c>
      <c r="B41" s="3">
        <v>8669</v>
      </c>
      <c r="C41" s="5">
        <v>2.2857142857142857E-2</v>
      </c>
      <c r="D41" s="3">
        <v>17</v>
      </c>
      <c r="E41" s="4">
        <v>0.9</v>
      </c>
      <c r="F41" s="3">
        <v>7022</v>
      </c>
      <c r="G41" s="3">
        <v>468</v>
      </c>
      <c r="H41" s="17">
        <v>468</v>
      </c>
    </row>
    <row r="42" spans="1:8">
      <c r="A42" s="2">
        <v>41</v>
      </c>
      <c r="B42" s="3">
        <v>11300</v>
      </c>
      <c r="C42" s="5">
        <v>1.2857142857142855E-2</v>
      </c>
      <c r="D42" s="3">
        <v>17</v>
      </c>
      <c r="E42" s="4">
        <v>0.84</v>
      </c>
      <c r="F42" s="3">
        <v>8199</v>
      </c>
      <c r="G42" s="3">
        <v>547</v>
      </c>
      <c r="H42" s="16">
        <v>547</v>
      </c>
    </row>
    <row r="43" spans="1:8">
      <c r="A43" s="2">
        <v>42</v>
      </c>
      <c r="B43" s="3">
        <v>10683</v>
      </c>
      <c r="C43" s="5">
        <v>1.714285714285714E-2</v>
      </c>
      <c r="D43" s="3">
        <v>10</v>
      </c>
      <c r="E43" s="4">
        <v>0.83</v>
      </c>
      <c r="F43" s="3">
        <v>8546</v>
      </c>
      <c r="G43" s="3">
        <v>534</v>
      </c>
      <c r="H43" s="17">
        <v>534</v>
      </c>
    </row>
    <row r="44" spans="1:8">
      <c r="A44" s="2">
        <v>43</v>
      </c>
      <c r="B44" s="3">
        <v>12150</v>
      </c>
      <c r="C44" s="5">
        <v>2.2857142857142857E-2</v>
      </c>
      <c r="D44" s="3">
        <v>12</v>
      </c>
      <c r="E44" s="4">
        <v>0.87</v>
      </c>
      <c r="F44" s="3">
        <v>7957</v>
      </c>
      <c r="G44" s="3">
        <v>497</v>
      </c>
      <c r="H44" s="16">
        <v>497</v>
      </c>
    </row>
    <row r="45" spans="1:8">
      <c r="A45" s="2">
        <v>44</v>
      </c>
      <c r="B45" s="3">
        <v>11542</v>
      </c>
      <c r="C45" s="5">
        <v>1.4999999999999999E-2</v>
      </c>
      <c r="D45" s="3">
        <v>18</v>
      </c>
      <c r="E45" s="4">
        <v>0.85</v>
      </c>
      <c r="F45" s="3">
        <v>7842</v>
      </c>
      <c r="G45" s="3">
        <v>523</v>
      </c>
      <c r="H45" s="17">
        <v>523</v>
      </c>
    </row>
    <row r="46" spans="1:8">
      <c r="A46" s="2">
        <v>45</v>
      </c>
      <c r="B46" s="3">
        <v>11550</v>
      </c>
      <c r="C46" s="5">
        <v>0.03</v>
      </c>
      <c r="D46" s="3">
        <v>9</v>
      </c>
      <c r="E46" s="4">
        <v>0.84</v>
      </c>
      <c r="F46" s="3">
        <v>7550</v>
      </c>
      <c r="G46" s="3">
        <v>360</v>
      </c>
      <c r="H46" s="16">
        <v>360</v>
      </c>
    </row>
    <row r="47" spans="1:8">
      <c r="A47" s="2">
        <v>46</v>
      </c>
      <c r="B47" s="3">
        <v>10140</v>
      </c>
      <c r="C47" s="5">
        <v>3.7499999999999999E-2</v>
      </c>
      <c r="D47" s="3">
        <v>22</v>
      </c>
      <c r="E47" s="4">
        <v>0.78</v>
      </c>
      <c r="F47" s="3">
        <v>8213</v>
      </c>
      <c r="G47" s="3">
        <v>391</v>
      </c>
      <c r="H47" s="17">
        <v>391</v>
      </c>
    </row>
    <row r="48" spans="1:8">
      <c r="A48" s="2">
        <v>47</v>
      </c>
      <c r="B48" s="3">
        <v>10780</v>
      </c>
      <c r="C48" s="5">
        <v>1.4999999999999999E-2</v>
      </c>
      <c r="D48" s="3">
        <v>18</v>
      </c>
      <c r="E48" s="4">
        <v>0.83</v>
      </c>
      <c r="F48" s="3">
        <v>7658</v>
      </c>
      <c r="G48" s="3">
        <v>365</v>
      </c>
      <c r="H48" s="16">
        <v>365</v>
      </c>
    </row>
    <row r="49" spans="1:8">
      <c r="A49" s="2">
        <v>48</v>
      </c>
      <c r="B49" s="3">
        <v>11210</v>
      </c>
      <c r="C49" s="5">
        <v>0.03</v>
      </c>
      <c r="D49" s="3">
        <v>22</v>
      </c>
      <c r="E49" s="4">
        <v>0.91</v>
      </c>
      <c r="F49" s="3">
        <v>8543</v>
      </c>
      <c r="G49" s="3">
        <v>503</v>
      </c>
      <c r="H49" s="17">
        <v>503</v>
      </c>
    </row>
    <row r="50" spans="1:8">
      <c r="A50" s="2">
        <v>49</v>
      </c>
      <c r="B50" s="3">
        <v>11450</v>
      </c>
      <c r="C50" s="5">
        <v>2.1428571428571429E-2</v>
      </c>
      <c r="D50" s="3">
        <v>20</v>
      </c>
      <c r="E50" s="4">
        <v>0.91</v>
      </c>
      <c r="F50" s="3">
        <v>7818</v>
      </c>
      <c r="G50" s="3">
        <v>460</v>
      </c>
      <c r="H50" s="16">
        <v>460</v>
      </c>
    </row>
    <row r="51" spans="1:8">
      <c r="A51" s="2">
        <v>50</v>
      </c>
      <c r="B51" s="3">
        <v>12520</v>
      </c>
      <c r="C51" s="5">
        <v>0.03</v>
      </c>
      <c r="D51" s="3">
        <v>11</v>
      </c>
      <c r="E51" s="4">
        <v>0.93</v>
      </c>
      <c r="F51" s="3">
        <v>7769</v>
      </c>
      <c r="G51" s="3">
        <v>370</v>
      </c>
      <c r="H51" s="17">
        <v>370</v>
      </c>
    </row>
    <row r="52" spans="1:8">
      <c r="A52" s="2">
        <v>51</v>
      </c>
      <c r="B52" s="3">
        <v>11240</v>
      </c>
      <c r="C52" s="5">
        <v>1.2500000000000001E-2</v>
      </c>
      <c r="D52" s="3">
        <v>9</v>
      </c>
      <c r="E52" s="4">
        <v>0.82</v>
      </c>
      <c r="F52" s="3">
        <v>7168</v>
      </c>
      <c r="G52" s="3">
        <v>358</v>
      </c>
      <c r="H52" s="16">
        <v>358</v>
      </c>
    </row>
    <row r="53" spans="1:8">
      <c r="A53" s="2">
        <v>52</v>
      </c>
      <c r="B53" s="3">
        <v>11250</v>
      </c>
      <c r="C53" s="5">
        <v>1.4999999999999999E-2</v>
      </c>
      <c r="D53" s="3">
        <v>23</v>
      </c>
      <c r="E53" s="4">
        <v>0.92</v>
      </c>
      <c r="F53" s="3">
        <v>7796</v>
      </c>
      <c r="G53" s="3">
        <v>390</v>
      </c>
      <c r="H53" s="17">
        <v>390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91ECC0-1E58-4BE6-9F75-23C15C683F8C}">
  <dimension ref="A1:G53"/>
  <sheetViews>
    <sheetView showGridLines="0" topLeftCell="A27" workbookViewId="0">
      <selection activeCell="A2" sqref="A2:G53"/>
    </sheetView>
  </sheetViews>
  <sheetFormatPr defaultRowHeight="14.4"/>
  <cols>
    <col min="2" max="2" width="13.6640625" customWidth="1"/>
    <col min="3" max="3" width="17.77734375" customWidth="1"/>
    <col min="4" max="4" width="21.5546875" customWidth="1"/>
    <col min="5" max="5" width="15.5546875" customWidth="1"/>
    <col min="6" max="6" width="12.44140625" customWidth="1"/>
    <col min="7" max="7" width="12.88671875" customWidth="1"/>
  </cols>
  <sheetData>
    <row r="1" spans="1:7">
      <c r="A1" s="1" t="s">
        <v>0</v>
      </c>
      <c r="B1" s="1" t="s">
        <v>1</v>
      </c>
      <c r="C1" s="1" t="s">
        <v>2</v>
      </c>
      <c r="D1" s="1" t="s">
        <v>3</v>
      </c>
      <c r="E1" s="1" t="s">
        <v>4</v>
      </c>
      <c r="F1" s="1" t="s">
        <v>5</v>
      </c>
      <c r="G1" s="1" t="s">
        <v>6</v>
      </c>
    </row>
    <row r="2" spans="1:7">
      <c r="A2" s="2">
        <v>1</v>
      </c>
      <c r="B2" s="3">
        <v>10200</v>
      </c>
      <c r="C2" s="5">
        <v>3.49E-2</v>
      </c>
      <c r="D2" s="3">
        <v>17</v>
      </c>
      <c r="E2" s="4">
        <v>0.82</v>
      </c>
      <c r="F2" s="3">
        <v>8584</v>
      </c>
      <c r="G2" s="3">
        <v>944</v>
      </c>
    </row>
    <row r="3" spans="1:7">
      <c r="A3" s="2">
        <v>2</v>
      </c>
      <c r="B3" s="3">
        <v>9174</v>
      </c>
      <c r="C3" s="5">
        <v>2.2499999999999999E-2</v>
      </c>
      <c r="D3" s="3">
        <v>19</v>
      </c>
      <c r="E3" s="4">
        <v>0.79</v>
      </c>
      <c r="F3" s="3">
        <v>8234</v>
      </c>
      <c r="G3" s="3">
        <v>1564</v>
      </c>
    </row>
    <row r="4" spans="1:7">
      <c r="A4" s="2">
        <v>3</v>
      </c>
      <c r="B4" s="3">
        <v>8165</v>
      </c>
      <c r="C4" s="5">
        <v>9.9000000000000008E-3</v>
      </c>
      <c r="D4" s="3">
        <v>11</v>
      </c>
      <c r="E4" s="4">
        <v>0.8</v>
      </c>
      <c r="F4" s="3">
        <v>6532</v>
      </c>
      <c r="G4" s="3">
        <v>1110</v>
      </c>
    </row>
    <row r="5" spans="1:7">
      <c r="A5" s="2">
        <v>4</v>
      </c>
      <c r="B5" s="3">
        <v>9520</v>
      </c>
      <c r="C5" s="5">
        <v>3.1199999999999999E-2</v>
      </c>
      <c r="D5" s="3">
        <v>11</v>
      </c>
      <c r="E5" s="4">
        <v>0.83</v>
      </c>
      <c r="F5" s="3">
        <v>7090</v>
      </c>
      <c r="G5" s="3">
        <v>1064</v>
      </c>
    </row>
    <row r="6" spans="1:7">
      <c r="A6" s="2">
        <v>5</v>
      </c>
      <c r="B6" s="3">
        <v>8672</v>
      </c>
      <c r="C6" s="5">
        <v>2.1700000000000001E-2</v>
      </c>
      <c r="D6" s="3">
        <v>10</v>
      </c>
      <c r="E6" s="4">
        <v>0.88</v>
      </c>
      <c r="F6" s="3">
        <v>7337</v>
      </c>
      <c r="G6" s="3">
        <v>1101</v>
      </c>
    </row>
    <row r="7" spans="1:7">
      <c r="A7" s="2">
        <v>6</v>
      </c>
      <c r="B7" s="3">
        <v>9149</v>
      </c>
      <c r="C7" s="5">
        <v>0.02</v>
      </c>
      <c r="D7" s="3">
        <v>21</v>
      </c>
      <c r="E7" s="4">
        <v>0.78</v>
      </c>
      <c r="F7" s="3">
        <v>7078</v>
      </c>
      <c r="G7" s="3">
        <v>849</v>
      </c>
    </row>
    <row r="8" spans="1:7">
      <c r="A8" s="2">
        <v>7</v>
      </c>
      <c r="B8" s="3">
        <v>8000</v>
      </c>
      <c r="C8" s="5">
        <v>2.18E-2</v>
      </c>
      <c r="D8" s="3">
        <v>12</v>
      </c>
      <c r="E8" s="4">
        <v>0.78</v>
      </c>
      <c r="F8" s="3">
        <v>7620</v>
      </c>
      <c r="G8" s="3">
        <v>914</v>
      </c>
    </row>
    <row r="9" spans="1:7">
      <c r="A9" s="2">
        <v>8</v>
      </c>
      <c r="B9" s="3">
        <v>8185</v>
      </c>
      <c r="C9" s="5">
        <v>1.8200000000000001E-2</v>
      </c>
      <c r="D9" s="3">
        <v>10</v>
      </c>
      <c r="E9" s="4">
        <v>0.79</v>
      </c>
      <c r="F9" s="3">
        <v>7739</v>
      </c>
      <c r="G9" s="3">
        <v>851</v>
      </c>
    </row>
    <row r="10" spans="1:7">
      <c r="A10" s="2">
        <v>9</v>
      </c>
      <c r="B10" s="3">
        <v>8532</v>
      </c>
      <c r="C10" s="5">
        <v>2.5700000000000001E-2</v>
      </c>
      <c r="D10" s="3">
        <v>17</v>
      </c>
      <c r="E10" s="4">
        <v>0.78</v>
      </c>
      <c r="F10" s="3">
        <v>7927</v>
      </c>
      <c r="G10" s="3">
        <v>1110</v>
      </c>
    </row>
    <row r="11" spans="1:7">
      <c r="A11" s="2">
        <v>10</v>
      </c>
      <c r="B11" s="3">
        <v>8190</v>
      </c>
      <c r="C11" s="5">
        <v>2.0799999999999999E-2</v>
      </c>
      <c r="D11" s="3">
        <v>14</v>
      </c>
      <c r="E11" s="4">
        <v>0.85</v>
      </c>
      <c r="F11" s="3">
        <v>6790</v>
      </c>
      <c r="G11" s="3">
        <v>815</v>
      </c>
    </row>
    <row r="12" spans="1:7">
      <c r="A12" s="2">
        <v>11</v>
      </c>
      <c r="B12" s="3">
        <v>7813</v>
      </c>
      <c r="C12" s="5">
        <v>7.4000000000000003E-3</v>
      </c>
      <c r="D12" s="3">
        <v>23</v>
      </c>
      <c r="E12" s="4">
        <v>0.82</v>
      </c>
      <c r="F12" s="3">
        <v>7320</v>
      </c>
      <c r="G12" s="3">
        <v>1098</v>
      </c>
    </row>
    <row r="13" spans="1:7">
      <c r="A13" s="2">
        <v>12</v>
      </c>
      <c r="B13" s="3">
        <v>9341</v>
      </c>
      <c r="C13" s="5">
        <v>1.9900000000000001E-2</v>
      </c>
      <c r="D13" s="3">
        <v>21</v>
      </c>
      <c r="E13" s="4">
        <v>0.8</v>
      </c>
      <c r="F13" s="3">
        <v>8175</v>
      </c>
      <c r="G13" s="3">
        <v>981</v>
      </c>
    </row>
    <row r="14" spans="1:7">
      <c r="A14" s="2">
        <v>13</v>
      </c>
      <c r="B14" s="3">
        <v>8711</v>
      </c>
      <c r="C14" s="5">
        <v>2.52E-2</v>
      </c>
      <c r="D14" s="3">
        <v>15</v>
      </c>
      <c r="E14" s="4">
        <v>0.85</v>
      </c>
      <c r="F14" s="3">
        <v>9219</v>
      </c>
      <c r="G14" s="3">
        <v>1659</v>
      </c>
    </row>
    <row r="15" spans="1:7">
      <c r="A15" s="2">
        <v>14</v>
      </c>
      <c r="B15" s="3">
        <v>9544</v>
      </c>
      <c r="C15" s="5">
        <v>3.0499999999999999E-2</v>
      </c>
      <c r="D15" s="3">
        <v>22</v>
      </c>
      <c r="E15" s="4">
        <v>0.91</v>
      </c>
      <c r="F15" s="3">
        <v>7025</v>
      </c>
      <c r="G15" s="3">
        <v>984</v>
      </c>
    </row>
    <row r="16" spans="1:7">
      <c r="A16" s="2">
        <v>15</v>
      </c>
      <c r="B16" s="3">
        <v>7466</v>
      </c>
      <c r="C16" s="5">
        <v>1.6299999999999999E-2</v>
      </c>
      <c r="D16" s="3">
        <v>11</v>
      </c>
      <c r="E16" s="4">
        <v>0.87</v>
      </c>
      <c r="F16" s="3">
        <v>5613</v>
      </c>
      <c r="G16" s="3">
        <v>1010</v>
      </c>
    </row>
    <row r="17" spans="1:7">
      <c r="A17" s="2">
        <v>16</v>
      </c>
      <c r="B17" s="3">
        <v>7464</v>
      </c>
      <c r="C17" s="5">
        <v>2.29E-2</v>
      </c>
      <c r="D17" s="3">
        <v>25</v>
      </c>
      <c r="E17" s="4">
        <v>0.81</v>
      </c>
      <c r="F17" s="3">
        <v>6971</v>
      </c>
      <c r="G17" s="3">
        <v>837</v>
      </c>
    </row>
    <row r="18" spans="1:7">
      <c r="A18" s="2">
        <v>17</v>
      </c>
      <c r="B18" s="3">
        <v>9308</v>
      </c>
      <c r="C18" s="5">
        <v>1.5900000000000001E-2</v>
      </c>
      <c r="D18" s="3">
        <v>26</v>
      </c>
      <c r="E18" s="4">
        <v>0.86</v>
      </c>
      <c r="F18" s="3">
        <v>6803</v>
      </c>
      <c r="G18" s="3">
        <v>1225</v>
      </c>
    </row>
    <row r="19" spans="1:7">
      <c r="A19" s="2">
        <v>18</v>
      </c>
      <c r="B19" s="3">
        <v>8372</v>
      </c>
      <c r="C19" s="5">
        <v>1.18E-2</v>
      </c>
      <c r="D19" s="3">
        <v>11</v>
      </c>
      <c r="E19" s="4">
        <v>0.85</v>
      </c>
      <c r="F19" s="3">
        <v>6011</v>
      </c>
      <c r="G19" s="3">
        <v>1022</v>
      </c>
    </row>
    <row r="20" spans="1:7">
      <c r="A20" s="2">
        <v>19</v>
      </c>
      <c r="B20" s="3">
        <v>8645</v>
      </c>
      <c r="C20" s="5">
        <v>3.1800000000000002E-2</v>
      </c>
      <c r="D20" s="3">
        <v>16</v>
      </c>
      <c r="E20" s="4">
        <v>0.87</v>
      </c>
      <c r="F20" s="3">
        <v>7670</v>
      </c>
      <c r="G20" s="3">
        <v>920</v>
      </c>
    </row>
    <row r="21" spans="1:7">
      <c r="A21" s="2">
        <v>20</v>
      </c>
      <c r="B21" s="3">
        <v>9000</v>
      </c>
      <c r="C21" s="5">
        <v>2.8199999999999999E-2</v>
      </c>
      <c r="D21" s="3">
        <v>22</v>
      </c>
      <c r="E21" s="4">
        <v>0.78</v>
      </c>
      <c r="F21" s="3">
        <v>7205</v>
      </c>
      <c r="G21" s="3">
        <v>1153</v>
      </c>
    </row>
    <row r="22" spans="1:7">
      <c r="A22" s="2">
        <v>21</v>
      </c>
      <c r="B22" s="3">
        <v>7837</v>
      </c>
      <c r="C22" s="5">
        <v>1.55E-2</v>
      </c>
      <c r="D22" s="3">
        <v>7</v>
      </c>
      <c r="E22" s="4">
        <v>0.88</v>
      </c>
      <c r="F22" s="3">
        <v>6299</v>
      </c>
      <c r="G22" s="3">
        <v>756</v>
      </c>
    </row>
    <row r="23" spans="1:7">
      <c r="A23" s="2">
        <v>22</v>
      </c>
      <c r="B23" s="3">
        <v>8609</v>
      </c>
      <c r="C23" s="5">
        <v>3.8600000000000002E-2</v>
      </c>
      <c r="D23" s="3">
        <v>13</v>
      </c>
      <c r="E23" s="4">
        <v>0.81</v>
      </c>
      <c r="F23" s="3">
        <v>6971</v>
      </c>
      <c r="G23" s="3">
        <v>837</v>
      </c>
    </row>
    <row r="24" spans="1:7">
      <c r="A24" s="2">
        <v>23</v>
      </c>
      <c r="B24" s="3">
        <v>8483</v>
      </c>
      <c r="C24" s="5">
        <v>1.46E-2</v>
      </c>
      <c r="D24" s="3">
        <v>23</v>
      </c>
      <c r="E24" s="4">
        <v>0.79</v>
      </c>
      <c r="F24" s="3">
        <v>6049</v>
      </c>
      <c r="G24" s="3">
        <v>665</v>
      </c>
    </row>
    <row r="25" spans="1:7">
      <c r="A25" s="2">
        <v>24</v>
      </c>
      <c r="B25" s="3">
        <v>9387</v>
      </c>
      <c r="C25" s="5">
        <v>3.1899999999999998E-2</v>
      </c>
      <c r="D25" s="3">
        <v>20</v>
      </c>
      <c r="E25" s="4">
        <v>0.83</v>
      </c>
      <c r="F25" s="3">
        <v>7860</v>
      </c>
      <c r="G25" s="3">
        <v>1415</v>
      </c>
    </row>
    <row r="26" spans="1:7">
      <c r="A26" s="2">
        <v>25</v>
      </c>
      <c r="B26" s="3">
        <v>9421</v>
      </c>
      <c r="C26" s="5">
        <v>1.18E-2</v>
      </c>
      <c r="D26" s="3">
        <v>12</v>
      </c>
      <c r="E26" s="4">
        <v>0.87</v>
      </c>
      <c r="F26" s="3">
        <v>7978</v>
      </c>
      <c r="G26" s="3">
        <v>1276</v>
      </c>
    </row>
    <row r="27" spans="1:7">
      <c r="A27" s="2">
        <v>26</v>
      </c>
      <c r="B27" s="3">
        <v>8283</v>
      </c>
      <c r="C27" s="5">
        <v>3.4500000000000003E-2</v>
      </c>
      <c r="D27" s="3">
        <v>12</v>
      </c>
      <c r="E27" s="4">
        <v>0.8</v>
      </c>
      <c r="F27" s="3">
        <v>7665</v>
      </c>
      <c r="G27" s="3">
        <v>1073</v>
      </c>
    </row>
    <row r="28" spans="1:7">
      <c r="A28" s="2">
        <v>27</v>
      </c>
      <c r="B28" s="3">
        <v>9520</v>
      </c>
      <c r="C28" s="5">
        <v>9.2999999999999992E-3</v>
      </c>
      <c r="D28" s="3">
        <v>11</v>
      </c>
      <c r="E28" s="4">
        <v>0.9</v>
      </c>
      <c r="F28" s="3">
        <v>7524</v>
      </c>
      <c r="G28" s="3">
        <v>1279</v>
      </c>
    </row>
    <row r="29" spans="1:7">
      <c r="A29" s="2">
        <v>28</v>
      </c>
      <c r="B29" s="3">
        <v>8328</v>
      </c>
      <c r="C29" s="5">
        <v>2.23E-2</v>
      </c>
      <c r="D29" s="3">
        <v>13</v>
      </c>
      <c r="E29" s="4">
        <v>0.93</v>
      </c>
      <c r="F29" s="3">
        <v>6672</v>
      </c>
      <c r="G29" s="3">
        <v>1268</v>
      </c>
    </row>
    <row r="30" spans="1:7">
      <c r="A30" s="2">
        <v>29</v>
      </c>
      <c r="B30" s="3">
        <v>7950</v>
      </c>
      <c r="C30" s="5">
        <v>2.23E-2</v>
      </c>
      <c r="D30" s="3">
        <v>12</v>
      </c>
      <c r="E30" s="4">
        <v>0.89</v>
      </c>
      <c r="F30" s="3">
        <v>6901</v>
      </c>
      <c r="G30" s="3">
        <v>828</v>
      </c>
    </row>
    <row r="31" spans="1:7">
      <c r="A31" s="2">
        <v>30</v>
      </c>
      <c r="B31" s="3">
        <v>7990</v>
      </c>
      <c r="C31" s="5">
        <v>1.44E-2</v>
      </c>
      <c r="D31" s="3">
        <v>7</v>
      </c>
      <c r="E31" s="4">
        <v>0.82</v>
      </c>
      <c r="F31" s="3">
        <v>7572</v>
      </c>
      <c r="G31" s="3">
        <v>1212</v>
      </c>
    </row>
    <row r="32" spans="1:7">
      <c r="A32" s="2">
        <v>31</v>
      </c>
      <c r="B32" s="3">
        <v>7936</v>
      </c>
      <c r="C32" s="5">
        <v>7.7000000000000002E-3</v>
      </c>
      <c r="D32" s="3">
        <v>22</v>
      </c>
      <c r="E32" s="4">
        <v>0.8</v>
      </c>
      <c r="F32" s="3">
        <v>6439</v>
      </c>
      <c r="G32" s="3">
        <v>1159</v>
      </c>
    </row>
    <row r="33" spans="1:7">
      <c r="A33" s="2">
        <v>32</v>
      </c>
      <c r="B33" s="3">
        <v>8672</v>
      </c>
      <c r="C33" s="5">
        <v>1.2E-2</v>
      </c>
      <c r="D33" s="3">
        <v>16</v>
      </c>
      <c r="E33" s="4">
        <v>0.93</v>
      </c>
      <c r="F33" s="3">
        <v>6879</v>
      </c>
      <c r="G33" s="3">
        <v>1101</v>
      </c>
    </row>
    <row r="34" spans="1:7">
      <c r="A34" s="2">
        <v>33</v>
      </c>
      <c r="B34" s="3">
        <v>8963</v>
      </c>
      <c r="C34" s="5">
        <v>3.9899999999999998E-2</v>
      </c>
      <c r="D34" s="3">
        <v>22</v>
      </c>
      <c r="E34" s="4">
        <v>0.87</v>
      </c>
      <c r="F34" s="3">
        <v>7251</v>
      </c>
      <c r="G34" s="3">
        <v>1378</v>
      </c>
    </row>
    <row r="35" spans="1:7">
      <c r="A35" s="2">
        <v>34</v>
      </c>
      <c r="B35" s="3">
        <v>8420</v>
      </c>
      <c r="C35" s="5">
        <v>7.7000000000000002E-3</v>
      </c>
      <c r="D35" s="3">
        <v>10</v>
      </c>
      <c r="E35" s="4">
        <v>0.85</v>
      </c>
      <c r="F35" s="3">
        <v>6722</v>
      </c>
      <c r="G35" s="3">
        <v>672</v>
      </c>
    </row>
    <row r="36" spans="1:7">
      <c r="A36" s="2">
        <v>35</v>
      </c>
      <c r="B36" s="3">
        <v>7616</v>
      </c>
      <c r="C36" s="5">
        <v>1.4999999999999999E-2</v>
      </c>
      <c r="D36" s="3">
        <v>20</v>
      </c>
      <c r="E36" s="4">
        <v>0.87</v>
      </c>
      <c r="F36" s="3">
        <v>5678</v>
      </c>
      <c r="G36" s="3">
        <v>681</v>
      </c>
    </row>
    <row r="37" spans="1:7">
      <c r="A37" s="2">
        <v>36</v>
      </c>
      <c r="B37" s="3">
        <v>7887</v>
      </c>
      <c r="C37" s="5">
        <v>2.5999999999999999E-2</v>
      </c>
      <c r="D37" s="3">
        <v>16</v>
      </c>
      <c r="E37" s="4">
        <v>0.88</v>
      </c>
      <c r="F37" s="3">
        <v>7270</v>
      </c>
      <c r="G37" s="3">
        <v>872</v>
      </c>
    </row>
    <row r="38" spans="1:7">
      <c r="A38" s="2">
        <v>37</v>
      </c>
      <c r="B38" s="3">
        <v>8882</v>
      </c>
      <c r="C38" s="5">
        <v>2.2599999999999999E-2</v>
      </c>
      <c r="D38" s="3">
        <v>8</v>
      </c>
      <c r="E38" s="4">
        <v>0.86</v>
      </c>
      <c r="F38" s="3">
        <v>8229</v>
      </c>
      <c r="G38" s="3">
        <v>987</v>
      </c>
    </row>
    <row r="39" spans="1:7">
      <c r="A39" s="2">
        <v>38</v>
      </c>
      <c r="B39" s="3">
        <v>8728</v>
      </c>
      <c r="C39" s="5">
        <v>1.7999999999999999E-2</v>
      </c>
      <c r="D39" s="3">
        <v>13</v>
      </c>
      <c r="E39" s="4">
        <v>0.86</v>
      </c>
      <c r="F39" s="3">
        <v>7061</v>
      </c>
      <c r="G39" s="3">
        <v>777</v>
      </c>
    </row>
    <row r="40" spans="1:7">
      <c r="A40" s="2">
        <v>39</v>
      </c>
      <c r="B40" s="3">
        <v>8735</v>
      </c>
      <c r="C40" s="5">
        <v>3.0300000000000001E-2</v>
      </c>
      <c r="D40" s="3">
        <v>23</v>
      </c>
      <c r="E40" s="4">
        <v>0.87</v>
      </c>
      <c r="F40" s="3">
        <v>7232</v>
      </c>
      <c r="G40" s="3">
        <v>1374</v>
      </c>
    </row>
    <row r="41" spans="1:7">
      <c r="A41" s="2">
        <v>40</v>
      </c>
      <c r="B41" s="3">
        <v>7369</v>
      </c>
      <c r="C41" s="5">
        <v>2.35E-2</v>
      </c>
      <c r="D41" s="3">
        <v>17</v>
      </c>
      <c r="E41" s="4">
        <v>0.9</v>
      </c>
      <c r="F41" s="3">
        <v>6671</v>
      </c>
      <c r="G41" s="3">
        <v>667</v>
      </c>
    </row>
    <row r="42" spans="1:7">
      <c r="A42" s="2">
        <v>41</v>
      </c>
      <c r="B42" s="3">
        <v>9605</v>
      </c>
      <c r="C42" s="5">
        <v>1.2999999999999999E-2</v>
      </c>
      <c r="D42" s="3">
        <v>17</v>
      </c>
      <c r="E42" s="4">
        <v>0.84</v>
      </c>
      <c r="F42" s="3">
        <v>7379</v>
      </c>
      <c r="G42" s="3">
        <v>1328</v>
      </c>
    </row>
    <row r="43" spans="1:7">
      <c r="A43" s="2">
        <v>42</v>
      </c>
      <c r="B43" s="3">
        <v>9187</v>
      </c>
      <c r="C43" s="5">
        <v>1.6299999999999999E-2</v>
      </c>
      <c r="D43" s="3">
        <v>9</v>
      </c>
      <c r="E43" s="4">
        <v>0.83</v>
      </c>
      <c r="F43" s="3">
        <v>7691</v>
      </c>
      <c r="G43" s="3">
        <v>1231</v>
      </c>
    </row>
    <row r="44" spans="1:7">
      <c r="A44" s="2">
        <v>43</v>
      </c>
      <c r="B44" s="3">
        <v>10206</v>
      </c>
      <c r="C44" s="5">
        <v>2.01E-2</v>
      </c>
      <c r="D44" s="3">
        <v>11</v>
      </c>
      <c r="E44" s="4">
        <v>0.93</v>
      </c>
      <c r="F44" s="3">
        <v>7002</v>
      </c>
      <c r="G44" s="3">
        <v>770</v>
      </c>
    </row>
    <row r="45" spans="1:7">
      <c r="A45" s="2">
        <v>44</v>
      </c>
      <c r="B45" s="3">
        <v>10157</v>
      </c>
      <c r="C45" s="5">
        <v>1.47E-2</v>
      </c>
      <c r="D45" s="3">
        <v>18</v>
      </c>
      <c r="E45" s="4">
        <v>0.85</v>
      </c>
      <c r="F45" s="3">
        <v>6666</v>
      </c>
      <c r="G45" s="3">
        <v>1267</v>
      </c>
    </row>
    <row r="46" spans="1:7">
      <c r="A46" s="2">
        <v>45</v>
      </c>
      <c r="B46" s="3">
        <v>10280</v>
      </c>
      <c r="C46" s="5">
        <v>2.7300000000000001E-2</v>
      </c>
      <c r="D46" s="3">
        <v>19</v>
      </c>
      <c r="E46" s="4">
        <v>0.84</v>
      </c>
      <c r="F46" s="3">
        <v>6040</v>
      </c>
      <c r="G46" s="3">
        <v>664</v>
      </c>
    </row>
    <row r="47" spans="1:7">
      <c r="A47" s="2">
        <v>46</v>
      </c>
      <c r="B47" s="3">
        <v>11240</v>
      </c>
      <c r="C47" s="5">
        <v>3.9800000000000002E-2</v>
      </c>
      <c r="D47" s="3">
        <v>21</v>
      </c>
      <c r="E47" s="4">
        <v>0.78</v>
      </c>
      <c r="F47" s="3">
        <v>6981</v>
      </c>
      <c r="G47" s="3">
        <v>698</v>
      </c>
    </row>
    <row r="48" spans="1:7">
      <c r="A48" s="2">
        <v>47</v>
      </c>
      <c r="B48" s="3">
        <v>10558</v>
      </c>
      <c r="C48" s="5">
        <v>1.37E-2</v>
      </c>
      <c r="D48" s="3">
        <v>23</v>
      </c>
      <c r="E48" s="4">
        <v>0.83</v>
      </c>
      <c r="F48" s="3">
        <v>6892</v>
      </c>
      <c r="G48" s="3">
        <v>1172</v>
      </c>
    </row>
    <row r="49" spans="1:7">
      <c r="A49" s="2">
        <v>48</v>
      </c>
      <c r="B49" s="3">
        <v>10253</v>
      </c>
      <c r="C49" s="5">
        <v>2.9100000000000001E-2</v>
      </c>
      <c r="D49" s="3">
        <v>23</v>
      </c>
      <c r="E49" s="4">
        <v>0.91</v>
      </c>
      <c r="F49" s="3">
        <v>8714</v>
      </c>
      <c r="G49" s="3">
        <v>1656</v>
      </c>
    </row>
    <row r="50" spans="1:7">
      <c r="A50" s="2">
        <v>49</v>
      </c>
      <c r="B50" s="3">
        <v>10850</v>
      </c>
      <c r="C50" s="5">
        <v>2.2100000000000002E-2</v>
      </c>
      <c r="D50" s="3">
        <v>18</v>
      </c>
      <c r="E50" s="4">
        <v>0.94</v>
      </c>
      <c r="F50" s="3">
        <v>7662</v>
      </c>
      <c r="G50" s="3">
        <v>1149</v>
      </c>
    </row>
    <row r="51" spans="1:7">
      <c r="A51" s="2">
        <v>50</v>
      </c>
      <c r="B51" s="3">
        <v>10141</v>
      </c>
      <c r="C51" s="5">
        <v>2.7E-2</v>
      </c>
      <c r="D51" s="3">
        <v>17</v>
      </c>
      <c r="E51" s="4">
        <v>0.93</v>
      </c>
      <c r="F51" s="3">
        <v>6060</v>
      </c>
      <c r="G51" s="3">
        <v>606</v>
      </c>
    </row>
    <row r="52" spans="1:7">
      <c r="A52" s="2">
        <v>51</v>
      </c>
      <c r="B52" s="3">
        <v>11000</v>
      </c>
      <c r="C52" s="5">
        <v>1.2E-2</v>
      </c>
      <c r="D52" s="3">
        <v>21</v>
      </c>
      <c r="E52" s="4">
        <v>0.9</v>
      </c>
      <c r="F52" s="3">
        <v>6021</v>
      </c>
      <c r="G52" s="3">
        <v>1144</v>
      </c>
    </row>
    <row r="53" spans="1:7">
      <c r="A53" s="2">
        <v>52</v>
      </c>
      <c r="B53" s="3">
        <v>10350</v>
      </c>
      <c r="C53" s="5">
        <v>1.5599999999999999E-2</v>
      </c>
      <c r="D53" s="3">
        <v>22</v>
      </c>
      <c r="E53" s="4">
        <v>0.92</v>
      </c>
      <c r="F53" s="3">
        <v>6627</v>
      </c>
      <c r="G53" s="3">
        <v>928</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01CE71-1E4A-45E4-A27A-91249BE4E68D}">
  <dimension ref="A1:G53"/>
  <sheetViews>
    <sheetView showGridLines="0" topLeftCell="A27" workbookViewId="0">
      <selection activeCell="A2" sqref="A2:G53"/>
    </sheetView>
  </sheetViews>
  <sheetFormatPr defaultRowHeight="14.4"/>
  <cols>
    <col min="2" max="2" width="13.6640625" customWidth="1"/>
    <col min="3" max="3" width="17.77734375" customWidth="1"/>
    <col min="4" max="4" width="21.5546875" customWidth="1"/>
    <col min="5" max="5" width="15.5546875" customWidth="1"/>
    <col min="6" max="6" width="12.44140625" customWidth="1"/>
    <col min="7" max="7" width="12.88671875" customWidth="1"/>
  </cols>
  <sheetData>
    <row r="1" spans="1:7">
      <c r="A1" s="1" t="s">
        <v>0</v>
      </c>
      <c r="B1" s="1" t="s">
        <v>1</v>
      </c>
      <c r="C1" s="1" t="s">
        <v>2</v>
      </c>
      <c r="D1" s="1" t="s">
        <v>3</v>
      </c>
      <c r="E1" s="1" t="s">
        <v>4</v>
      </c>
      <c r="F1" s="1" t="s">
        <v>5</v>
      </c>
      <c r="G1" s="1" t="s">
        <v>6</v>
      </c>
    </row>
    <row r="2" spans="1:7">
      <c r="A2" s="2">
        <v>1</v>
      </c>
      <c r="B2" s="3">
        <v>12138</v>
      </c>
      <c r="C2" s="5">
        <v>3.9100000000000003E-2</v>
      </c>
      <c r="D2" s="3">
        <v>23</v>
      </c>
      <c r="E2" s="4">
        <v>0.82</v>
      </c>
      <c r="F2" s="3">
        <v>10387</v>
      </c>
      <c r="G2" s="3">
        <v>1150</v>
      </c>
    </row>
    <row r="3" spans="1:7">
      <c r="A3" s="2">
        <v>2</v>
      </c>
      <c r="B3" s="3">
        <v>10642</v>
      </c>
      <c r="C3" s="5">
        <v>2.52E-2</v>
      </c>
      <c r="D3" s="3">
        <v>30</v>
      </c>
      <c r="E3" s="4">
        <v>0.91</v>
      </c>
      <c r="F3" s="3">
        <v>9551</v>
      </c>
      <c r="G3" s="3">
        <v>1439</v>
      </c>
    </row>
    <row r="4" spans="1:7">
      <c r="A4" s="2">
        <v>3</v>
      </c>
      <c r="B4" s="3">
        <v>12250</v>
      </c>
      <c r="C4" s="5">
        <v>1.0999999999999999E-2</v>
      </c>
      <c r="D4" s="3">
        <v>15</v>
      </c>
      <c r="E4" s="4">
        <v>0.8</v>
      </c>
      <c r="F4" s="3">
        <v>7838</v>
      </c>
      <c r="G4" s="3">
        <v>1232</v>
      </c>
    </row>
    <row r="5" spans="1:7">
      <c r="A5" s="2">
        <v>4</v>
      </c>
      <c r="B5" s="3">
        <v>12090</v>
      </c>
      <c r="C5" s="5">
        <v>3.4599999999999999E-2</v>
      </c>
      <c r="D5" s="3">
        <v>14</v>
      </c>
      <c r="E5" s="4">
        <v>0.83</v>
      </c>
      <c r="F5" s="3">
        <v>8224</v>
      </c>
      <c r="G5" s="3">
        <v>1032</v>
      </c>
    </row>
    <row r="6" spans="1:7">
      <c r="A6" s="2">
        <v>5</v>
      </c>
      <c r="B6" s="3">
        <v>10840</v>
      </c>
      <c r="C6" s="5">
        <v>2.41E-2</v>
      </c>
      <c r="D6" s="3">
        <v>12</v>
      </c>
      <c r="E6" s="4">
        <v>0.88</v>
      </c>
      <c r="F6" s="3">
        <v>8951</v>
      </c>
      <c r="G6" s="3">
        <v>1387</v>
      </c>
    </row>
    <row r="7" spans="1:7">
      <c r="A7" s="2">
        <v>6</v>
      </c>
      <c r="B7" s="3">
        <v>11802</v>
      </c>
      <c r="C7" s="5">
        <v>2.1999999999999999E-2</v>
      </c>
      <c r="D7" s="3">
        <v>34</v>
      </c>
      <c r="E7" s="4">
        <v>0.78</v>
      </c>
      <c r="F7" s="3">
        <v>7998</v>
      </c>
      <c r="G7" s="3">
        <v>1044</v>
      </c>
    </row>
    <row r="8" spans="1:7">
      <c r="A8" s="2">
        <v>7</v>
      </c>
      <c r="B8" s="3">
        <v>9120</v>
      </c>
      <c r="C8" s="5">
        <v>2.4400000000000002E-2</v>
      </c>
      <c r="D8" s="3">
        <v>18</v>
      </c>
      <c r="E8" s="4">
        <v>0.82</v>
      </c>
      <c r="F8" s="3">
        <v>8077</v>
      </c>
      <c r="G8" s="3">
        <v>1197</v>
      </c>
    </row>
    <row r="9" spans="1:7">
      <c r="A9" s="2">
        <v>8</v>
      </c>
      <c r="B9" s="3">
        <v>14520</v>
      </c>
      <c r="C9" s="5">
        <v>2.0199999999999999E-2</v>
      </c>
      <c r="D9" s="3">
        <v>15</v>
      </c>
      <c r="E9" s="4">
        <v>0.79</v>
      </c>
      <c r="F9" s="3">
        <v>8126</v>
      </c>
      <c r="G9" s="3">
        <v>800</v>
      </c>
    </row>
    <row r="10" spans="1:7">
      <c r="A10" s="2">
        <v>9</v>
      </c>
      <c r="B10" s="3">
        <v>10324</v>
      </c>
      <c r="C10" s="5">
        <v>2.8299999999999999E-2</v>
      </c>
      <c r="D10" s="3">
        <v>27</v>
      </c>
      <c r="E10" s="4">
        <v>0.92</v>
      </c>
      <c r="F10" s="3">
        <v>8878</v>
      </c>
      <c r="G10" s="3">
        <v>1421</v>
      </c>
    </row>
    <row r="11" spans="1:7">
      <c r="A11" s="2">
        <v>10</v>
      </c>
      <c r="B11" s="3">
        <v>13580</v>
      </c>
      <c r="C11" s="5">
        <v>2.3300000000000001E-2</v>
      </c>
      <c r="D11" s="3">
        <v>18</v>
      </c>
      <c r="E11" s="4">
        <v>0.79</v>
      </c>
      <c r="F11" s="3">
        <v>7537</v>
      </c>
      <c r="G11" s="3">
        <v>1000</v>
      </c>
    </row>
    <row r="12" spans="1:7">
      <c r="A12" s="2">
        <v>11</v>
      </c>
      <c r="B12" s="3">
        <v>9923</v>
      </c>
      <c r="C12" s="5">
        <v>8.0999999999999996E-3</v>
      </c>
      <c r="D12" s="3">
        <v>35</v>
      </c>
      <c r="E12" s="4">
        <v>0.82</v>
      </c>
      <c r="F12" s="3">
        <v>7832</v>
      </c>
      <c r="G12" s="3">
        <v>1318</v>
      </c>
    </row>
    <row r="13" spans="1:7">
      <c r="A13" s="2">
        <v>12</v>
      </c>
      <c r="B13" s="3">
        <v>10742</v>
      </c>
      <c r="C13" s="5">
        <v>2.2100000000000002E-2</v>
      </c>
      <c r="D13" s="3">
        <v>33</v>
      </c>
      <c r="E13" s="4">
        <v>0.8</v>
      </c>
      <c r="F13" s="3">
        <v>9974</v>
      </c>
      <c r="G13" s="3">
        <v>1177</v>
      </c>
    </row>
    <row r="14" spans="1:7">
      <c r="A14" s="2">
        <v>13</v>
      </c>
      <c r="B14" s="3">
        <v>11150</v>
      </c>
      <c r="C14" s="5">
        <v>2.8199999999999999E-2</v>
      </c>
      <c r="D14" s="3">
        <v>24</v>
      </c>
      <c r="E14" s="4">
        <v>0.85</v>
      </c>
      <c r="F14" s="3">
        <v>11155</v>
      </c>
      <c r="G14" s="3">
        <v>1576</v>
      </c>
    </row>
    <row r="15" spans="1:7">
      <c r="A15" s="2">
        <v>14</v>
      </c>
      <c r="B15" s="3">
        <v>11453</v>
      </c>
      <c r="C15" s="5">
        <v>3.39E-2</v>
      </c>
      <c r="D15" s="3">
        <v>26</v>
      </c>
      <c r="E15" s="4">
        <v>0.88</v>
      </c>
      <c r="F15" s="3">
        <v>7306</v>
      </c>
      <c r="G15" s="3">
        <v>1191</v>
      </c>
    </row>
    <row r="16" spans="1:7">
      <c r="A16" s="2">
        <v>15</v>
      </c>
      <c r="B16" s="3">
        <v>8437</v>
      </c>
      <c r="C16" s="5">
        <v>1.7899999999999999E-2</v>
      </c>
      <c r="D16" s="3">
        <v>17</v>
      </c>
      <c r="E16" s="4">
        <v>0.87</v>
      </c>
      <c r="F16" s="3">
        <v>6455</v>
      </c>
      <c r="G16" s="3">
        <v>1212</v>
      </c>
    </row>
    <row r="17" spans="1:7">
      <c r="A17" s="2">
        <v>16</v>
      </c>
      <c r="B17" s="3">
        <v>10226</v>
      </c>
      <c r="C17" s="5">
        <v>2.52E-2</v>
      </c>
      <c r="D17" s="3">
        <v>37</v>
      </c>
      <c r="E17" s="4">
        <v>0.78</v>
      </c>
      <c r="F17" s="3">
        <v>7529</v>
      </c>
      <c r="G17" s="3">
        <v>1096</v>
      </c>
    </row>
    <row r="18" spans="1:7">
      <c r="A18" s="2">
        <v>17</v>
      </c>
      <c r="B18" s="3">
        <v>10704</v>
      </c>
      <c r="C18" s="5">
        <v>1.7600000000000001E-2</v>
      </c>
      <c r="D18" s="3">
        <v>36</v>
      </c>
      <c r="E18" s="4">
        <v>0.86</v>
      </c>
      <c r="F18" s="3">
        <v>8028</v>
      </c>
      <c r="G18" s="3">
        <v>1335</v>
      </c>
    </row>
    <row r="19" spans="1:7">
      <c r="A19" s="2">
        <v>18</v>
      </c>
      <c r="B19" s="3">
        <v>10381</v>
      </c>
      <c r="C19" s="5">
        <v>1.2999999999999999E-2</v>
      </c>
      <c r="D19" s="3">
        <v>15</v>
      </c>
      <c r="E19" s="4">
        <v>0.85</v>
      </c>
      <c r="F19" s="3">
        <v>6312</v>
      </c>
      <c r="G19" s="3">
        <v>1022</v>
      </c>
    </row>
    <row r="20" spans="1:7">
      <c r="A20" s="2">
        <v>19</v>
      </c>
      <c r="B20" s="3">
        <v>11930</v>
      </c>
      <c r="C20" s="5">
        <v>3.5299999999999998E-2</v>
      </c>
      <c r="D20" s="3">
        <v>22</v>
      </c>
      <c r="E20" s="4">
        <v>0.87</v>
      </c>
      <c r="F20" s="3">
        <v>8514</v>
      </c>
      <c r="G20" s="3">
        <v>1205</v>
      </c>
    </row>
    <row r="21" spans="1:7">
      <c r="A21" s="2">
        <v>20</v>
      </c>
      <c r="B21" s="3">
        <v>12510</v>
      </c>
      <c r="C21" s="5">
        <v>3.1300000000000001E-2</v>
      </c>
      <c r="D21" s="3">
        <v>29</v>
      </c>
      <c r="E21" s="4">
        <v>0.78</v>
      </c>
      <c r="F21" s="3">
        <v>7637</v>
      </c>
      <c r="G21" s="3">
        <v>1211</v>
      </c>
    </row>
    <row r="22" spans="1:7">
      <c r="A22" s="2">
        <v>21</v>
      </c>
      <c r="B22" s="3">
        <v>10815</v>
      </c>
      <c r="C22" s="5">
        <v>1.7399999999999999E-2</v>
      </c>
      <c r="D22" s="3">
        <v>10</v>
      </c>
      <c r="E22" s="4">
        <v>0.86</v>
      </c>
      <c r="F22" s="3">
        <v>7244</v>
      </c>
      <c r="G22" s="3">
        <v>1052</v>
      </c>
    </row>
    <row r="23" spans="1:7">
      <c r="A23" s="2">
        <v>22</v>
      </c>
      <c r="B23" s="3">
        <v>11020</v>
      </c>
      <c r="C23" s="5">
        <v>4.2799999999999998E-2</v>
      </c>
      <c r="D23" s="3">
        <v>18</v>
      </c>
      <c r="E23" s="4">
        <v>0.81</v>
      </c>
      <c r="F23" s="3">
        <v>7598</v>
      </c>
      <c r="G23" s="3">
        <v>1063</v>
      </c>
    </row>
    <row r="24" spans="1:7">
      <c r="A24" s="2">
        <v>23</v>
      </c>
      <c r="B24" s="3">
        <v>10264</v>
      </c>
      <c r="C24" s="5">
        <v>1.6199999999999999E-2</v>
      </c>
      <c r="D24" s="3">
        <v>32</v>
      </c>
      <c r="E24" s="4">
        <v>0.79</v>
      </c>
      <c r="F24" s="3">
        <v>6896</v>
      </c>
      <c r="G24" s="3">
        <v>685</v>
      </c>
    </row>
    <row r="25" spans="1:7">
      <c r="A25" s="2">
        <v>24</v>
      </c>
      <c r="B25" s="3">
        <v>14445</v>
      </c>
      <c r="C25" s="5">
        <v>3.5099999999999999E-2</v>
      </c>
      <c r="D25" s="3">
        <v>24</v>
      </c>
      <c r="E25" s="4">
        <v>0.83</v>
      </c>
      <c r="F25" s="3">
        <v>8174</v>
      </c>
      <c r="G25" s="3">
        <v>1599</v>
      </c>
    </row>
    <row r="26" spans="1:7">
      <c r="A26" s="2">
        <v>25</v>
      </c>
      <c r="B26" s="3">
        <v>11965</v>
      </c>
      <c r="C26" s="5">
        <v>1.2999999999999999E-2</v>
      </c>
      <c r="D26" s="3">
        <v>19</v>
      </c>
      <c r="E26" s="4">
        <v>0.87</v>
      </c>
      <c r="F26" s="3">
        <v>8536</v>
      </c>
      <c r="G26" s="3">
        <v>1646</v>
      </c>
    </row>
    <row r="27" spans="1:7">
      <c r="A27" s="2">
        <v>26</v>
      </c>
      <c r="B27" s="3">
        <v>10519</v>
      </c>
      <c r="C27" s="5">
        <v>3.8600000000000002E-2</v>
      </c>
      <c r="D27" s="3">
        <v>18</v>
      </c>
      <c r="E27" s="4">
        <v>0.8</v>
      </c>
      <c r="F27" s="3">
        <v>8738</v>
      </c>
      <c r="G27" s="3">
        <v>1255</v>
      </c>
    </row>
    <row r="28" spans="1:7">
      <c r="A28" s="2">
        <v>27</v>
      </c>
      <c r="B28" s="3">
        <v>10853</v>
      </c>
      <c r="C28" s="5">
        <v>1.03E-2</v>
      </c>
      <c r="D28" s="3">
        <v>16</v>
      </c>
      <c r="E28" s="4">
        <v>0.9</v>
      </c>
      <c r="F28" s="3">
        <v>9179</v>
      </c>
      <c r="G28" s="3">
        <v>1522</v>
      </c>
    </row>
    <row r="29" spans="1:7">
      <c r="A29" s="2">
        <v>28</v>
      </c>
      <c r="B29" s="3">
        <v>9244</v>
      </c>
      <c r="C29" s="5">
        <v>2.5000000000000001E-2</v>
      </c>
      <c r="D29" s="3">
        <v>17</v>
      </c>
      <c r="E29" s="4">
        <v>0.93</v>
      </c>
      <c r="F29" s="3">
        <v>7539</v>
      </c>
      <c r="G29" s="3">
        <v>1572</v>
      </c>
    </row>
    <row r="30" spans="1:7">
      <c r="A30" s="2">
        <v>29</v>
      </c>
      <c r="B30" s="3">
        <v>12520</v>
      </c>
      <c r="C30" s="5">
        <v>2.4500000000000001E-2</v>
      </c>
      <c r="D30" s="3">
        <v>16</v>
      </c>
      <c r="E30" s="4">
        <v>0.89</v>
      </c>
      <c r="F30" s="3">
        <v>8419</v>
      </c>
      <c r="G30" s="3">
        <v>770</v>
      </c>
    </row>
    <row r="31" spans="1:7">
      <c r="A31" s="2">
        <v>30</v>
      </c>
      <c r="B31" s="3">
        <v>10467</v>
      </c>
      <c r="C31" s="5">
        <v>1.6E-2</v>
      </c>
      <c r="D31" s="3">
        <v>9</v>
      </c>
      <c r="E31" s="4">
        <v>0.79</v>
      </c>
      <c r="F31" s="3">
        <v>8708</v>
      </c>
      <c r="G31" s="3">
        <v>1442</v>
      </c>
    </row>
    <row r="32" spans="1:7">
      <c r="A32" s="2">
        <v>31</v>
      </c>
      <c r="B32" s="3">
        <v>10222</v>
      </c>
      <c r="C32" s="5">
        <v>8.5000000000000006E-3</v>
      </c>
      <c r="D32" s="3">
        <v>34</v>
      </c>
      <c r="E32" s="4">
        <v>0.84</v>
      </c>
      <c r="F32" s="3">
        <v>7340</v>
      </c>
      <c r="G32" s="3">
        <v>1182</v>
      </c>
    </row>
    <row r="33" spans="1:7">
      <c r="A33" s="2">
        <v>32</v>
      </c>
      <c r="B33" s="3">
        <v>11013</v>
      </c>
      <c r="C33" s="5">
        <v>1.34E-2</v>
      </c>
      <c r="D33" s="3">
        <v>23</v>
      </c>
      <c r="E33" s="4">
        <v>0.92</v>
      </c>
      <c r="F33" s="3">
        <v>7154</v>
      </c>
      <c r="G33" s="3">
        <v>1057</v>
      </c>
    </row>
    <row r="34" spans="1:7">
      <c r="A34" s="2">
        <v>33</v>
      </c>
      <c r="B34" s="3">
        <v>10576</v>
      </c>
      <c r="C34" s="5">
        <v>4.4299999999999999E-2</v>
      </c>
      <c r="D34" s="3">
        <v>29</v>
      </c>
      <c r="E34" s="4">
        <v>0.87</v>
      </c>
      <c r="F34" s="3">
        <v>8484</v>
      </c>
      <c r="G34" s="3">
        <v>1350</v>
      </c>
    </row>
    <row r="35" spans="1:7">
      <c r="A35" s="2">
        <v>34</v>
      </c>
      <c r="B35" s="3">
        <v>10525</v>
      </c>
      <c r="C35" s="5">
        <v>8.5000000000000006E-3</v>
      </c>
      <c r="D35" s="3">
        <v>13</v>
      </c>
      <c r="E35" s="4">
        <v>0.79</v>
      </c>
      <c r="F35" s="3">
        <v>7260</v>
      </c>
      <c r="G35" s="3">
        <v>759</v>
      </c>
    </row>
    <row r="36" spans="1:7">
      <c r="A36" s="2">
        <v>35</v>
      </c>
      <c r="B36" s="3">
        <v>11200</v>
      </c>
      <c r="C36" s="5">
        <v>1.6500000000000001E-2</v>
      </c>
      <c r="D36" s="3">
        <v>26</v>
      </c>
      <c r="E36" s="4">
        <v>0.87</v>
      </c>
      <c r="F36" s="3">
        <v>6075</v>
      </c>
      <c r="G36" s="3">
        <v>1052</v>
      </c>
    </row>
    <row r="37" spans="1:7">
      <c r="A37" s="2">
        <v>36</v>
      </c>
      <c r="B37" s="3">
        <v>11042</v>
      </c>
      <c r="C37" s="5">
        <v>2.86E-2</v>
      </c>
      <c r="D37" s="3">
        <v>22</v>
      </c>
      <c r="E37" s="4">
        <v>0.88</v>
      </c>
      <c r="F37" s="3">
        <v>8651</v>
      </c>
      <c r="G37" s="3">
        <v>811</v>
      </c>
    </row>
    <row r="38" spans="1:7">
      <c r="A38" s="2">
        <v>37</v>
      </c>
      <c r="B38" s="3">
        <v>9770</v>
      </c>
      <c r="C38" s="5">
        <v>2.53E-2</v>
      </c>
      <c r="D38" s="3">
        <v>10</v>
      </c>
      <c r="E38" s="4">
        <v>0.86</v>
      </c>
      <c r="F38" s="3">
        <v>9793</v>
      </c>
      <c r="G38" s="3">
        <v>1135</v>
      </c>
    </row>
    <row r="39" spans="1:7">
      <c r="A39" s="2">
        <v>38</v>
      </c>
      <c r="B39" s="3">
        <v>11608</v>
      </c>
      <c r="C39" s="5">
        <v>1.9800000000000002E-2</v>
      </c>
      <c r="D39" s="3">
        <v>16</v>
      </c>
      <c r="E39" s="4">
        <v>0.86</v>
      </c>
      <c r="F39" s="3">
        <v>7626</v>
      </c>
      <c r="G39" s="3">
        <v>870</v>
      </c>
    </row>
    <row r="40" spans="1:7">
      <c r="A40" s="2">
        <v>39</v>
      </c>
      <c r="B40" s="3">
        <v>9958</v>
      </c>
      <c r="C40" s="5">
        <v>3.39E-2</v>
      </c>
      <c r="D40" s="3">
        <v>29</v>
      </c>
      <c r="E40" s="4">
        <v>0.88</v>
      </c>
      <c r="F40" s="3">
        <v>8823</v>
      </c>
      <c r="G40" s="3">
        <v>1704</v>
      </c>
    </row>
    <row r="41" spans="1:7">
      <c r="A41" s="2">
        <v>40</v>
      </c>
      <c r="B41" s="3">
        <v>8253</v>
      </c>
      <c r="C41" s="5">
        <v>2.63E-2</v>
      </c>
      <c r="D41" s="3">
        <v>27</v>
      </c>
      <c r="E41" s="4">
        <v>0.9</v>
      </c>
      <c r="F41" s="3">
        <v>6938</v>
      </c>
      <c r="G41" s="3">
        <v>647</v>
      </c>
    </row>
    <row r="42" spans="1:7">
      <c r="A42" s="2">
        <v>41</v>
      </c>
      <c r="B42" s="3">
        <v>13255</v>
      </c>
      <c r="C42" s="5">
        <v>1.46E-2</v>
      </c>
      <c r="D42" s="3">
        <v>20</v>
      </c>
      <c r="E42" s="4">
        <v>0.84</v>
      </c>
      <c r="F42" s="3">
        <v>7822</v>
      </c>
      <c r="G42" s="3">
        <v>1248</v>
      </c>
    </row>
    <row r="43" spans="1:7">
      <c r="A43" s="2">
        <v>42</v>
      </c>
      <c r="B43" s="3">
        <v>11850</v>
      </c>
      <c r="C43" s="5">
        <v>1.83E-2</v>
      </c>
      <c r="D43" s="3">
        <v>12</v>
      </c>
      <c r="E43" s="4">
        <v>0.83</v>
      </c>
      <c r="F43" s="3">
        <v>9075</v>
      </c>
      <c r="G43" s="3">
        <v>1293</v>
      </c>
    </row>
    <row r="44" spans="1:7">
      <c r="A44" s="2">
        <v>43</v>
      </c>
      <c r="B44" s="3">
        <v>12962</v>
      </c>
      <c r="C44" s="5">
        <v>2.2100000000000002E-2</v>
      </c>
      <c r="D44" s="3">
        <v>16</v>
      </c>
      <c r="E44" s="4">
        <v>0.87</v>
      </c>
      <c r="F44" s="3">
        <v>7772</v>
      </c>
      <c r="G44" s="3">
        <v>855</v>
      </c>
    </row>
    <row r="45" spans="1:7">
      <c r="A45" s="2">
        <v>44</v>
      </c>
      <c r="B45" s="3">
        <v>14118</v>
      </c>
      <c r="C45" s="5">
        <v>1.6299999999999999E-2</v>
      </c>
      <c r="D45" s="3">
        <v>25</v>
      </c>
      <c r="E45" s="4">
        <v>0.85</v>
      </c>
      <c r="F45" s="3">
        <v>7266</v>
      </c>
      <c r="G45" s="3">
        <v>1432</v>
      </c>
    </row>
    <row r="46" spans="1:7">
      <c r="A46" s="2">
        <v>45</v>
      </c>
      <c r="B46" s="3">
        <v>13056</v>
      </c>
      <c r="C46" s="5">
        <v>0.03</v>
      </c>
      <c r="D46" s="3">
        <v>25</v>
      </c>
      <c r="E46" s="4">
        <v>0.84</v>
      </c>
      <c r="F46" s="3">
        <v>8580</v>
      </c>
      <c r="G46" s="3">
        <v>1200</v>
      </c>
    </row>
    <row r="47" spans="1:7">
      <c r="A47" s="2">
        <v>46</v>
      </c>
      <c r="B47" s="3">
        <v>15399</v>
      </c>
      <c r="C47" s="5">
        <v>4.4200000000000003E-2</v>
      </c>
      <c r="D47" s="3">
        <v>33</v>
      </c>
      <c r="E47" s="4">
        <v>0.78</v>
      </c>
      <c r="F47" s="3">
        <v>8307</v>
      </c>
      <c r="G47" s="3">
        <v>1085</v>
      </c>
    </row>
    <row r="48" spans="1:7">
      <c r="A48" s="2">
        <v>47</v>
      </c>
      <c r="B48" s="3">
        <v>14359</v>
      </c>
      <c r="C48" s="5">
        <v>1.5299999999999999E-2</v>
      </c>
      <c r="D48" s="3">
        <v>36</v>
      </c>
      <c r="E48" s="4">
        <v>0.78</v>
      </c>
      <c r="F48" s="3">
        <v>9560</v>
      </c>
      <c r="G48" s="3">
        <v>1488</v>
      </c>
    </row>
    <row r="49" spans="1:7">
      <c r="A49" s="2">
        <v>48</v>
      </c>
      <c r="B49" s="3">
        <v>13800</v>
      </c>
      <c r="C49" s="5">
        <v>3.2000000000000001E-2</v>
      </c>
      <c r="D49" s="3">
        <v>34</v>
      </c>
      <c r="E49" s="4">
        <v>0.91</v>
      </c>
      <c r="F49" s="3">
        <v>10631</v>
      </c>
      <c r="G49" s="3">
        <v>1623</v>
      </c>
    </row>
    <row r="50" spans="1:7">
      <c r="A50" s="2">
        <v>49</v>
      </c>
      <c r="B50" s="3">
        <v>15299</v>
      </c>
      <c r="C50" s="5">
        <v>2.4799999999999999E-2</v>
      </c>
      <c r="D50" s="3">
        <v>23</v>
      </c>
      <c r="E50" s="4">
        <v>0.91</v>
      </c>
      <c r="F50" s="3">
        <v>9520</v>
      </c>
      <c r="G50" s="3">
        <v>1287</v>
      </c>
    </row>
    <row r="51" spans="1:7">
      <c r="A51" s="2">
        <v>50</v>
      </c>
      <c r="B51" s="3">
        <v>16520</v>
      </c>
      <c r="C51" s="5">
        <v>3.0200000000000001E-2</v>
      </c>
      <c r="D51" s="3">
        <v>26</v>
      </c>
      <c r="E51" s="4">
        <v>0.93</v>
      </c>
      <c r="F51" s="3">
        <v>9000</v>
      </c>
      <c r="G51" s="3">
        <v>1100</v>
      </c>
    </row>
    <row r="52" spans="1:7">
      <c r="A52" s="2">
        <v>51</v>
      </c>
      <c r="B52" s="3">
        <v>15290</v>
      </c>
      <c r="C52" s="5">
        <v>1.3299999999999999E-2</v>
      </c>
      <c r="D52" s="3">
        <v>28</v>
      </c>
      <c r="E52" s="4">
        <v>0.96</v>
      </c>
      <c r="F52" s="3">
        <v>9250</v>
      </c>
      <c r="G52" s="3">
        <v>1361</v>
      </c>
    </row>
    <row r="53" spans="1:7">
      <c r="A53" s="2">
        <v>52</v>
      </c>
      <c r="B53" s="3">
        <v>15200</v>
      </c>
      <c r="C53" s="5">
        <v>1.7500000000000002E-2</v>
      </c>
      <c r="D53" s="3">
        <v>27</v>
      </c>
      <c r="E53" s="4">
        <v>0.92</v>
      </c>
      <c r="F53" s="3">
        <v>8800</v>
      </c>
      <c r="G53" s="3">
        <v>1420</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2FA40-F6AA-4088-A386-88EFDAB3157D}">
  <dimension ref="A1:G53"/>
  <sheetViews>
    <sheetView showGridLines="0" workbookViewId="0">
      <selection activeCell="A2" sqref="A2:G53"/>
    </sheetView>
  </sheetViews>
  <sheetFormatPr defaultRowHeight="14.4"/>
  <cols>
    <col min="2" max="2" width="13.6640625" customWidth="1"/>
    <col min="3" max="3" width="17.77734375" customWidth="1"/>
    <col min="4" max="4" width="21.5546875" customWidth="1"/>
    <col min="5" max="5" width="15.5546875" customWidth="1"/>
    <col min="6" max="6" width="12.44140625" customWidth="1"/>
    <col min="7" max="7" width="12.88671875" customWidth="1"/>
  </cols>
  <sheetData>
    <row r="1" spans="1:7">
      <c r="A1" s="1" t="s">
        <v>0</v>
      </c>
      <c r="B1" s="1" t="s">
        <v>1</v>
      </c>
      <c r="C1" s="1" t="s">
        <v>2</v>
      </c>
      <c r="D1" s="1" t="s">
        <v>3</v>
      </c>
      <c r="E1" s="1" t="s">
        <v>4</v>
      </c>
      <c r="F1" s="1" t="s">
        <v>5</v>
      </c>
      <c r="G1" s="1" t="s">
        <v>6</v>
      </c>
    </row>
    <row r="2" spans="1:7">
      <c r="A2" s="2">
        <v>1</v>
      </c>
      <c r="B2" s="3">
        <v>14808</v>
      </c>
      <c r="C2" s="5">
        <v>0.04</v>
      </c>
      <c r="D2" s="3">
        <v>27</v>
      </c>
      <c r="E2" s="4">
        <v>0.82</v>
      </c>
      <c r="F2" s="3">
        <v>9660</v>
      </c>
      <c r="G2" s="3">
        <v>1449</v>
      </c>
    </row>
    <row r="3" spans="1:7">
      <c r="A3" s="2">
        <v>2</v>
      </c>
      <c r="B3" s="3">
        <v>12451</v>
      </c>
      <c r="C3" s="5">
        <v>2.52E-2</v>
      </c>
      <c r="D3" s="3">
        <v>33</v>
      </c>
      <c r="E3" s="4">
        <v>0.79</v>
      </c>
      <c r="F3" s="3">
        <v>9933</v>
      </c>
      <c r="G3" s="3">
        <v>1482</v>
      </c>
    </row>
    <row r="4" spans="1:7">
      <c r="A4" s="2">
        <v>3</v>
      </c>
      <c r="B4" s="3">
        <v>14945</v>
      </c>
      <c r="C4" s="5">
        <v>2.8000000000000001E-2</v>
      </c>
      <c r="D4" s="3">
        <v>18</v>
      </c>
      <c r="E4" s="4">
        <v>0.8</v>
      </c>
      <c r="F4" s="3">
        <v>8073</v>
      </c>
      <c r="G4" s="3">
        <v>1725</v>
      </c>
    </row>
    <row r="5" spans="1:7">
      <c r="A5" s="2">
        <v>4</v>
      </c>
      <c r="B5" s="3">
        <v>12695</v>
      </c>
      <c r="C5" s="5">
        <v>3.4599999999999999E-2</v>
      </c>
      <c r="D5" s="3">
        <v>14</v>
      </c>
      <c r="E5" s="4">
        <v>0.83</v>
      </c>
      <c r="F5" s="3">
        <v>8471</v>
      </c>
      <c r="G5" s="3">
        <v>1362</v>
      </c>
    </row>
    <row r="6" spans="1:7">
      <c r="A6" s="2">
        <v>5</v>
      </c>
      <c r="B6" s="3">
        <v>12032</v>
      </c>
      <c r="C6" s="5">
        <v>2.41E-2</v>
      </c>
      <c r="D6" s="3">
        <v>14</v>
      </c>
      <c r="E6" s="4">
        <v>0.88</v>
      </c>
      <c r="F6" s="3">
        <v>8593</v>
      </c>
      <c r="G6" s="3">
        <v>1748</v>
      </c>
    </row>
    <row r="7" spans="1:7">
      <c r="A7" s="2">
        <v>6</v>
      </c>
      <c r="B7" s="3">
        <v>14871</v>
      </c>
      <c r="C7" s="5">
        <v>2.1999999999999999E-2</v>
      </c>
      <c r="D7" s="3">
        <v>35</v>
      </c>
      <c r="E7" s="4">
        <v>0.78</v>
      </c>
      <c r="F7" s="3">
        <v>8078</v>
      </c>
      <c r="G7" s="3">
        <v>1378</v>
      </c>
    </row>
    <row r="8" spans="1:7">
      <c r="A8" s="2">
        <v>7</v>
      </c>
      <c r="B8" s="3">
        <v>11400</v>
      </c>
      <c r="C8" s="5">
        <v>2.4400000000000002E-2</v>
      </c>
      <c r="D8" s="3">
        <v>21</v>
      </c>
      <c r="E8" s="4">
        <v>0.82</v>
      </c>
      <c r="F8" s="3">
        <v>7350</v>
      </c>
      <c r="G8" s="3">
        <v>1424</v>
      </c>
    </row>
    <row r="9" spans="1:7">
      <c r="A9" s="2">
        <v>8</v>
      </c>
      <c r="B9" s="3">
        <v>17714</v>
      </c>
      <c r="C9" s="5">
        <v>2.0199999999999999E-2</v>
      </c>
      <c r="D9" s="3">
        <v>16</v>
      </c>
      <c r="E9" s="4">
        <v>0.79</v>
      </c>
      <c r="F9" s="3">
        <v>8695</v>
      </c>
      <c r="G9" s="3">
        <v>832</v>
      </c>
    </row>
    <row r="10" spans="1:7">
      <c r="A10" s="2">
        <v>9</v>
      </c>
      <c r="B10" s="3">
        <v>12389</v>
      </c>
      <c r="C10" s="5">
        <v>2.8299999999999999E-2</v>
      </c>
      <c r="D10" s="3">
        <v>28</v>
      </c>
      <c r="E10" s="4">
        <v>0.78</v>
      </c>
      <c r="F10" s="3">
        <v>8345</v>
      </c>
      <c r="G10" s="3">
        <v>1705</v>
      </c>
    </row>
    <row r="11" spans="1:7">
      <c r="A11" s="2">
        <v>10</v>
      </c>
      <c r="B11" s="3">
        <v>17247</v>
      </c>
      <c r="C11" s="5">
        <v>2.3300000000000001E-2</v>
      </c>
      <c r="D11" s="3">
        <v>19</v>
      </c>
      <c r="E11" s="4">
        <v>0.79</v>
      </c>
      <c r="F11" s="3">
        <v>7688</v>
      </c>
      <c r="G11" s="3">
        <v>1030</v>
      </c>
    </row>
    <row r="12" spans="1:7">
      <c r="A12" s="2">
        <v>11</v>
      </c>
      <c r="B12" s="3">
        <v>10419</v>
      </c>
      <c r="C12" s="5">
        <v>2.1000000000000001E-2</v>
      </c>
      <c r="D12" s="3">
        <v>35</v>
      </c>
      <c r="E12" s="4">
        <v>0.82</v>
      </c>
      <c r="F12" s="3">
        <v>8459</v>
      </c>
      <c r="G12" s="3">
        <v>1582</v>
      </c>
    </row>
    <row r="13" spans="1:7">
      <c r="A13" s="2">
        <v>12</v>
      </c>
      <c r="B13" s="3">
        <v>12246</v>
      </c>
      <c r="C13" s="5">
        <v>2.2100000000000002E-2</v>
      </c>
      <c r="D13" s="3">
        <v>36</v>
      </c>
      <c r="E13" s="4">
        <v>0.8</v>
      </c>
      <c r="F13" s="3">
        <v>9974</v>
      </c>
      <c r="G13" s="3">
        <v>1542</v>
      </c>
    </row>
    <row r="14" spans="1:7">
      <c r="A14" s="2">
        <v>13</v>
      </c>
      <c r="B14" s="3">
        <v>13380</v>
      </c>
      <c r="C14" s="5">
        <v>2.8199999999999999E-2</v>
      </c>
      <c r="D14" s="3">
        <v>25</v>
      </c>
      <c r="E14" s="4">
        <v>0.85</v>
      </c>
      <c r="F14" s="3">
        <v>10597</v>
      </c>
      <c r="G14" s="3">
        <v>1608</v>
      </c>
    </row>
    <row r="15" spans="1:7">
      <c r="A15" s="2">
        <v>14</v>
      </c>
      <c r="B15" s="3">
        <v>14774</v>
      </c>
      <c r="C15" s="5">
        <v>3.39E-2</v>
      </c>
      <c r="D15" s="3">
        <v>31</v>
      </c>
      <c r="E15" s="4">
        <v>0.88</v>
      </c>
      <c r="F15" s="3">
        <v>6722</v>
      </c>
      <c r="G15" s="3">
        <v>1167</v>
      </c>
    </row>
    <row r="16" spans="1:7">
      <c r="A16" s="2">
        <v>15</v>
      </c>
      <c r="B16" s="3">
        <v>10520</v>
      </c>
      <c r="C16" s="5">
        <v>3.5999999999999997E-2</v>
      </c>
      <c r="D16" s="3">
        <v>18</v>
      </c>
      <c r="E16" s="4">
        <v>0.87</v>
      </c>
      <c r="F16" s="3">
        <v>6455</v>
      </c>
      <c r="G16" s="3">
        <v>1418</v>
      </c>
    </row>
    <row r="17" spans="1:7">
      <c r="A17" s="2">
        <v>16</v>
      </c>
      <c r="B17" s="3">
        <v>13498</v>
      </c>
      <c r="C17" s="5">
        <v>2.52E-2</v>
      </c>
      <c r="D17" s="3">
        <v>37</v>
      </c>
      <c r="E17" s="4">
        <v>0.78</v>
      </c>
      <c r="F17" s="3">
        <v>6776</v>
      </c>
      <c r="G17" s="3">
        <v>1260</v>
      </c>
    </row>
    <row r="18" spans="1:7">
      <c r="A18" s="2">
        <v>17</v>
      </c>
      <c r="B18" s="3">
        <v>13808</v>
      </c>
      <c r="C18" s="5">
        <v>1.7600000000000001E-2</v>
      </c>
      <c r="D18" s="3">
        <v>39</v>
      </c>
      <c r="E18" s="4">
        <v>0.86</v>
      </c>
      <c r="F18" s="3">
        <v>7305</v>
      </c>
      <c r="G18" s="3">
        <v>1522</v>
      </c>
    </row>
    <row r="19" spans="1:7">
      <c r="A19" s="2">
        <v>18</v>
      </c>
      <c r="B19" s="3">
        <v>11419</v>
      </c>
      <c r="C19" s="5">
        <v>0.03</v>
      </c>
      <c r="D19" s="3">
        <v>15</v>
      </c>
      <c r="E19" s="4">
        <v>0.85</v>
      </c>
      <c r="F19" s="3">
        <v>6249</v>
      </c>
      <c r="G19" s="3">
        <v>1134</v>
      </c>
    </row>
    <row r="20" spans="1:7">
      <c r="A20" s="2">
        <v>19</v>
      </c>
      <c r="B20" s="3">
        <v>13720</v>
      </c>
      <c r="C20" s="5">
        <v>3.5299999999999998E-2</v>
      </c>
      <c r="D20" s="3">
        <v>22</v>
      </c>
      <c r="E20" s="4">
        <v>0.87</v>
      </c>
      <c r="F20" s="3">
        <v>8344</v>
      </c>
      <c r="G20" s="3">
        <v>1687</v>
      </c>
    </row>
    <row r="21" spans="1:7">
      <c r="A21" s="2">
        <v>20</v>
      </c>
      <c r="B21" s="3">
        <v>15638</v>
      </c>
      <c r="C21" s="5">
        <v>3.1300000000000001E-2</v>
      </c>
      <c r="D21" s="3">
        <v>35</v>
      </c>
      <c r="E21" s="4">
        <v>0.78</v>
      </c>
      <c r="F21" s="3">
        <v>7408</v>
      </c>
      <c r="G21" s="3">
        <v>1272</v>
      </c>
    </row>
    <row r="22" spans="1:7">
      <c r="A22" s="2">
        <v>21</v>
      </c>
      <c r="B22" s="3">
        <v>11572</v>
      </c>
      <c r="C22" s="5">
        <v>1.7399999999999999E-2</v>
      </c>
      <c r="D22" s="3">
        <v>12</v>
      </c>
      <c r="E22" s="4">
        <v>0.86</v>
      </c>
      <c r="F22" s="3">
        <v>6592</v>
      </c>
      <c r="G22" s="3">
        <v>1252</v>
      </c>
    </row>
    <row r="23" spans="1:7">
      <c r="A23" s="2">
        <v>22</v>
      </c>
      <c r="B23" s="3">
        <v>13224</v>
      </c>
      <c r="C23" s="5">
        <v>4.2799999999999998E-2</v>
      </c>
      <c r="D23" s="3">
        <v>19</v>
      </c>
      <c r="E23" s="4">
        <v>0.81</v>
      </c>
      <c r="F23" s="3">
        <v>7294</v>
      </c>
      <c r="G23" s="3">
        <v>1212</v>
      </c>
    </row>
    <row r="24" spans="1:7">
      <c r="A24" s="2">
        <v>23</v>
      </c>
      <c r="B24" s="3">
        <v>11598</v>
      </c>
      <c r="C24" s="5">
        <v>2.5000000000000001E-2</v>
      </c>
      <c r="D24" s="3">
        <v>39</v>
      </c>
      <c r="E24" s="4">
        <v>0.79</v>
      </c>
      <c r="F24" s="3">
        <v>7172</v>
      </c>
      <c r="G24" s="3">
        <v>884</v>
      </c>
    </row>
    <row r="25" spans="1:7">
      <c r="A25" s="2">
        <v>24</v>
      </c>
      <c r="B25" s="3">
        <v>16178</v>
      </c>
      <c r="C25" s="5">
        <v>3.5099999999999999E-2</v>
      </c>
      <c r="D25" s="3">
        <v>29</v>
      </c>
      <c r="E25" s="4">
        <v>0.83</v>
      </c>
      <c r="F25" s="3">
        <v>7847</v>
      </c>
      <c r="G25" s="3">
        <v>1855</v>
      </c>
    </row>
    <row r="26" spans="1:7">
      <c r="A26" s="2">
        <v>25</v>
      </c>
      <c r="B26" s="3">
        <v>15794</v>
      </c>
      <c r="C26" s="5">
        <v>1.2999999999999999E-2</v>
      </c>
      <c r="D26" s="3">
        <v>20</v>
      </c>
      <c r="E26" s="4">
        <v>0.87</v>
      </c>
      <c r="F26" s="3">
        <v>7682</v>
      </c>
      <c r="G26" s="3">
        <v>2222</v>
      </c>
    </row>
    <row r="27" spans="1:7">
      <c r="A27" s="2">
        <v>26</v>
      </c>
      <c r="B27" s="3">
        <v>11361</v>
      </c>
      <c r="C27" s="5">
        <v>3.8600000000000002E-2</v>
      </c>
      <c r="D27" s="3">
        <v>20</v>
      </c>
      <c r="E27" s="4">
        <v>0.8</v>
      </c>
      <c r="F27" s="3">
        <v>8388</v>
      </c>
      <c r="G27" s="3">
        <v>1544</v>
      </c>
    </row>
    <row r="28" spans="1:7">
      <c r="A28" s="2">
        <v>27</v>
      </c>
      <c r="B28" s="3">
        <v>11504</v>
      </c>
      <c r="C28" s="5">
        <v>0.03</v>
      </c>
      <c r="D28" s="3">
        <v>19</v>
      </c>
      <c r="E28" s="4">
        <v>0.9</v>
      </c>
      <c r="F28" s="3">
        <v>9913</v>
      </c>
      <c r="G28" s="3">
        <v>1552</v>
      </c>
    </row>
    <row r="29" spans="1:7">
      <c r="A29" s="2">
        <v>28</v>
      </c>
      <c r="B29" s="3">
        <v>11555</v>
      </c>
      <c r="C29" s="5">
        <v>2.5000000000000001E-2</v>
      </c>
      <c r="D29" s="3">
        <v>20</v>
      </c>
      <c r="E29" s="4">
        <v>0.93</v>
      </c>
      <c r="F29" s="3">
        <v>7237</v>
      </c>
      <c r="G29" s="3">
        <v>1981</v>
      </c>
    </row>
    <row r="30" spans="1:7">
      <c r="A30" s="2">
        <v>29</v>
      </c>
      <c r="B30" s="3">
        <v>15274</v>
      </c>
      <c r="C30" s="5">
        <v>2.4500000000000001E-2</v>
      </c>
      <c r="D30" s="3">
        <v>20</v>
      </c>
      <c r="E30" s="4">
        <v>0.89</v>
      </c>
      <c r="F30" s="3">
        <v>7661</v>
      </c>
      <c r="G30" s="3">
        <v>978</v>
      </c>
    </row>
    <row r="31" spans="1:7">
      <c r="A31" s="2">
        <v>30</v>
      </c>
      <c r="B31" s="3">
        <v>13502</v>
      </c>
      <c r="C31" s="5">
        <v>1.6E-2</v>
      </c>
      <c r="D31" s="3">
        <v>11</v>
      </c>
      <c r="E31" s="4">
        <v>0.85</v>
      </c>
      <c r="F31" s="3">
        <v>8360</v>
      </c>
      <c r="G31" s="3">
        <v>1413</v>
      </c>
    </row>
    <row r="32" spans="1:7">
      <c r="A32" s="2">
        <v>31</v>
      </c>
      <c r="B32" s="3">
        <v>12062</v>
      </c>
      <c r="C32" s="5">
        <v>0.04</v>
      </c>
      <c r="D32" s="3">
        <v>35</v>
      </c>
      <c r="E32" s="4">
        <v>0.8</v>
      </c>
      <c r="F32" s="3">
        <v>6973</v>
      </c>
      <c r="G32" s="3">
        <v>1430</v>
      </c>
    </row>
    <row r="33" spans="1:7">
      <c r="A33" s="2">
        <v>32</v>
      </c>
      <c r="B33" s="3">
        <v>14317</v>
      </c>
      <c r="C33" s="5">
        <v>2.8000000000000001E-2</v>
      </c>
      <c r="D33" s="3">
        <v>24</v>
      </c>
      <c r="E33" s="4">
        <v>0.92</v>
      </c>
      <c r="F33" s="3">
        <v>7297</v>
      </c>
      <c r="G33" s="3">
        <v>1194</v>
      </c>
    </row>
    <row r="34" spans="1:7">
      <c r="A34" s="2">
        <v>33</v>
      </c>
      <c r="B34" s="3">
        <v>13749</v>
      </c>
      <c r="C34" s="5">
        <v>4.4299999999999999E-2</v>
      </c>
      <c r="D34" s="3">
        <v>29</v>
      </c>
      <c r="E34" s="4">
        <v>0.87</v>
      </c>
      <c r="F34" s="3">
        <v>7890</v>
      </c>
      <c r="G34" s="3">
        <v>1323</v>
      </c>
    </row>
    <row r="35" spans="1:7">
      <c r="A35" s="2">
        <v>34</v>
      </c>
      <c r="B35" s="3">
        <v>13472</v>
      </c>
      <c r="C35" s="5">
        <v>8.5000000000000006E-3</v>
      </c>
      <c r="D35" s="3">
        <v>16</v>
      </c>
      <c r="E35" s="4">
        <v>0.79</v>
      </c>
      <c r="F35" s="3">
        <v>6824</v>
      </c>
      <c r="G35" s="3">
        <v>1009</v>
      </c>
    </row>
    <row r="36" spans="1:7">
      <c r="A36" s="2">
        <v>35</v>
      </c>
      <c r="B36" s="3">
        <v>11872</v>
      </c>
      <c r="C36" s="5">
        <v>1.6500000000000001E-2</v>
      </c>
      <c r="D36" s="3">
        <v>31</v>
      </c>
      <c r="E36" s="4">
        <v>0.87</v>
      </c>
      <c r="F36" s="3">
        <v>5650</v>
      </c>
      <c r="G36" s="3">
        <v>1326</v>
      </c>
    </row>
    <row r="37" spans="1:7">
      <c r="A37" s="2">
        <v>36</v>
      </c>
      <c r="B37" s="3">
        <v>13250</v>
      </c>
      <c r="C37" s="5">
        <v>2.86E-2</v>
      </c>
      <c r="D37" s="3">
        <v>22</v>
      </c>
      <c r="E37" s="4">
        <v>0.88</v>
      </c>
      <c r="F37" s="3">
        <v>8305</v>
      </c>
      <c r="G37" s="3">
        <v>892</v>
      </c>
    </row>
    <row r="38" spans="1:7">
      <c r="A38" s="2">
        <v>37</v>
      </c>
      <c r="B38" s="3">
        <v>11138</v>
      </c>
      <c r="C38" s="5">
        <v>2.53E-2</v>
      </c>
      <c r="D38" s="3">
        <v>11</v>
      </c>
      <c r="E38" s="4">
        <v>0.86</v>
      </c>
      <c r="F38" s="3">
        <v>9597</v>
      </c>
      <c r="G38" s="3">
        <v>1578</v>
      </c>
    </row>
    <row r="39" spans="1:7">
      <c r="A39" s="2">
        <v>38</v>
      </c>
      <c r="B39" s="3">
        <v>14858</v>
      </c>
      <c r="C39" s="5">
        <v>1.9800000000000002E-2</v>
      </c>
      <c r="D39" s="3">
        <v>19</v>
      </c>
      <c r="E39" s="4">
        <v>0.86</v>
      </c>
      <c r="F39" s="3">
        <v>6863</v>
      </c>
      <c r="G39" s="3">
        <v>931</v>
      </c>
    </row>
    <row r="40" spans="1:7">
      <c r="A40" s="2">
        <v>39</v>
      </c>
      <c r="B40" s="3">
        <v>12448</v>
      </c>
      <c r="C40" s="5">
        <v>3.39E-2</v>
      </c>
      <c r="D40" s="3">
        <v>34</v>
      </c>
      <c r="E40" s="4">
        <v>0.88</v>
      </c>
      <c r="F40" s="3">
        <v>9176</v>
      </c>
      <c r="G40" s="3">
        <v>2300</v>
      </c>
    </row>
    <row r="41" spans="1:7">
      <c r="A41" s="2">
        <v>40</v>
      </c>
      <c r="B41" s="3">
        <v>14500</v>
      </c>
      <c r="C41" s="5">
        <v>2.63E-2</v>
      </c>
      <c r="D41" s="3">
        <v>31</v>
      </c>
      <c r="E41" s="4">
        <v>0.9</v>
      </c>
      <c r="F41" s="3">
        <v>7077</v>
      </c>
      <c r="G41" s="3">
        <v>906</v>
      </c>
    </row>
    <row r="42" spans="1:7">
      <c r="A42" s="2">
        <v>41</v>
      </c>
      <c r="B42" s="3">
        <v>15243</v>
      </c>
      <c r="C42" s="5">
        <v>1.46E-2</v>
      </c>
      <c r="D42" s="3">
        <v>22</v>
      </c>
      <c r="E42" s="4">
        <v>0.84</v>
      </c>
      <c r="F42" s="3">
        <v>7509</v>
      </c>
      <c r="G42" s="3">
        <v>1560</v>
      </c>
    </row>
    <row r="43" spans="1:7">
      <c r="A43" s="2">
        <v>42</v>
      </c>
      <c r="B43" s="3">
        <v>15405</v>
      </c>
      <c r="C43" s="5">
        <v>1.83E-2</v>
      </c>
      <c r="D43" s="3">
        <v>13</v>
      </c>
      <c r="E43" s="4">
        <v>0.83</v>
      </c>
      <c r="F43" s="3">
        <v>8621</v>
      </c>
      <c r="G43" s="3">
        <v>1771</v>
      </c>
    </row>
    <row r="44" spans="1:7">
      <c r="A44" s="2">
        <v>43</v>
      </c>
      <c r="B44" s="3">
        <v>15820</v>
      </c>
      <c r="C44" s="5">
        <v>2.2100000000000002E-2</v>
      </c>
      <c r="D44" s="3">
        <v>18</v>
      </c>
      <c r="E44" s="4">
        <v>0.87</v>
      </c>
      <c r="F44" s="3">
        <v>8316</v>
      </c>
      <c r="G44" s="3">
        <v>1350</v>
      </c>
    </row>
    <row r="45" spans="1:7">
      <c r="A45" s="2">
        <v>44</v>
      </c>
      <c r="B45" s="3">
        <v>18777</v>
      </c>
      <c r="C45" s="5">
        <v>0.02</v>
      </c>
      <c r="D45" s="3">
        <v>28</v>
      </c>
      <c r="E45" s="4">
        <v>0.85</v>
      </c>
      <c r="F45" s="3">
        <v>8400</v>
      </c>
      <c r="G45" s="3">
        <v>1690</v>
      </c>
    </row>
    <row r="46" spans="1:7">
      <c r="A46" s="2">
        <v>45</v>
      </c>
      <c r="B46" s="3">
        <v>16059</v>
      </c>
      <c r="C46" s="5">
        <v>0.03</v>
      </c>
      <c r="D46" s="3">
        <v>27</v>
      </c>
      <c r="E46" s="4">
        <v>0.84</v>
      </c>
      <c r="F46" s="3">
        <v>9095</v>
      </c>
      <c r="G46" s="3">
        <v>1404</v>
      </c>
    </row>
    <row r="47" spans="1:7">
      <c r="A47" s="2">
        <v>46</v>
      </c>
      <c r="B47" s="3">
        <v>18017</v>
      </c>
      <c r="C47" s="5">
        <v>4.4200000000000003E-2</v>
      </c>
      <c r="D47" s="3">
        <v>40</v>
      </c>
      <c r="E47" s="4">
        <v>0.85</v>
      </c>
      <c r="F47" s="3">
        <v>9500</v>
      </c>
      <c r="G47" s="3">
        <v>1350</v>
      </c>
    </row>
    <row r="48" spans="1:7">
      <c r="A48" s="2">
        <v>47</v>
      </c>
      <c r="B48" s="3">
        <v>17231</v>
      </c>
      <c r="C48" s="5">
        <v>2.3E-2</v>
      </c>
      <c r="D48" s="3">
        <v>37</v>
      </c>
      <c r="E48" s="4">
        <v>0.9</v>
      </c>
      <c r="F48" s="3">
        <v>9082</v>
      </c>
      <c r="G48" s="3">
        <v>2068</v>
      </c>
    </row>
    <row r="49" spans="1:7">
      <c r="A49" s="2">
        <v>48</v>
      </c>
      <c r="B49" s="3">
        <v>17664</v>
      </c>
      <c r="C49" s="5">
        <v>3.2000000000000001E-2</v>
      </c>
      <c r="D49" s="3">
        <v>36</v>
      </c>
      <c r="E49" s="4">
        <v>0.91</v>
      </c>
      <c r="F49" s="3">
        <v>9568</v>
      </c>
      <c r="G49" s="3">
        <v>2094</v>
      </c>
    </row>
    <row r="50" spans="1:7">
      <c r="A50" s="2">
        <v>49</v>
      </c>
      <c r="B50" s="3">
        <v>18359</v>
      </c>
      <c r="C50" s="5">
        <v>2.4799999999999999E-2</v>
      </c>
      <c r="D50" s="3">
        <v>25</v>
      </c>
      <c r="E50" s="4">
        <v>0.91</v>
      </c>
      <c r="F50" s="3">
        <v>10186</v>
      </c>
      <c r="G50" s="3">
        <v>1493</v>
      </c>
    </row>
    <row r="51" spans="1:7">
      <c r="A51" s="2">
        <v>50</v>
      </c>
      <c r="B51" s="3">
        <v>17200</v>
      </c>
      <c r="C51" s="5">
        <v>3.0200000000000001E-2</v>
      </c>
      <c r="D51" s="3">
        <v>31</v>
      </c>
      <c r="E51" s="4">
        <v>0.93</v>
      </c>
      <c r="F51" s="3">
        <v>9800</v>
      </c>
      <c r="G51" s="3">
        <v>1496</v>
      </c>
    </row>
    <row r="52" spans="1:7">
      <c r="A52" s="2">
        <v>51</v>
      </c>
      <c r="B52" s="3">
        <v>18500</v>
      </c>
      <c r="C52" s="5">
        <v>0.02</v>
      </c>
      <c r="D52" s="3">
        <v>27</v>
      </c>
      <c r="E52" s="4">
        <v>0.96</v>
      </c>
      <c r="F52" s="3">
        <v>9713</v>
      </c>
      <c r="G52" s="3">
        <v>1552</v>
      </c>
    </row>
    <row r="53" spans="1:7">
      <c r="A53" s="2">
        <v>52</v>
      </c>
      <c r="B53" s="3">
        <v>16112</v>
      </c>
      <c r="C53" s="5">
        <v>0.03</v>
      </c>
      <c r="D53" s="3">
        <v>27</v>
      </c>
      <c r="E53" s="4">
        <v>0.92</v>
      </c>
      <c r="F53" s="3">
        <v>9328</v>
      </c>
      <c r="G53" s="3">
        <v>1874</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83BCDE-277B-466E-B644-A0C4B219CD87}">
  <dimension ref="B2:H17"/>
  <sheetViews>
    <sheetView topLeftCell="B8" zoomScale="175" zoomScaleNormal="175" workbookViewId="0">
      <selection activeCell="B19" sqref="B19"/>
    </sheetView>
  </sheetViews>
  <sheetFormatPr defaultRowHeight="14.4"/>
  <cols>
    <col min="1" max="1" width="4.21875" customWidth="1"/>
    <col min="2" max="2" width="95.44140625" bestFit="1" customWidth="1"/>
    <col min="4" max="4" width="22.88671875" bestFit="1" customWidth="1"/>
    <col min="5" max="5" width="10.33203125" bestFit="1" customWidth="1"/>
  </cols>
  <sheetData>
    <row r="2" spans="2:8" ht="15.6">
      <c r="B2" s="6" t="s">
        <v>7</v>
      </c>
      <c r="D2" s="14" t="s">
        <v>8</v>
      </c>
      <c r="E2" s="14"/>
      <c r="F2" s="14"/>
      <c r="G2" s="14"/>
      <c r="H2" s="14"/>
    </row>
    <row r="3" spans="2:8">
      <c r="B3" s="7" t="s">
        <v>9</v>
      </c>
      <c r="D3" s="8" t="s">
        <v>10</v>
      </c>
      <c r="E3" s="11" t="s">
        <v>11</v>
      </c>
      <c r="F3" s="11"/>
      <c r="G3" s="11"/>
      <c r="H3" s="11"/>
    </row>
    <row r="4" spans="2:8">
      <c r="B4" s="7" t="s">
        <v>12</v>
      </c>
      <c r="D4" s="8" t="s">
        <v>13</v>
      </c>
      <c r="E4" s="11" t="s">
        <v>14</v>
      </c>
      <c r="F4" s="11"/>
      <c r="G4" s="11"/>
      <c r="H4" s="11"/>
    </row>
    <row r="5" spans="2:8">
      <c r="B5" s="7" t="s">
        <v>15</v>
      </c>
      <c r="D5" s="8" t="s">
        <v>16</v>
      </c>
      <c r="E5" s="11" t="s">
        <v>17</v>
      </c>
      <c r="F5" s="11"/>
      <c r="G5" s="11"/>
      <c r="H5" s="11"/>
    </row>
    <row r="6" spans="2:8">
      <c r="B6" s="7" t="s">
        <v>18</v>
      </c>
      <c r="D6" s="8" t="s">
        <v>5</v>
      </c>
      <c r="E6" s="11" t="s">
        <v>19</v>
      </c>
      <c r="F6" s="11"/>
      <c r="G6" s="11"/>
      <c r="H6" s="11"/>
    </row>
    <row r="7" spans="2:8">
      <c r="B7" s="7" t="s">
        <v>20</v>
      </c>
      <c r="D7" s="8" t="s">
        <v>6</v>
      </c>
      <c r="E7" s="11" t="s">
        <v>21</v>
      </c>
      <c r="F7" s="11"/>
      <c r="G7" s="11"/>
      <c r="H7" s="11"/>
    </row>
    <row r="8" spans="2:8">
      <c r="B8" s="7" t="s">
        <v>22</v>
      </c>
      <c r="D8" s="8" t="s">
        <v>23</v>
      </c>
      <c r="E8" s="11" t="s">
        <v>23</v>
      </c>
      <c r="F8" s="11"/>
      <c r="G8" s="11"/>
      <c r="H8" s="11"/>
    </row>
    <row r="9" spans="2:8">
      <c r="B9" s="7" t="s">
        <v>24</v>
      </c>
      <c r="D9" s="8" t="s">
        <v>25</v>
      </c>
      <c r="E9" s="11" t="s">
        <v>25</v>
      </c>
      <c r="F9" s="11"/>
      <c r="G9" s="11"/>
      <c r="H9" s="11"/>
    </row>
    <row r="10" spans="2:8">
      <c r="D10" s="8" t="s">
        <v>1</v>
      </c>
      <c r="E10" s="11" t="s">
        <v>26</v>
      </c>
      <c r="F10" s="11"/>
      <c r="G10" s="11"/>
      <c r="H10" s="11"/>
    </row>
    <row r="13" spans="2:8" ht="15.6">
      <c r="D13" s="12" t="s">
        <v>27</v>
      </c>
      <c r="E13" s="13"/>
    </row>
    <row r="14" spans="2:8">
      <c r="D14" s="7" t="s">
        <v>28</v>
      </c>
      <c r="E14" s="10">
        <v>25450</v>
      </c>
    </row>
    <row r="15" spans="2:8">
      <c r="D15" s="7" t="s">
        <v>29</v>
      </c>
      <c r="E15" s="10">
        <v>18500</v>
      </c>
    </row>
    <row r="16" spans="2:8">
      <c r="D16" s="7" t="s">
        <v>30</v>
      </c>
      <c r="E16" s="10">
        <v>28500</v>
      </c>
    </row>
    <row r="17" spans="4:5">
      <c r="D17" s="7" t="s">
        <v>31</v>
      </c>
      <c r="E17" s="10">
        <v>35508</v>
      </c>
    </row>
  </sheetData>
  <mergeCells count="10">
    <mergeCell ref="E8:H8"/>
    <mergeCell ref="E9:H9"/>
    <mergeCell ref="E10:H10"/>
    <mergeCell ref="D13:E13"/>
    <mergeCell ref="D2:H2"/>
    <mergeCell ref="E3:H3"/>
    <mergeCell ref="E4:H4"/>
    <mergeCell ref="E5:H5"/>
    <mergeCell ref="E6:H6"/>
    <mergeCell ref="E7:H7"/>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56C0EE-04B4-4B10-85EB-9EA8AF17213B}">
  <dimension ref="A1:K209"/>
  <sheetViews>
    <sheetView workbookViewId="0">
      <selection activeCell="A209" sqref="A209"/>
    </sheetView>
  </sheetViews>
  <sheetFormatPr defaultRowHeight="14.4"/>
  <cols>
    <col min="1" max="1" width="10" bestFit="1" customWidth="1"/>
    <col min="2" max="2" width="12.88671875" bestFit="1" customWidth="1"/>
    <col min="3" max="3" width="13.21875" bestFit="1" customWidth="1"/>
    <col min="4" max="4" width="13" bestFit="1" customWidth="1"/>
    <col min="5" max="5" width="12.6640625" bestFit="1" customWidth="1"/>
    <col min="6" max="6" width="10.5546875" bestFit="1" customWidth="1"/>
    <col min="7" max="7" width="10.5546875" customWidth="1"/>
    <col min="8" max="8" width="10" bestFit="1" customWidth="1"/>
    <col min="9" max="9" width="11.5546875" customWidth="1"/>
    <col min="10" max="10" width="13.77734375" customWidth="1"/>
  </cols>
  <sheetData>
    <row r="1" spans="1:11" ht="26.4">
      <c r="A1" s="1" t="s">
        <v>0</v>
      </c>
      <c r="B1" s="1" t="s">
        <v>1</v>
      </c>
      <c r="C1" s="1" t="s">
        <v>2</v>
      </c>
      <c r="D1" s="1" t="s">
        <v>3</v>
      </c>
      <c r="E1" s="1" t="s">
        <v>4</v>
      </c>
      <c r="F1" s="1" t="s">
        <v>5</v>
      </c>
      <c r="G1" s="1" t="s">
        <v>6</v>
      </c>
      <c r="H1" s="1" t="s">
        <v>35</v>
      </c>
    </row>
    <row r="2" spans="1:11" ht="15.6">
      <c r="A2" s="2">
        <v>1</v>
      </c>
      <c r="B2" s="3">
        <v>10645</v>
      </c>
      <c r="C2" s="5">
        <v>3.7499999999999999E-2</v>
      </c>
      <c r="D2" s="3">
        <v>18</v>
      </c>
      <c r="E2" s="4">
        <v>0.82</v>
      </c>
      <c r="F2" s="3">
        <v>8942</v>
      </c>
      <c r="G2" s="3">
        <v>596</v>
      </c>
      <c r="H2" s="3" t="s">
        <v>28</v>
      </c>
      <c r="J2" s="12" t="s">
        <v>27</v>
      </c>
      <c r="K2" s="13"/>
    </row>
    <row r="3" spans="1:11">
      <c r="A3" s="2">
        <v>2</v>
      </c>
      <c r="B3" s="3">
        <v>10667</v>
      </c>
      <c r="C3" s="5">
        <v>2.2499999999999999E-2</v>
      </c>
      <c r="D3" s="3">
        <v>20</v>
      </c>
      <c r="E3" s="4">
        <v>0.79</v>
      </c>
      <c r="F3" s="3">
        <v>8854</v>
      </c>
      <c r="G3" s="3">
        <v>422</v>
      </c>
      <c r="H3" s="3" t="s">
        <v>28</v>
      </c>
      <c r="J3" s="27" t="s">
        <v>28</v>
      </c>
      <c r="K3" s="28">
        <v>25450</v>
      </c>
    </row>
    <row r="4" spans="1:11">
      <c r="A4" s="2">
        <v>3</v>
      </c>
      <c r="B4" s="3">
        <v>8972</v>
      </c>
      <c r="C4" s="5">
        <v>0.01</v>
      </c>
      <c r="D4" s="3">
        <v>12</v>
      </c>
      <c r="E4" s="4">
        <v>0.8</v>
      </c>
      <c r="F4" s="3">
        <v>7178</v>
      </c>
      <c r="G4" s="3">
        <v>342</v>
      </c>
      <c r="H4" s="3" t="s">
        <v>28</v>
      </c>
      <c r="J4" s="27" t="s">
        <v>29</v>
      </c>
      <c r="K4" s="28">
        <v>18500</v>
      </c>
    </row>
    <row r="5" spans="1:11">
      <c r="A5" s="2">
        <v>4</v>
      </c>
      <c r="B5" s="3">
        <v>9958</v>
      </c>
      <c r="C5" s="5">
        <v>0.03</v>
      </c>
      <c r="D5" s="3">
        <v>12</v>
      </c>
      <c r="E5" s="4">
        <v>0.83</v>
      </c>
      <c r="F5" s="3">
        <v>7966</v>
      </c>
      <c r="G5" s="3">
        <v>469</v>
      </c>
      <c r="H5" s="3" t="s">
        <v>28</v>
      </c>
      <c r="J5" s="27" t="s">
        <v>30</v>
      </c>
      <c r="K5" s="28">
        <v>28500</v>
      </c>
    </row>
    <row r="6" spans="1:11">
      <c r="A6" s="2">
        <v>5</v>
      </c>
      <c r="B6" s="3">
        <v>9636</v>
      </c>
      <c r="C6" s="5">
        <v>2.2857142857142857E-2</v>
      </c>
      <c r="D6" s="3">
        <v>10</v>
      </c>
      <c r="E6" s="4">
        <v>0.88</v>
      </c>
      <c r="F6" s="3">
        <v>7805</v>
      </c>
      <c r="G6" s="3">
        <v>520</v>
      </c>
      <c r="H6" s="3" t="s">
        <v>28</v>
      </c>
      <c r="J6" s="27" t="s">
        <v>31</v>
      </c>
      <c r="K6" s="28">
        <v>35508</v>
      </c>
    </row>
    <row r="7" spans="1:11">
      <c r="A7" s="2">
        <v>6</v>
      </c>
      <c r="B7" s="3">
        <v>10054</v>
      </c>
      <c r="C7" s="5">
        <v>2.2499999999999999E-2</v>
      </c>
      <c r="D7" s="3">
        <v>23</v>
      </c>
      <c r="E7" s="4">
        <v>0.78</v>
      </c>
      <c r="F7" s="3">
        <v>8043</v>
      </c>
      <c r="G7" s="3">
        <v>447</v>
      </c>
      <c r="H7" s="3" t="s">
        <v>28</v>
      </c>
    </row>
    <row r="8" spans="1:11">
      <c r="A8" s="2">
        <v>7</v>
      </c>
      <c r="B8" s="3">
        <v>9386</v>
      </c>
      <c r="C8" s="5">
        <v>2.2499999999999999E-2</v>
      </c>
      <c r="D8" s="3">
        <v>11</v>
      </c>
      <c r="E8" s="4">
        <v>0.78</v>
      </c>
      <c r="F8" s="3">
        <v>7697</v>
      </c>
      <c r="G8" s="3">
        <v>385</v>
      </c>
      <c r="H8" s="3" t="s">
        <v>28</v>
      </c>
    </row>
    <row r="9" spans="1:11">
      <c r="A9" s="2">
        <v>8</v>
      </c>
      <c r="B9" s="3">
        <v>10231</v>
      </c>
      <c r="C9" s="5">
        <v>1.714285714285714E-2</v>
      </c>
      <c r="D9" s="3">
        <v>11</v>
      </c>
      <c r="E9" s="4">
        <v>0.79</v>
      </c>
      <c r="F9" s="3">
        <v>8696</v>
      </c>
      <c r="G9" s="3">
        <v>458</v>
      </c>
      <c r="H9" s="3" t="s">
        <v>28</v>
      </c>
    </row>
    <row r="10" spans="1:11">
      <c r="A10" s="2">
        <v>9</v>
      </c>
      <c r="B10" s="3">
        <v>9921</v>
      </c>
      <c r="C10" s="5">
        <v>2.571428571428571E-2</v>
      </c>
      <c r="D10" s="3">
        <v>18</v>
      </c>
      <c r="E10" s="4">
        <v>0.78</v>
      </c>
      <c r="F10" s="3">
        <v>8433</v>
      </c>
      <c r="G10" s="3">
        <v>562</v>
      </c>
      <c r="H10" s="3" t="s">
        <v>28</v>
      </c>
      <c r="K10" s="35">
        <f>SUM(D54:D105)+18500</f>
        <v>19350</v>
      </c>
    </row>
    <row r="11" spans="1:11">
      <c r="A11" s="2">
        <v>10</v>
      </c>
      <c r="B11" s="3">
        <v>9000</v>
      </c>
      <c r="C11" s="5">
        <v>2.2857142857142857E-2</v>
      </c>
      <c r="D11" s="3">
        <v>15</v>
      </c>
      <c r="E11" s="4">
        <v>0.79</v>
      </c>
      <c r="F11" s="3">
        <v>7380</v>
      </c>
      <c r="G11" s="3">
        <v>388</v>
      </c>
      <c r="H11" s="3" t="s">
        <v>28</v>
      </c>
      <c r="K11">
        <f>850+18500</f>
        <v>19350</v>
      </c>
    </row>
    <row r="12" spans="1:11">
      <c r="A12" s="2">
        <v>11</v>
      </c>
      <c r="B12" s="3">
        <v>9413</v>
      </c>
      <c r="C12" s="5">
        <v>7.4999999999999997E-3</v>
      </c>
      <c r="D12" s="3">
        <v>24</v>
      </c>
      <c r="E12" s="4">
        <v>0.82</v>
      </c>
      <c r="F12" s="3">
        <v>7625</v>
      </c>
      <c r="G12" s="3">
        <v>449</v>
      </c>
      <c r="H12" s="3" t="s">
        <v>28</v>
      </c>
    </row>
    <row r="13" spans="1:11">
      <c r="A13" s="2">
        <v>12</v>
      </c>
      <c r="B13" s="3">
        <v>10737</v>
      </c>
      <c r="C13" s="5">
        <v>2.1428571428571429E-2</v>
      </c>
      <c r="D13" s="3">
        <v>20</v>
      </c>
      <c r="E13" s="4">
        <v>0.8</v>
      </c>
      <c r="F13" s="3">
        <v>8697</v>
      </c>
      <c r="G13" s="3">
        <v>580</v>
      </c>
      <c r="H13" s="3" t="s">
        <v>28</v>
      </c>
    </row>
    <row r="14" spans="1:11">
      <c r="A14" s="2">
        <v>13</v>
      </c>
      <c r="B14" s="3">
        <v>10889</v>
      </c>
      <c r="C14" s="5">
        <v>2.571428571428571E-2</v>
      </c>
      <c r="D14" s="3">
        <v>16</v>
      </c>
      <c r="E14" s="4">
        <v>0.85</v>
      </c>
      <c r="F14" s="3">
        <v>9038</v>
      </c>
      <c r="G14" s="3">
        <v>452</v>
      </c>
      <c r="H14" s="3" t="s">
        <v>28</v>
      </c>
    </row>
    <row r="15" spans="1:11">
      <c r="A15" s="2">
        <v>14</v>
      </c>
      <c r="B15" s="3">
        <v>10845</v>
      </c>
      <c r="C15" s="5">
        <v>3.428571428571428E-2</v>
      </c>
      <c r="D15" s="3">
        <v>23</v>
      </c>
      <c r="E15" s="4">
        <v>0.86</v>
      </c>
      <c r="F15" s="3">
        <v>8893</v>
      </c>
      <c r="G15" s="3">
        <v>445</v>
      </c>
      <c r="H15" s="3" t="s">
        <v>28</v>
      </c>
    </row>
    <row r="16" spans="1:11">
      <c r="A16" s="2">
        <v>15</v>
      </c>
      <c r="B16" s="3">
        <v>8995</v>
      </c>
      <c r="C16" s="5">
        <v>1.714285714285714E-2</v>
      </c>
      <c r="D16" s="3">
        <v>10</v>
      </c>
      <c r="E16" s="4">
        <v>0.87</v>
      </c>
      <c r="F16" s="3">
        <v>7196</v>
      </c>
      <c r="G16" s="3">
        <v>379</v>
      </c>
      <c r="H16" s="3" t="s">
        <v>28</v>
      </c>
    </row>
    <row r="17" spans="1:8">
      <c r="A17" s="2">
        <v>16</v>
      </c>
      <c r="B17" s="3">
        <v>8781</v>
      </c>
      <c r="C17" s="5">
        <v>2.571428571428571E-2</v>
      </c>
      <c r="D17" s="3">
        <v>24</v>
      </c>
      <c r="E17" s="4">
        <v>0.78</v>
      </c>
      <c r="F17" s="3">
        <v>7113</v>
      </c>
      <c r="G17" s="3">
        <v>374</v>
      </c>
      <c r="H17" s="3" t="s">
        <v>28</v>
      </c>
    </row>
    <row r="18" spans="1:8">
      <c r="A18" s="2">
        <v>17</v>
      </c>
      <c r="B18" s="3">
        <v>10117</v>
      </c>
      <c r="C18" s="5">
        <v>1.714285714285714E-2</v>
      </c>
      <c r="D18" s="3">
        <v>25</v>
      </c>
      <c r="E18" s="4">
        <v>0.86</v>
      </c>
      <c r="F18" s="3">
        <v>8296</v>
      </c>
      <c r="G18" s="3">
        <v>461</v>
      </c>
      <c r="H18" s="3" t="s">
        <v>28</v>
      </c>
    </row>
    <row r="19" spans="1:8">
      <c r="A19" s="2">
        <v>18</v>
      </c>
      <c r="B19" s="3">
        <v>9514</v>
      </c>
      <c r="C19" s="5">
        <v>1.2857142857142855E-2</v>
      </c>
      <c r="D19" s="3">
        <v>12</v>
      </c>
      <c r="E19" s="4">
        <v>0.85</v>
      </c>
      <c r="F19" s="3">
        <v>7706</v>
      </c>
      <c r="G19" s="3">
        <v>428</v>
      </c>
      <c r="H19" s="3" t="s">
        <v>28</v>
      </c>
    </row>
    <row r="20" spans="1:8">
      <c r="A20" s="2">
        <v>19</v>
      </c>
      <c r="B20" s="3">
        <v>9714</v>
      </c>
      <c r="C20" s="5">
        <v>3.5714285714285719E-2</v>
      </c>
      <c r="D20" s="3">
        <v>17</v>
      </c>
      <c r="E20" s="4">
        <v>0.87</v>
      </c>
      <c r="F20" s="3">
        <v>8160</v>
      </c>
      <c r="G20" s="3">
        <v>480</v>
      </c>
      <c r="H20" s="3" t="s">
        <v>28</v>
      </c>
    </row>
    <row r="21" spans="1:8">
      <c r="A21" s="2">
        <v>20</v>
      </c>
      <c r="B21" s="3">
        <v>9973</v>
      </c>
      <c r="C21" s="5">
        <v>0.03</v>
      </c>
      <c r="D21" s="3">
        <v>23</v>
      </c>
      <c r="E21" s="4">
        <v>0.78</v>
      </c>
      <c r="F21" s="3">
        <v>8477</v>
      </c>
      <c r="G21" s="3">
        <v>471</v>
      </c>
      <c r="H21" s="3" t="s">
        <v>28</v>
      </c>
    </row>
    <row r="22" spans="1:8">
      <c r="A22" s="2">
        <v>21</v>
      </c>
      <c r="B22" s="3">
        <v>8518</v>
      </c>
      <c r="C22" s="5">
        <v>1.4999999999999999E-2</v>
      </c>
      <c r="D22" s="3">
        <v>8</v>
      </c>
      <c r="E22" s="4">
        <v>0.88</v>
      </c>
      <c r="F22" s="3">
        <v>7240</v>
      </c>
      <c r="G22" s="3">
        <v>381</v>
      </c>
      <c r="H22" s="3" t="s">
        <v>28</v>
      </c>
    </row>
    <row r="23" spans="1:8">
      <c r="A23" s="2">
        <v>22</v>
      </c>
      <c r="B23" s="3">
        <v>10499</v>
      </c>
      <c r="C23" s="5">
        <v>4.2857142857142858E-2</v>
      </c>
      <c r="D23" s="3">
        <v>14</v>
      </c>
      <c r="E23" s="4">
        <v>0.81</v>
      </c>
      <c r="F23" s="3">
        <v>8399</v>
      </c>
      <c r="G23" s="3">
        <v>494</v>
      </c>
      <c r="H23" s="3" t="s">
        <v>28</v>
      </c>
    </row>
    <row r="24" spans="1:8">
      <c r="A24" s="2">
        <v>23</v>
      </c>
      <c r="B24" s="3">
        <v>9221</v>
      </c>
      <c r="C24" s="5">
        <v>1.4999999999999999E-2</v>
      </c>
      <c r="D24" s="3">
        <v>24</v>
      </c>
      <c r="E24" s="4">
        <v>0.79</v>
      </c>
      <c r="F24" s="3">
        <v>7561</v>
      </c>
      <c r="G24" s="3">
        <v>398</v>
      </c>
      <c r="H24" s="3" t="s">
        <v>28</v>
      </c>
    </row>
    <row r="25" spans="1:8">
      <c r="A25" s="2">
        <v>24</v>
      </c>
      <c r="B25" s="3">
        <v>10547</v>
      </c>
      <c r="C25" s="5">
        <v>3.428571428571428E-2</v>
      </c>
      <c r="D25" s="3">
        <v>19</v>
      </c>
      <c r="E25" s="4">
        <v>0.83</v>
      </c>
      <c r="F25" s="3">
        <v>8543</v>
      </c>
      <c r="G25" s="3">
        <v>450</v>
      </c>
      <c r="H25" s="3" t="s">
        <v>28</v>
      </c>
    </row>
    <row r="26" spans="1:8">
      <c r="A26" s="2">
        <v>25</v>
      </c>
      <c r="B26" s="3">
        <v>10706</v>
      </c>
      <c r="C26" s="5">
        <v>1.2500000000000001E-2</v>
      </c>
      <c r="D26" s="3">
        <v>12</v>
      </c>
      <c r="E26" s="4">
        <v>0.87</v>
      </c>
      <c r="F26" s="3">
        <v>8672</v>
      </c>
      <c r="G26" s="3">
        <v>456</v>
      </c>
      <c r="H26" s="3" t="s">
        <v>28</v>
      </c>
    </row>
    <row r="27" spans="1:8">
      <c r="A27" s="2">
        <v>26</v>
      </c>
      <c r="B27" s="3">
        <v>9980</v>
      </c>
      <c r="C27" s="5">
        <v>3.7499999999999999E-2</v>
      </c>
      <c r="D27" s="3">
        <v>12</v>
      </c>
      <c r="E27" s="4">
        <v>0.8</v>
      </c>
      <c r="F27" s="3">
        <v>7984</v>
      </c>
      <c r="G27" s="3">
        <v>399</v>
      </c>
      <c r="H27" s="3" t="s">
        <v>28</v>
      </c>
    </row>
    <row r="28" spans="1:8">
      <c r="A28" s="2">
        <v>27</v>
      </c>
      <c r="B28" s="3">
        <v>9598</v>
      </c>
      <c r="C28" s="5">
        <v>0.01</v>
      </c>
      <c r="D28" s="3">
        <v>11</v>
      </c>
      <c r="E28" s="4">
        <v>0.9</v>
      </c>
      <c r="F28" s="3">
        <v>7678</v>
      </c>
      <c r="G28" s="3">
        <v>480</v>
      </c>
      <c r="H28" s="3" t="s">
        <v>28</v>
      </c>
    </row>
    <row r="29" spans="1:8">
      <c r="A29" s="2">
        <v>28</v>
      </c>
      <c r="B29" s="3">
        <v>9572</v>
      </c>
      <c r="C29" s="5">
        <v>2.5000000000000001E-2</v>
      </c>
      <c r="D29" s="3">
        <v>15</v>
      </c>
      <c r="E29" s="4">
        <v>0.93</v>
      </c>
      <c r="F29" s="3">
        <v>8136</v>
      </c>
      <c r="G29" s="3">
        <v>479</v>
      </c>
      <c r="H29" s="3" t="s">
        <v>28</v>
      </c>
    </row>
    <row r="30" spans="1:8">
      <c r="A30" s="2">
        <v>29</v>
      </c>
      <c r="B30" s="3">
        <v>8833</v>
      </c>
      <c r="C30" s="5">
        <v>2.1428571428571429E-2</v>
      </c>
      <c r="D30" s="3">
        <v>11</v>
      </c>
      <c r="E30" s="4">
        <v>0.89</v>
      </c>
      <c r="F30" s="3">
        <v>7420</v>
      </c>
      <c r="G30" s="3">
        <v>495</v>
      </c>
      <c r="H30" s="3" t="s">
        <v>28</v>
      </c>
    </row>
    <row r="31" spans="1:8">
      <c r="A31" s="2">
        <v>30</v>
      </c>
      <c r="B31" s="3">
        <v>9184</v>
      </c>
      <c r="C31" s="5">
        <v>1.4999999999999999E-2</v>
      </c>
      <c r="D31" s="3">
        <v>8</v>
      </c>
      <c r="E31" s="4">
        <v>0.79</v>
      </c>
      <c r="F31" s="3">
        <v>7806</v>
      </c>
      <c r="G31" s="3">
        <v>390</v>
      </c>
      <c r="H31" s="3" t="s">
        <v>28</v>
      </c>
    </row>
    <row r="32" spans="1:8">
      <c r="A32" s="2">
        <v>31</v>
      </c>
      <c r="B32" s="3">
        <v>8917</v>
      </c>
      <c r="C32" s="5">
        <v>7.4999999999999997E-3</v>
      </c>
      <c r="D32" s="3">
        <v>23</v>
      </c>
      <c r="E32" s="4">
        <v>0.8</v>
      </c>
      <c r="F32" s="3">
        <v>7401</v>
      </c>
      <c r="G32" s="3">
        <v>463</v>
      </c>
      <c r="H32" s="3" t="s">
        <v>28</v>
      </c>
    </row>
    <row r="33" spans="1:8">
      <c r="A33" s="2">
        <v>32</v>
      </c>
      <c r="B33" s="3">
        <v>9426</v>
      </c>
      <c r="C33" s="5">
        <v>1.2500000000000001E-2</v>
      </c>
      <c r="D33" s="3">
        <v>18</v>
      </c>
      <c r="E33" s="4">
        <v>0.93</v>
      </c>
      <c r="F33" s="3">
        <v>7729</v>
      </c>
      <c r="G33" s="3">
        <v>483</v>
      </c>
      <c r="H33" s="3" t="s">
        <v>28</v>
      </c>
    </row>
    <row r="34" spans="1:8">
      <c r="A34" s="2">
        <v>33</v>
      </c>
      <c r="B34" s="3">
        <v>10799</v>
      </c>
      <c r="C34" s="5">
        <v>4.2857142857142858E-2</v>
      </c>
      <c r="D34" s="3">
        <v>21</v>
      </c>
      <c r="E34" s="4">
        <v>0.87</v>
      </c>
      <c r="F34" s="3">
        <v>9179</v>
      </c>
      <c r="G34" s="3">
        <v>612</v>
      </c>
      <c r="H34" s="3" t="s">
        <v>28</v>
      </c>
    </row>
    <row r="35" spans="1:8">
      <c r="A35" s="2">
        <v>34</v>
      </c>
      <c r="B35" s="3">
        <v>9644</v>
      </c>
      <c r="C35" s="5">
        <v>8.5714285714285701E-3</v>
      </c>
      <c r="D35" s="3">
        <v>11</v>
      </c>
      <c r="E35" s="4">
        <v>0.79</v>
      </c>
      <c r="F35" s="3">
        <v>7908</v>
      </c>
      <c r="G35" s="3">
        <v>377</v>
      </c>
      <c r="H35" s="3" t="s">
        <v>28</v>
      </c>
    </row>
    <row r="36" spans="1:8">
      <c r="A36" s="2">
        <v>35</v>
      </c>
      <c r="B36" s="3">
        <v>8655</v>
      </c>
      <c r="C36" s="5">
        <v>1.4285714285714284E-2</v>
      </c>
      <c r="D36" s="3">
        <v>22</v>
      </c>
      <c r="E36" s="4">
        <v>0.87</v>
      </c>
      <c r="F36" s="3">
        <v>7097</v>
      </c>
      <c r="G36" s="3">
        <v>473</v>
      </c>
      <c r="H36" s="3" t="s">
        <v>28</v>
      </c>
    </row>
    <row r="37" spans="1:8">
      <c r="A37" s="2">
        <v>36</v>
      </c>
      <c r="B37" s="3">
        <v>9065</v>
      </c>
      <c r="C37" s="5">
        <v>2.5000000000000001E-2</v>
      </c>
      <c r="D37" s="3">
        <v>15</v>
      </c>
      <c r="E37" s="4">
        <v>0.88</v>
      </c>
      <c r="F37" s="3">
        <v>7343</v>
      </c>
      <c r="G37" s="3">
        <v>367</v>
      </c>
      <c r="H37" s="3" t="s">
        <v>28</v>
      </c>
    </row>
    <row r="38" spans="1:8">
      <c r="A38" s="2">
        <v>37</v>
      </c>
      <c r="B38" s="3">
        <v>10328</v>
      </c>
      <c r="C38" s="5">
        <v>2.571428571428571E-2</v>
      </c>
      <c r="D38" s="3">
        <v>8</v>
      </c>
      <c r="E38" s="4">
        <v>0.86</v>
      </c>
      <c r="F38" s="3">
        <v>8572</v>
      </c>
      <c r="G38" s="3">
        <v>536</v>
      </c>
      <c r="H38" s="3" t="s">
        <v>28</v>
      </c>
    </row>
    <row r="39" spans="1:8">
      <c r="A39" s="2">
        <v>38</v>
      </c>
      <c r="B39" s="3">
        <v>9918</v>
      </c>
      <c r="C39" s="5">
        <v>1.714285714285714E-2</v>
      </c>
      <c r="D39" s="3">
        <v>13</v>
      </c>
      <c r="E39" s="4">
        <v>0.86</v>
      </c>
      <c r="F39" s="3">
        <v>7934</v>
      </c>
      <c r="G39" s="3">
        <v>418</v>
      </c>
      <c r="H39" s="3" t="s">
        <v>28</v>
      </c>
    </row>
    <row r="40" spans="1:8">
      <c r="A40" s="2">
        <v>39</v>
      </c>
      <c r="B40" s="3">
        <v>9705</v>
      </c>
      <c r="C40" s="5">
        <v>0.03</v>
      </c>
      <c r="D40" s="3">
        <v>25</v>
      </c>
      <c r="E40" s="4">
        <v>0.87</v>
      </c>
      <c r="F40" s="3">
        <v>7861</v>
      </c>
      <c r="G40" s="3">
        <v>491</v>
      </c>
      <c r="H40" s="3" t="s">
        <v>28</v>
      </c>
    </row>
    <row r="41" spans="1:8">
      <c r="A41" s="2">
        <v>40</v>
      </c>
      <c r="B41" s="3">
        <v>8669</v>
      </c>
      <c r="C41" s="5">
        <v>2.2857142857142857E-2</v>
      </c>
      <c r="D41" s="3">
        <v>17</v>
      </c>
      <c r="E41" s="4">
        <v>0.9</v>
      </c>
      <c r="F41" s="3">
        <v>7022</v>
      </c>
      <c r="G41" s="3">
        <v>468</v>
      </c>
      <c r="H41" s="3" t="s">
        <v>28</v>
      </c>
    </row>
    <row r="42" spans="1:8">
      <c r="A42" s="2">
        <v>41</v>
      </c>
      <c r="B42" s="3">
        <v>11300</v>
      </c>
      <c r="C42" s="5">
        <v>1.2857142857142855E-2</v>
      </c>
      <c r="D42" s="3">
        <v>17</v>
      </c>
      <c r="E42" s="4">
        <v>0.84</v>
      </c>
      <c r="F42" s="3">
        <v>8199</v>
      </c>
      <c r="G42" s="3">
        <v>547</v>
      </c>
      <c r="H42" s="3" t="s">
        <v>28</v>
      </c>
    </row>
    <row r="43" spans="1:8">
      <c r="A43" s="2">
        <v>42</v>
      </c>
      <c r="B43" s="3">
        <v>10683</v>
      </c>
      <c r="C43" s="5">
        <v>1.714285714285714E-2</v>
      </c>
      <c r="D43" s="3">
        <v>10</v>
      </c>
      <c r="E43" s="4">
        <v>0.83</v>
      </c>
      <c r="F43" s="3">
        <v>8546</v>
      </c>
      <c r="G43" s="3">
        <v>534</v>
      </c>
      <c r="H43" s="3" t="s">
        <v>28</v>
      </c>
    </row>
    <row r="44" spans="1:8">
      <c r="A44" s="2">
        <v>43</v>
      </c>
      <c r="B44" s="3">
        <v>12150</v>
      </c>
      <c r="C44" s="5">
        <v>2.2857142857142857E-2</v>
      </c>
      <c r="D44" s="3">
        <v>12</v>
      </c>
      <c r="E44" s="4">
        <v>0.87</v>
      </c>
      <c r="F44" s="3">
        <v>7957</v>
      </c>
      <c r="G44" s="3">
        <v>497</v>
      </c>
      <c r="H44" s="3" t="s">
        <v>28</v>
      </c>
    </row>
    <row r="45" spans="1:8">
      <c r="A45" s="2">
        <v>44</v>
      </c>
      <c r="B45" s="3">
        <v>11542</v>
      </c>
      <c r="C45" s="5">
        <v>1.4999999999999999E-2</v>
      </c>
      <c r="D45" s="3">
        <v>18</v>
      </c>
      <c r="E45" s="4">
        <v>0.85</v>
      </c>
      <c r="F45" s="3">
        <v>7842</v>
      </c>
      <c r="G45" s="3">
        <v>523</v>
      </c>
      <c r="H45" s="3" t="s">
        <v>28</v>
      </c>
    </row>
    <row r="46" spans="1:8">
      <c r="A46" s="2">
        <v>45</v>
      </c>
      <c r="B46" s="3">
        <v>11550</v>
      </c>
      <c r="C46" s="5">
        <v>0.03</v>
      </c>
      <c r="D46" s="3">
        <v>9</v>
      </c>
      <c r="E46" s="4">
        <v>0.84</v>
      </c>
      <c r="F46" s="3">
        <v>7550</v>
      </c>
      <c r="G46" s="3">
        <v>360</v>
      </c>
      <c r="H46" s="3" t="s">
        <v>28</v>
      </c>
    </row>
    <row r="47" spans="1:8">
      <c r="A47" s="2">
        <v>46</v>
      </c>
      <c r="B47" s="3">
        <v>10140</v>
      </c>
      <c r="C47" s="5">
        <v>3.7499999999999999E-2</v>
      </c>
      <c r="D47" s="3">
        <v>22</v>
      </c>
      <c r="E47" s="4">
        <v>0.78</v>
      </c>
      <c r="F47" s="3">
        <v>8213</v>
      </c>
      <c r="G47" s="3">
        <v>391</v>
      </c>
      <c r="H47" s="3" t="s">
        <v>28</v>
      </c>
    </row>
    <row r="48" spans="1:8">
      <c r="A48" s="2">
        <v>47</v>
      </c>
      <c r="B48" s="3">
        <v>10780</v>
      </c>
      <c r="C48" s="5">
        <v>1.4999999999999999E-2</v>
      </c>
      <c r="D48" s="3">
        <v>18</v>
      </c>
      <c r="E48" s="4">
        <v>0.83</v>
      </c>
      <c r="F48" s="3">
        <v>7658</v>
      </c>
      <c r="G48" s="3">
        <v>365</v>
      </c>
      <c r="H48" s="3" t="s">
        <v>28</v>
      </c>
    </row>
    <row r="49" spans="1:8">
      <c r="A49" s="2">
        <v>48</v>
      </c>
      <c r="B49" s="3">
        <v>11210</v>
      </c>
      <c r="C49" s="5">
        <v>0.03</v>
      </c>
      <c r="D49" s="3">
        <v>22</v>
      </c>
      <c r="E49" s="4">
        <v>0.91</v>
      </c>
      <c r="F49" s="3">
        <v>8543</v>
      </c>
      <c r="G49" s="3">
        <v>503</v>
      </c>
      <c r="H49" s="3" t="s">
        <v>28</v>
      </c>
    </row>
    <row r="50" spans="1:8">
      <c r="A50" s="2">
        <v>49</v>
      </c>
      <c r="B50" s="3">
        <v>11450</v>
      </c>
      <c r="C50" s="5">
        <v>2.1428571428571429E-2</v>
      </c>
      <c r="D50" s="3">
        <v>20</v>
      </c>
      <c r="E50" s="4">
        <v>0.91</v>
      </c>
      <c r="F50" s="3">
        <v>7818</v>
      </c>
      <c r="G50" s="3">
        <v>460</v>
      </c>
      <c r="H50" s="3" t="s">
        <v>28</v>
      </c>
    </row>
    <row r="51" spans="1:8">
      <c r="A51" s="2">
        <v>50</v>
      </c>
      <c r="B51" s="3">
        <v>12520</v>
      </c>
      <c r="C51" s="5">
        <v>0.03</v>
      </c>
      <c r="D51" s="3">
        <v>11</v>
      </c>
      <c r="E51" s="4">
        <v>0.93</v>
      </c>
      <c r="F51" s="3">
        <v>7769</v>
      </c>
      <c r="G51" s="3">
        <v>370</v>
      </c>
      <c r="H51" s="3" t="s">
        <v>28</v>
      </c>
    </row>
    <row r="52" spans="1:8">
      <c r="A52" s="2">
        <v>51</v>
      </c>
      <c r="B52" s="3">
        <v>11240</v>
      </c>
      <c r="C52" s="5">
        <v>1.2500000000000001E-2</v>
      </c>
      <c r="D52" s="3">
        <v>9</v>
      </c>
      <c r="E52" s="4">
        <v>0.82</v>
      </c>
      <c r="F52" s="3">
        <v>7168</v>
      </c>
      <c r="G52" s="3">
        <v>358</v>
      </c>
      <c r="H52" s="3" t="s">
        <v>28</v>
      </c>
    </row>
    <row r="53" spans="1:8">
      <c r="A53" s="2">
        <v>52</v>
      </c>
      <c r="B53" s="3">
        <v>11250</v>
      </c>
      <c r="C53" s="5">
        <v>1.4999999999999999E-2</v>
      </c>
      <c r="D53" s="3">
        <v>23</v>
      </c>
      <c r="E53" s="4">
        <v>0.92</v>
      </c>
      <c r="F53" s="3">
        <v>7796</v>
      </c>
      <c r="G53" s="3">
        <v>390</v>
      </c>
      <c r="H53" s="3" t="s">
        <v>28</v>
      </c>
    </row>
    <row r="54" spans="1:8">
      <c r="A54" s="2">
        <v>1</v>
      </c>
      <c r="B54" s="3">
        <v>10200</v>
      </c>
      <c r="C54" s="5">
        <v>3.49E-2</v>
      </c>
      <c r="D54" s="3">
        <v>17</v>
      </c>
      <c r="E54" s="4">
        <v>0.82</v>
      </c>
      <c r="F54" s="3">
        <v>8584</v>
      </c>
      <c r="G54" s="3">
        <v>944</v>
      </c>
      <c r="H54" s="3" t="s">
        <v>33</v>
      </c>
    </row>
    <row r="55" spans="1:8">
      <c r="A55" s="2">
        <v>2</v>
      </c>
      <c r="B55" s="3">
        <v>9174</v>
      </c>
      <c r="C55" s="5">
        <v>2.2499999999999999E-2</v>
      </c>
      <c r="D55" s="3">
        <v>19</v>
      </c>
      <c r="E55" s="4">
        <v>0.79</v>
      </c>
      <c r="F55" s="3">
        <v>8234</v>
      </c>
      <c r="G55" s="3">
        <v>1564</v>
      </c>
      <c r="H55" s="3" t="s">
        <v>33</v>
      </c>
    </row>
    <row r="56" spans="1:8">
      <c r="A56" s="2">
        <v>3</v>
      </c>
      <c r="B56" s="3">
        <v>8165</v>
      </c>
      <c r="C56" s="5">
        <v>9.9000000000000008E-3</v>
      </c>
      <c r="D56" s="3">
        <v>11</v>
      </c>
      <c r="E56" s="4">
        <v>0.8</v>
      </c>
      <c r="F56" s="3">
        <v>6532</v>
      </c>
      <c r="G56" s="3">
        <v>1110</v>
      </c>
      <c r="H56" s="3" t="s">
        <v>33</v>
      </c>
    </row>
    <row r="57" spans="1:8">
      <c r="A57" s="2">
        <v>4</v>
      </c>
      <c r="B57" s="3">
        <v>9520</v>
      </c>
      <c r="C57" s="5">
        <v>3.1199999999999999E-2</v>
      </c>
      <c r="D57" s="3">
        <v>11</v>
      </c>
      <c r="E57" s="4">
        <v>0.83</v>
      </c>
      <c r="F57" s="3">
        <v>7090</v>
      </c>
      <c r="G57" s="3">
        <v>1064</v>
      </c>
      <c r="H57" s="3" t="s">
        <v>33</v>
      </c>
    </row>
    <row r="58" spans="1:8">
      <c r="A58" s="2">
        <v>5</v>
      </c>
      <c r="B58" s="3">
        <v>8672</v>
      </c>
      <c r="C58" s="5">
        <v>2.1700000000000001E-2</v>
      </c>
      <c r="D58" s="3">
        <v>10</v>
      </c>
      <c r="E58" s="4">
        <v>0.88</v>
      </c>
      <c r="F58" s="3">
        <v>7337</v>
      </c>
      <c r="G58" s="3">
        <v>1101</v>
      </c>
      <c r="H58" s="3" t="s">
        <v>33</v>
      </c>
    </row>
    <row r="59" spans="1:8">
      <c r="A59" s="2">
        <v>6</v>
      </c>
      <c r="B59" s="3">
        <v>9149</v>
      </c>
      <c r="C59" s="5">
        <v>0.02</v>
      </c>
      <c r="D59" s="3">
        <v>21</v>
      </c>
      <c r="E59" s="4">
        <v>0.78</v>
      </c>
      <c r="F59" s="3">
        <v>7078</v>
      </c>
      <c r="G59" s="3">
        <v>849</v>
      </c>
      <c r="H59" s="3" t="s">
        <v>33</v>
      </c>
    </row>
    <row r="60" spans="1:8">
      <c r="A60" s="2">
        <v>7</v>
      </c>
      <c r="B60" s="3">
        <v>8000</v>
      </c>
      <c r="C60" s="5">
        <v>2.18E-2</v>
      </c>
      <c r="D60" s="3">
        <v>12</v>
      </c>
      <c r="E60" s="4">
        <v>0.78</v>
      </c>
      <c r="F60" s="3">
        <v>7620</v>
      </c>
      <c r="G60" s="3">
        <v>914</v>
      </c>
      <c r="H60" s="3" t="s">
        <v>33</v>
      </c>
    </row>
    <row r="61" spans="1:8">
      <c r="A61" s="2">
        <v>8</v>
      </c>
      <c r="B61" s="3">
        <v>8185</v>
      </c>
      <c r="C61" s="5">
        <v>1.8200000000000001E-2</v>
      </c>
      <c r="D61" s="3">
        <v>10</v>
      </c>
      <c r="E61" s="4">
        <v>0.79</v>
      </c>
      <c r="F61" s="3">
        <v>7739</v>
      </c>
      <c r="G61" s="3">
        <v>851</v>
      </c>
      <c r="H61" s="3" t="s">
        <v>33</v>
      </c>
    </row>
    <row r="62" spans="1:8">
      <c r="A62" s="2">
        <v>9</v>
      </c>
      <c r="B62" s="3">
        <v>8532</v>
      </c>
      <c r="C62" s="5">
        <v>2.5700000000000001E-2</v>
      </c>
      <c r="D62" s="3">
        <v>17</v>
      </c>
      <c r="E62" s="4">
        <v>0.78</v>
      </c>
      <c r="F62" s="3">
        <v>7927</v>
      </c>
      <c r="G62" s="3">
        <v>1110</v>
      </c>
      <c r="H62" s="3" t="s">
        <v>33</v>
      </c>
    </row>
    <row r="63" spans="1:8">
      <c r="A63" s="2">
        <v>10</v>
      </c>
      <c r="B63" s="3">
        <v>8190</v>
      </c>
      <c r="C63" s="5">
        <v>2.0799999999999999E-2</v>
      </c>
      <c r="D63" s="3">
        <v>14</v>
      </c>
      <c r="E63" s="4">
        <v>0.85</v>
      </c>
      <c r="F63" s="3">
        <v>6790</v>
      </c>
      <c r="G63" s="3">
        <v>815</v>
      </c>
      <c r="H63" s="3" t="s">
        <v>33</v>
      </c>
    </row>
    <row r="64" spans="1:8">
      <c r="A64" s="2">
        <v>11</v>
      </c>
      <c r="B64" s="3">
        <v>7813</v>
      </c>
      <c r="C64" s="5">
        <v>7.4000000000000003E-3</v>
      </c>
      <c r="D64" s="3">
        <v>23</v>
      </c>
      <c r="E64" s="4">
        <v>0.82</v>
      </c>
      <c r="F64" s="3">
        <v>7320</v>
      </c>
      <c r="G64" s="3">
        <v>1098</v>
      </c>
      <c r="H64" s="3" t="s">
        <v>33</v>
      </c>
    </row>
    <row r="65" spans="1:8">
      <c r="A65" s="2">
        <v>12</v>
      </c>
      <c r="B65" s="3">
        <v>9341</v>
      </c>
      <c r="C65" s="5">
        <v>1.9900000000000001E-2</v>
      </c>
      <c r="D65" s="3">
        <v>21</v>
      </c>
      <c r="E65" s="4">
        <v>0.8</v>
      </c>
      <c r="F65" s="3">
        <v>8175</v>
      </c>
      <c r="G65" s="3">
        <v>981</v>
      </c>
      <c r="H65" s="3" t="s">
        <v>33</v>
      </c>
    </row>
    <row r="66" spans="1:8">
      <c r="A66" s="2">
        <v>13</v>
      </c>
      <c r="B66" s="3">
        <v>8711</v>
      </c>
      <c r="C66" s="5">
        <v>2.52E-2</v>
      </c>
      <c r="D66" s="3">
        <v>15</v>
      </c>
      <c r="E66" s="4">
        <v>0.85</v>
      </c>
      <c r="F66" s="3">
        <v>9219</v>
      </c>
      <c r="G66" s="3">
        <v>1659</v>
      </c>
      <c r="H66" s="3" t="s">
        <v>33</v>
      </c>
    </row>
    <row r="67" spans="1:8">
      <c r="A67" s="2">
        <v>14</v>
      </c>
      <c r="B67" s="3">
        <v>9544</v>
      </c>
      <c r="C67" s="5">
        <v>3.0499999999999999E-2</v>
      </c>
      <c r="D67" s="3">
        <v>22</v>
      </c>
      <c r="E67" s="4">
        <v>0.91</v>
      </c>
      <c r="F67" s="3">
        <v>7025</v>
      </c>
      <c r="G67" s="3">
        <v>984</v>
      </c>
      <c r="H67" s="3" t="s">
        <v>33</v>
      </c>
    </row>
    <row r="68" spans="1:8">
      <c r="A68" s="2">
        <v>15</v>
      </c>
      <c r="B68" s="3">
        <v>7466</v>
      </c>
      <c r="C68" s="5">
        <v>1.6299999999999999E-2</v>
      </c>
      <c r="D68" s="3">
        <v>11</v>
      </c>
      <c r="E68" s="4">
        <v>0.87</v>
      </c>
      <c r="F68" s="3">
        <v>5613</v>
      </c>
      <c r="G68" s="3">
        <v>1010</v>
      </c>
      <c r="H68" s="3" t="s">
        <v>33</v>
      </c>
    </row>
    <row r="69" spans="1:8">
      <c r="A69" s="2">
        <v>16</v>
      </c>
      <c r="B69" s="3">
        <v>7464</v>
      </c>
      <c r="C69" s="5">
        <v>2.29E-2</v>
      </c>
      <c r="D69" s="3">
        <v>25</v>
      </c>
      <c r="E69" s="4">
        <v>0.81</v>
      </c>
      <c r="F69" s="3">
        <v>6971</v>
      </c>
      <c r="G69" s="3">
        <v>837</v>
      </c>
      <c r="H69" s="3" t="s">
        <v>33</v>
      </c>
    </row>
    <row r="70" spans="1:8">
      <c r="A70" s="2">
        <v>17</v>
      </c>
      <c r="B70" s="3">
        <v>9308</v>
      </c>
      <c r="C70" s="5">
        <v>1.5900000000000001E-2</v>
      </c>
      <c r="D70" s="3">
        <v>26</v>
      </c>
      <c r="E70" s="4">
        <v>0.86</v>
      </c>
      <c r="F70" s="3">
        <v>6803</v>
      </c>
      <c r="G70" s="3">
        <v>1225</v>
      </c>
      <c r="H70" s="3" t="s">
        <v>33</v>
      </c>
    </row>
    <row r="71" spans="1:8">
      <c r="A71" s="2">
        <v>18</v>
      </c>
      <c r="B71" s="3">
        <v>8372</v>
      </c>
      <c r="C71" s="5">
        <v>1.18E-2</v>
      </c>
      <c r="D71" s="3">
        <v>11</v>
      </c>
      <c r="E71" s="4">
        <v>0.85</v>
      </c>
      <c r="F71" s="3">
        <v>6011</v>
      </c>
      <c r="G71" s="3">
        <v>1022</v>
      </c>
      <c r="H71" s="3" t="s">
        <v>33</v>
      </c>
    </row>
    <row r="72" spans="1:8">
      <c r="A72" s="2">
        <v>19</v>
      </c>
      <c r="B72" s="3">
        <v>8645</v>
      </c>
      <c r="C72" s="5">
        <v>3.1800000000000002E-2</v>
      </c>
      <c r="D72" s="3">
        <v>16</v>
      </c>
      <c r="E72" s="4">
        <v>0.87</v>
      </c>
      <c r="F72" s="3">
        <v>7670</v>
      </c>
      <c r="G72" s="3">
        <v>920</v>
      </c>
      <c r="H72" s="3" t="s">
        <v>33</v>
      </c>
    </row>
    <row r="73" spans="1:8">
      <c r="A73" s="2">
        <v>20</v>
      </c>
      <c r="B73" s="3">
        <v>9000</v>
      </c>
      <c r="C73" s="5">
        <v>2.8199999999999999E-2</v>
      </c>
      <c r="D73" s="3">
        <v>22</v>
      </c>
      <c r="E73" s="4">
        <v>0.78</v>
      </c>
      <c r="F73" s="3">
        <v>7205</v>
      </c>
      <c r="G73" s="3">
        <v>1153</v>
      </c>
      <c r="H73" s="3" t="s">
        <v>33</v>
      </c>
    </row>
    <row r="74" spans="1:8">
      <c r="A74" s="2">
        <v>21</v>
      </c>
      <c r="B74" s="3">
        <v>7837</v>
      </c>
      <c r="C74" s="5">
        <v>1.55E-2</v>
      </c>
      <c r="D74" s="3">
        <v>7</v>
      </c>
      <c r="E74" s="4">
        <v>0.88</v>
      </c>
      <c r="F74" s="3">
        <v>6299</v>
      </c>
      <c r="G74" s="3">
        <v>756</v>
      </c>
      <c r="H74" s="3" t="s">
        <v>33</v>
      </c>
    </row>
    <row r="75" spans="1:8">
      <c r="A75" s="2">
        <v>22</v>
      </c>
      <c r="B75" s="3">
        <v>8609</v>
      </c>
      <c r="C75" s="5">
        <v>3.8600000000000002E-2</v>
      </c>
      <c r="D75" s="3">
        <v>13</v>
      </c>
      <c r="E75" s="4">
        <v>0.81</v>
      </c>
      <c r="F75" s="3">
        <v>6971</v>
      </c>
      <c r="G75" s="3">
        <v>837</v>
      </c>
      <c r="H75" s="3" t="s">
        <v>33</v>
      </c>
    </row>
    <row r="76" spans="1:8">
      <c r="A76" s="2">
        <v>23</v>
      </c>
      <c r="B76" s="3">
        <v>8483</v>
      </c>
      <c r="C76" s="5">
        <v>1.46E-2</v>
      </c>
      <c r="D76" s="3">
        <v>23</v>
      </c>
      <c r="E76" s="4">
        <v>0.79</v>
      </c>
      <c r="F76" s="3">
        <v>6049</v>
      </c>
      <c r="G76" s="3">
        <v>665</v>
      </c>
      <c r="H76" s="3" t="s">
        <v>33</v>
      </c>
    </row>
    <row r="77" spans="1:8">
      <c r="A77" s="2">
        <v>24</v>
      </c>
      <c r="B77" s="3">
        <v>9387</v>
      </c>
      <c r="C77" s="5">
        <v>3.1899999999999998E-2</v>
      </c>
      <c r="D77" s="3">
        <v>20</v>
      </c>
      <c r="E77" s="4">
        <v>0.83</v>
      </c>
      <c r="F77" s="3">
        <v>7860</v>
      </c>
      <c r="G77" s="3">
        <v>1415</v>
      </c>
      <c r="H77" s="3" t="s">
        <v>33</v>
      </c>
    </row>
    <row r="78" spans="1:8">
      <c r="A78" s="2">
        <v>25</v>
      </c>
      <c r="B78" s="3">
        <v>9421</v>
      </c>
      <c r="C78" s="5">
        <v>1.18E-2</v>
      </c>
      <c r="D78" s="3">
        <v>12</v>
      </c>
      <c r="E78" s="4">
        <v>0.87</v>
      </c>
      <c r="F78" s="3">
        <v>7978</v>
      </c>
      <c r="G78" s="3">
        <v>1276</v>
      </c>
      <c r="H78" s="3" t="s">
        <v>33</v>
      </c>
    </row>
    <row r="79" spans="1:8">
      <c r="A79" s="2">
        <v>26</v>
      </c>
      <c r="B79" s="3">
        <v>8283</v>
      </c>
      <c r="C79" s="5">
        <v>3.4500000000000003E-2</v>
      </c>
      <c r="D79" s="3">
        <v>12</v>
      </c>
      <c r="E79" s="4">
        <v>0.8</v>
      </c>
      <c r="F79" s="3">
        <v>7665</v>
      </c>
      <c r="G79" s="3">
        <v>1073</v>
      </c>
      <c r="H79" s="3" t="s">
        <v>33</v>
      </c>
    </row>
    <row r="80" spans="1:8">
      <c r="A80" s="2">
        <v>27</v>
      </c>
      <c r="B80" s="3">
        <v>9520</v>
      </c>
      <c r="C80" s="5">
        <v>9.2999999999999992E-3</v>
      </c>
      <c r="D80" s="3">
        <v>11</v>
      </c>
      <c r="E80" s="4">
        <v>0.9</v>
      </c>
      <c r="F80" s="3">
        <v>7524</v>
      </c>
      <c r="G80" s="3">
        <v>1279</v>
      </c>
      <c r="H80" s="3" t="s">
        <v>33</v>
      </c>
    </row>
    <row r="81" spans="1:8">
      <c r="A81" s="2">
        <v>28</v>
      </c>
      <c r="B81" s="3">
        <v>8328</v>
      </c>
      <c r="C81" s="5">
        <v>2.23E-2</v>
      </c>
      <c r="D81" s="3">
        <v>13</v>
      </c>
      <c r="E81" s="4">
        <v>0.93</v>
      </c>
      <c r="F81" s="3">
        <v>6672</v>
      </c>
      <c r="G81" s="3">
        <v>1268</v>
      </c>
      <c r="H81" s="3" t="s">
        <v>33</v>
      </c>
    </row>
    <row r="82" spans="1:8">
      <c r="A82" s="2">
        <v>29</v>
      </c>
      <c r="B82" s="3">
        <v>7950</v>
      </c>
      <c r="C82" s="5">
        <v>2.23E-2</v>
      </c>
      <c r="D82" s="3">
        <v>12</v>
      </c>
      <c r="E82" s="4">
        <v>0.89</v>
      </c>
      <c r="F82" s="3">
        <v>6901</v>
      </c>
      <c r="G82" s="3">
        <v>828</v>
      </c>
      <c r="H82" s="3" t="s">
        <v>33</v>
      </c>
    </row>
    <row r="83" spans="1:8">
      <c r="A83" s="2">
        <v>30</v>
      </c>
      <c r="B83" s="3">
        <v>7990</v>
      </c>
      <c r="C83" s="5">
        <v>1.44E-2</v>
      </c>
      <c r="D83" s="3">
        <v>7</v>
      </c>
      <c r="E83" s="4">
        <v>0.82</v>
      </c>
      <c r="F83" s="3">
        <v>7572</v>
      </c>
      <c r="G83" s="3">
        <v>1212</v>
      </c>
      <c r="H83" s="3" t="s">
        <v>33</v>
      </c>
    </row>
    <row r="84" spans="1:8">
      <c r="A84" s="2">
        <v>31</v>
      </c>
      <c r="B84" s="3">
        <v>7936</v>
      </c>
      <c r="C84" s="5">
        <v>7.7000000000000002E-3</v>
      </c>
      <c r="D84" s="3">
        <v>22</v>
      </c>
      <c r="E84" s="4">
        <v>0.8</v>
      </c>
      <c r="F84" s="3">
        <v>6439</v>
      </c>
      <c r="G84" s="3">
        <v>1159</v>
      </c>
      <c r="H84" s="3" t="s">
        <v>33</v>
      </c>
    </row>
    <row r="85" spans="1:8">
      <c r="A85" s="2">
        <v>32</v>
      </c>
      <c r="B85" s="3">
        <v>8672</v>
      </c>
      <c r="C85" s="5">
        <v>1.2E-2</v>
      </c>
      <c r="D85" s="3">
        <v>16</v>
      </c>
      <c r="E85" s="4">
        <v>0.93</v>
      </c>
      <c r="F85" s="3">
        <v>6879</v>
      </c>
      <c r="G85" s="3">
        <v>1101</v>
      </c>
      <c r="H85" s="3" t="s">
        <v>33</v>
      </c>
    </row>
    <row r="86" spans="1:8">
      <c r="A86" s="2">
        <v>33</v>
      </c>
      <c r="B86" s="3">
        <v>8963</v>
      </c>
      <c r="C86" s="5">
        <v>3.9899999999999998E-2</v>
      </c>
      <c r="D86" s="3">
        <v>22</v>
      </c>
      <c r="E86" s="4">
        <v>0.87</v>
      </c>
      <c r="F86" s="3">
        <v>7251</v>
      </c>
      <c r="G86" s="3">
        <v>1378</v>
      </c>
      <c r="H86" s="3" t="s">
        <v>33</v>
      </c>
    </row>
    <row r="87" spans="1:8">
      <c r="A87" s="2">
        <v>34</v>
      </c>
      <c r="B87" s="3">
        <v>8420</v>
      </c>
      <c r="C87" s="5">
        <v>7.7000000000000002E-3</v>
      </c>
      <c r="D87" s="3">
        <v>10</v>
      </c>
      <c r="E87" s="4">
        <v>0.85</v>
      </c>
      <c r="F87" s="3">
        <v>6722</v>
      </c>
      <c r="G87" s="3">
        <v>672</v>
      </c>
      <c r="H87" s="3" t="s">
        <v>33</v>
      </c>
    </row>
    <row r="88" spans="1:8">
      <c r="A88" s="2">
        <v>35</v>
      </c>
      <c r="B88" s="3">
        <v>7616</v>
      </c>
      <c r="C88" s="5">
        <v>1.4999999999999999E-2</v>
      </c>
      <c r="D88" s="3">
        <v>20</v>
      </c>
      <c r="E88" s="4">
        <v>0.87</v>
      </c>
      <c r="F88" s="3">
        <v>5678</v>
      </c>
      <c r="G88" s="3">
        <v>681</v>
      </c>
      <c r="H88" s="3" t="s">
        <v>33</v>
      </c>
    </row>
    <row r="89" spans="1:8">
      <c r="A89" s="2">
        <v>36</v>
      </c>
      <c r="B89" s="3">
        <v>7887</v>
      </c>
      <c r="C89" s="5">
        <v>2.5999999999999999E-2</v>
      </c>
      <c r="D89" s="3">
        <v>16</v>
      </c>
      <c r="E89" s="4">
        <v>0.88</v>
      </c>
      <c r="F89" s="3">
        <v>7270</v>
      </c>
      <c r="G89" s="3">
        <v>872</v>
      </c>
      <c r="H89" s="3" t="s">
        <v>33</v>
      </c>
    </row>
    <row r="90" spans="1:8">
      <c r="A90" s="2">
        <v>37</v>
      </c>
      <c r="B90" s="3">
        <v>8882</v>
      </c>
      <c r="C90" s="5">
        <v>2.2599999999999999E-2</v>
      </c>
      <c r="D90" s="3">
        <v>8</v>
      </c>
      <c r="E90" s="4">
        <v>0.86</v>
      </c>
      <c r="F90" s="3">
        <v>8229</v>
      </c>
      <c r="G90" s="3">
        <v>987</v>
      </c>
      <c r="H90" s="3" t="s">
        <v>33</v>
      </c>
    </row>
    <row r="91" spans="1:8">
      <c r="A91" s="2">
        <v>38</v>
      </c>
      <c r="B91" s="3">
        <v>8728</v>
      </c>
      <c r="C91" s="5">
        <v>1.7999999999999999E-2</v>
      </c>
      <c r="D91" s="3">
        <v>13</v>
      </c>
      <c r="E91" s="4">
        <v>0.86</v>
      </c>
      <c r="F91" s="3">
        <v>7061</v>
      </c>
      <c r="G91" s="3">
        <v>777</v>
      </c>
      <c r="H91" s="3" t="s">
        <v>33</v>
      </c>
    </row>
    <row r="92" spans="1:8">
      <c r="A92" s="2">
        <v>39</v>
      </c>
      <c r="B92" s="3">
        <v>8735</v>
      </c>
      <c r="C92" s="5">
        <v>3.0300000000000001E-2</v>
      </c>
      <c r="D92" s="3">
        <v>23</v>
      </c>
      <c r="E92" s="4">
        <v>0.87</v>
      </c>
      <c r="F92" s="3">
        <v>7232</v>
      </c>
      <c r="G92" s="3">
        <v>1374</v>
      </c>
      <c r="H92" s="3" t="s">
        <v>33</v>
      </c>
    </row>
    <row r="93" spans="1:8">
      <c r="A93" s="2">
        <v>40</v>
      </c>
      <c r="B93" s="3">
        <v>7369</v>
      </c>
      <c r="C93" s="5">
        <v>2.35E-2</v>
      </c>
      <c r="D93" s="3">
        <v>17</v>
      </c>
      <c r="E93" s="4">
        <v>0.9</v>
      </c>
      <c r="F93" s="3">
        <v>6671</v>
      </c>
      <c r="G93" s="3">
        <v>667</v>
      </c>
      <c r="H93" s="3" t="s">
        <v>33</v>
      </c>
    </row>
    <row r="94" spans="1:8">
      <c r="A94" s="2">
        <v>41</v>
      </c>
      <c r="B94" s="3">
        <v>9605</v>
      </c>
      <c r="C94" s="5">
        <v>1.2999999999999999E-2</v>
      </c>
      <c r="D94" s="3">
        <v>17</v>
      </c>
      <c r="E94" s="4">
        <v>0.84</v>
      </c>
      <c r="F94" s="3">
        <v>7379</v>
      </c>
      <c r="G94" s="3">
        <v>1328</v>
      </c>
      <c r="H94" s="3" t="s">
        <v>33</v>
      </c>
    </row>
    <row r="95" spans="1:8">
      <c r="A95" s="2">
        <v>42</v>
      </c>
      <c r="B95" s="3">
        <v>9187</v>
      </c>
      <c r="C95" s="5">
        <v>1.6299999999999999E-2</v>
      </c>
      <c r="D95" s="3">
        <v>9</v>
      </c>
      <c r="E95" s="4">
        <v>0.83</v>
      </c>
      <c r="F95" s="3">
        <v>7691</v>
      </c>
      <c r="G95" s="3">
        <v>1231</v>
      </c>
      <c r="H95" s="3" t="s">
        <v>33</v>
      </c>
    </row>
    <row r="96" spans="1:8">
      <c r="A96" s="2">
        <v>43</v>
      </c>
      <c r="B96" s="3">
        <v>10206</v>
      </c>
      <c r="C96" s="5">
        <v>2.01E-2</v>
      </c>
      <c r="D96" s="3">
        <v>11</v>
      </c>
      <c r="E96" s="4">
        <v>0.93</v>
      </c>
      <c r="F96" s="3">
        <v>7002</v>
      </c>
      <c r="G96" s="3">
        <v>770</v>
      </c>
      <c r="H96" s="3" t="s">
        <v>33</v>
      </c>
    </row>
    <row r="97" spans="1:8">
      <c r="A97" s="2">
        <v>44</v>
      </c>
      <c r="B97" s="3">
        <v>10157</v>
      </c>
      <c r="C97" s="5">
        <v>1.47E-2</v>
      </c>
      <c r="D97" s="3">
        <v>18</v>
      </c>
      <c r="E97" s="4">
        <v>0.85</v>
      </c>
      <c r="F97" s="3">
        <v>6666</v>
      </c>
      <c r="G97" s="3">
        <v>1267</v>
      </c>
      <c r="H97" s="3" t="s">
        <v>33</v>
      </c>
    </row>
    <row r="98" spans="1:8">
      <c r="A98" s="2">
        <v>45</v>
      </c>
      <c r="B98" s="3">
        <v>10280</v>
      </c>
      <c r="C98" s="5">
        <v>2.7300000000000001E-2</v>
      </c>
      <c r="D98" s="3">
        <v>19</v>
      </c>
      <c r="E98" s="4">
        <v>0.84</v>
      </c>
      <c r="F98" s="3">
        <v>6040</v>
      </c>
      <c r="G98" s="3">
        <v>664</v>
      </c>
      <c r="H98" s="3" t="s">
        <v>33</v>
      </c>
    </row>
    <row r="99" spans="1:8">
      <c r="A99" s="2">
        <v>46</v>
      </c>
      <c r="B99" s="3">
        <v>11240</v>
      </c>
      <c r="C99" s="5">
        <v>3.9800000000000002E-2</v>
      </c>
      <c r="D99" s="3">
        <v>21</v>
      </c>
      <c r="E99" s="4">
        <v>0.78</v>
      </c>
      <c r="F99" s="3">
        <v>6981</v>
      </c>
      <c r="G99" s="3">
        <v>698</v>
      </c>
      <c r="H99" s="3" t="s">
        <v>33</v>
      </c>
    </row>
    <row r="100" spans="1:8">
      <c r="A100" s="2">
        <v>47</v>
      </c>
      <c r="B100" s="3">
        <v>10558</v>
      </c>
      <c r="C100" s="5">
        <v>1.37E-2</v>
      </c>
      <c r="D100" s="3">
        <v>23</v>
      </c>
      <c r="E100" s="4">
        <v>0.83</v>
      </c>
      <c r="F100" s="3">
        <v>6892</v>
      </c>
      <c r="G100" s="3">
        <v>1172</v>
      </c>
      <c r="H100" s="3" t="s">
        <v>33</v>
      </c>
    </row>
    <row r="101" spans="1:8">
      <c r="A101" s="2">
        <v>48</v>
      </c>
      <c r="B101" s="3">
        <v>10253</v>
      </c>
      <c r="C101" s="5">
        <v>2.9100000000000001E-2</v>
      </c>
      <c r="D101" s="3">
        <v>23</v>
      </c>
      <c r="E101" s="4">
        <v>0.91</v>
      </c>
      <c r="F101" s="3">
        <v>8714</v>
      </c>
      <c r="G101" s="3">
        <v>1656</v>
      </c>
      <c r="H101" s="3" t="s">
        <v>33</v>
      </c>
    </row>
    <row r="102" spans="1:8">
      <c r="A102" s="2">
        <v>49</v>
      </c>
      <c r="B102" s="3">
        <v>10850</v>
      </c>
      <c r="C102" s="5">
        <v>2.2100000000000002E-2</v>
      </c>
      <c r="D102" s="3">
        <v>18</v>
      </c>
      <c r="E102" s="4">
        <v>0.94</v>
      </c>
      <c r="F102" s="3">
        <v>7662</v>
      </c>
      <c r="G102" s="3">
        <v>1149</v>
      </c>
      <c r="H102" s="3" t="s">
        <v>33</v>
      </c>
    </row>
    <row r="103" spans="1:8">
      <c r="A103" s="2">
        <v>50</v>
      </c>
      <c r="B103" s="3">
        <v>10141</v>
      </c>
      <c r="C103" s="5">
        <v>2.7E-2</v>
      </c>
      <c r="D103" s="3">
        <v>17</v>
      </c>
      <c r="E103" s="4">
        <v>0.93</v>
      </c>
      <c r="F103" s="3">
        <v>6060</v>
      </c>
      <c r="G103" s="3">
        <v>606</v>
      </c>
      <c r="H103" s="3" t="s">
        <v>33</v>
      </c>
    </row>
    <row r="104" spans="1:8">
      <c r="A104" s="2">
        <v>51</v>
      </c>
      <c r="B104" s="3">
        <v>11000</v>
      </c>
      <c r="C104" s="5">
        <v>1.2E-2</v>
      </c>
      <c r="D104" s="3">
        <v>21</v>
      </c>
      <c r="E104" s="4">
        <v>0.9</v>
      </c>
      <c r="F104" s="3">
        <v>6021</v>
      </c>
      <c r="G104" s="3">
        <v>1144</v>
      </c>
      <c r="H104" s="3" t="s">
        <v>33</v>
      </c>
    </row>
    <row r="105" spans="1:8">
      <c r="A105" s="2">
        <v>52</v>
      </c>
      <c r="B105" s="3">
        <v>10350</v>
      </c>
      <c r="C105" s="5">
        <v>1.5599999999999999E-2</v>
      </c>
      <c r="D105" s="3">
        <v>22</v>
      </c>
      <c r="E105" s="4">
        <v>0.92</v>
      </c>
      <c r="F105" s="3">
        <v>6627</v>
      </c>
      <c r="G105" s="3">
        <v>928</v>
      </c>
      <c r="H105" s="3" t="s">
        <v>33</v>
      </c>
    </row>
    <row r="106" spans="1:8">
      <c r="A106" s="18">
        <v>1</v>
      </c>
      <c r="B106" s="19">
        <v>12138</v>
      </c>
      <c r="C106" s="20">
        <v>3.9100000000000003E-2</v>
      </c>
      <c r="D106" s="19">
        <v>23</v>
      </c>
      <c r="E106" s="21">
        <v>0.82</v>
      </c>
      <c r="F106" s="19">
        <v>10387</v>
      </c>
      <c r="G106" s="19">
        <v>1150</v>
      </c>
      <c r="H106" s="16" t="s">
        <v>30</v>
      </c>
    </row>
    <row r="107" spans="1:8">
      <c r="A107" s="30">
        <v>2</v>
      </c>
      <c r="B107" s="31">
        <v>10642</v>
      </c>
      <c r="C107" s="32">
        <v>2.52E-2</v>
      </c>
      <c r="D107" s="31">
        <v>30</v>
      </c>
      <c r="E107" s="33">
        <v>0.91</v>
      </c>
      <c r="F107" s="31">
        <v>9551</v>
      </c>
      <c r="G107" s="31">
        <v>1439</v>
      </c>
      <c r="H107" s="34" t="s">
        <v>30</v>
      </c>
    </row>
    <row r="108" spans="1:8">
      <c r="A108" s="18">
        <v>3</v>
      </c>
      <c r="B108" s="19">
        <v>12250</v>
      </c>
      <c r="C108" s="20">
        <v>1.0999999999999999E-2</v>
      </c>
      <c r="D108" s="19">
        <v>15</v>
      </c>
      <c r="E108" s="21">
        <v>0.8</v>
      </c>
      <c r="F108" s="19">
        <v>7838</v>
      </c>
      <c r="G108" s="19">
        <v>1232</v>
      </c>
      <c r="H108" s="16" t="s">
        <v>30</v>
      </c>
    </row>
    <row r="109" spans="1:8">
      <c r="A109" s="30">
        <v>4</v>
      </c>
      <c r="B109" s="23">
        <v>12090</v>
      </c>
      <c r="C109" s="24">
        <v>3.4599999999999999E-2</v>
      </c>
      <c r="D109" s="23">
        <v>14</v>
      </c>
      <c r="E109" s="25">
        <v>0.83</v>
      </c>
      <c r="F109" s="23">
        <v>8224</v>
      </c>
      <c r="G109" s="23">
        <v>1032</v>
      </c>
      <c r="H109" s="17" t="s">
        <v>30</v>
      </c>
    </row>
    <row r="110" spans="1:8">
      <c r="A110" s="30">
        <v>5</v>
      </c>
      <c r="B110" s="19">
        <v>10840</v>
      </c>
      <c r="C110" s="20">
        <v>2.41E-2</v>
      </c>
      <c r="D110" s="19">
        <v>12</v>
      </c>
      <c r="E110" s="21">
        <v>0.88</v>
      </c>
      <c r="F110" s="19">
        <v>8951</v>
      </c>
      <c r="G110" s="19">
        <v>1387</v>
      </c>
      <c r="H110" s="16" t="s">
        <v>30</v>
      </c>
    </row>
    <row r="111" spans="1:8">
      <c r="A111" s="30">
        <v>6</v>
      </c>
      <c r="B111" s="23">
        <v>11802</v>
      </c>
      <c r="C111" s="24">
        <v>2.1999999999999999E-2</v>
      </c>
      <c r="D111" s="23">
        <v>34</v>
      </c>
      <c r="E111" s="25">
        <v>0.78</v>
      </c>
      <c r="F111" s="23">
        <v>7998</v>
      </c>
      <c r="G111" s="23">
        <v>1044</v>
      </c>
      <c r="H111" s="17" t="s">
        <v>30</v>
      </c>
    </row>
    <row r="112" spans="1:8">
      <c r="A112" s="18">
        <v>7</v>
      </c>
      <c r="B112" s="19">
        <v>9120</v>
      </c>
      <c r="C112" s="20">
        <v>2.4400000000000002E-2</v>
      </c>
      <c r="D112" s="19">
        <v>18</v>
      </c>
      <c r="E112" s="21">
        <v>0.82</v>
      </c>
      <c r="F112" s="19">
        <v>8077</v>
      </c>
      <c r="G112" s="19">
        <v>1197</v>
      </c>
      <c r="H112" s="16" t="s">
        <v>30</v>
      </c>
    </row>
    <row r="113" spans="1:8">
      <c r="A113" s="30">
        <v>8</v>
      </c>
      <c r="B113" s="31">
        <v>14520</v>
      </c>
      <c r="C113" s="32">
        <v>2.0199999999999999E-2</v>
      </c>
      <c r="D113" s="31">
        <v>15</v>
      </c>
      <c r="E113" s="33">
        <v>0.79</v>
      </c>
      <c r="F113" s="31">
        <v>8126</v>
      </c>
      <c r="G113" s="31">
        <v>800</v>
      </c>
      <c r="H113" s="34" t="s">
        <v>30</v>
      </c>
    </row>
    <row r="114" spans="1:8">
      <c r="A114" s="18">
        <v>9</v>
      </c>
      <c r="B114" s="19">
        <v>10324</v>
      </c>
      <c r="C114" s="20">
        <v>2.8299999999999999E-2</v>
      </c>
      <c r="D114" s="19">
        <v>27</v>
      </c>
      <c r="E114" s="21">
        <v>0.92</v>
      </c>
      <c r="F114" s="19">
        <v>8878</v>
      </c>
      <c r="G114" s="19">
        <v>1421</v>
      </c>
      <c r="H114" s="16" t="s">
        <v>30</v>
      </c>
    </row>
    <row r="115" spans="1:8">
      <c r="A115" s="30">
        <v>10</v>
      </c>
      <c r="B115" s="23">
        <v>13580</v>
      </c>
      <c r="C115" s="24">
        <v>2.3300000000000001E-2</v>
      </c>
      <c r="D115" s="23">
        <v>18</v>
      </c>
      <c r="E115" s="25">
        <v>0.79</v>
      </c>
      <c r="F115" s="23">
        <v>7537</v>
      </c>
      <c r="G115" s="23">
        <v>1000</v>
      </c>
      <c r="H115" s="17" t="s">
        <v>30</v>
      </c>
    </row>
    <row r="116" spans="1:8">
      <c r="A116" s="30">
        <v>11</v>
      </c>
      <c r="B116" s="19">
        <v>9923</v>
      </c>
      <c r="C116" s="20">
        <v>8.0999999999999996E-3</v>
      </c>
      <c r="D116" s="19">
        <v>35</v>
      </c>
      <c r="E116" s="21">
        <v>0.82</v>
      </c>
      <c r="F116" s="19">
        <v>7832</v>
      </c>
      <c r="G116" s="19">
        <v>1318</v>
      </c>
      <c r="H116" s="16" t="s">
        <v>30</v>
      </c>
    </row>
    <row r="117" spans="1:8">
      <c r="A117" s="30">
        <v>12</v>
      </c>
      <c r="B117" s="23">
        <v>10742</v>
      </c>
      <c r="C117" s="24">
        <v>2.2100000000000002E-2</v>
      </c>
      <c r="D117" s="23">
        <v>33</v>
      </c>
      <c r="E117" s="25">
        <v>0.8</v>
      </c>
      <c r="F117" s="23">
        <v>9974</v>
      </c>
      <c r="G117" s="23">
        <v>1177</v>
      </c>
      <c r="H117" s="17" t="s">
        <v>30</v>
      </c>
    </row>
    <row r="118" spans="1:8">
      <c r="A118" s="18">
        <v>13</v>
      </c>
      <c r="B118" s="19">
        <v>11150</v>
      </c>
      <c r="C118" s="20">
        <v>2.8199999999999999E-2</v>
      </c>
      <c r="D118" s="19">
        <v>24</v>
      </c>
      <c r="E118" s="21">
        <v>0.85</v>
      </c>
      <c r="F118" s="19">
        <v>11155</v>
      </c>
      <c r="G118" s="19">
        <v>1576</v>
      </c>
      <c r="H118" s="16" t="s">
        <v>30</v>
      </c>
    </row>
    <row r="119" spans="1:8">
      <c r="A119" s="30">
        <v>14</v>
      </c>
      <c r="B119" s="23">
        <v>11453</v>
      </c>
      <c r="C119" s="24">
        <v>3.39E-2</v>
      </c>
      <c r="D119" s="23">
        <v>26</v>
      </c>
      <c r="E119" s="25">
        <v>0.88</v>
      </c>
      <c r="F119" s="23">
        <v>7306</v>
      </c>
      <c r="G119" s="23">
        <v>1191</v>
      </c>
      <c r="H119" s="17" t="s">
        <v>30</v>
      </c>
    </row>
    <row r="120" spans="1:8">
      <c r="A120" s="18">
        <v>15</v>
      </c>
      <c r="B120" s="19">
        <v>8437</v>
      </c>
      <c r="C120" s="20">
        <v>1.7899999999999999E-2</v>
      </c>
      <c r="D120" s="19">
        <v>17</v>
      </c>
      <c r="E120" s="21">
        <v>0.87</v>
      </c>
      <c r="F120" s="19">
        <v>6455</v>
      </c>
      <c r="G120" s="19">
        <v>1212</v>
      </c>
      <c r="H120" s="16" t="s">
        <v>30</v>
      </c>
    </row>
    <row r="121" spans="1:8">
      <c r="A121" s="30">
        <v>16</v>
      </c>
      <c r="B121" s="23">
        <v>10226</v>
      </c>
      <c r="C121" s="24">
        <v>2.52E-2</v>
      </c>
      <c r="D121" s="23">
        <v>37</v>
      </c>
      <c r="E121" s="25">
        <v>0.78</v>
      </c>
      <c r="F121" s="23">
        <v>7529</v>
      </c>
      <c r="G121" s="23">
        <v>1096</v>
      </c>
      <c r="H121" s="17" t="s">
        <v>30</v>
      </c>
    </row>
    <row r="122" spans="1:8">
      <c r="A122" s="30">
        <v>17</v>
      </c>
      <c r="B122" s="19">
        <v>10704</v>
      </c>
      <c r="C122" s="20">
        <v>1.7600000000000001E-2</v>
      </c>
      <c r="D122" s="19">
        <v>36</v>
      </c>
      <c r="E122" s="21">
        <v>0.86</v>
      </c>
      <c r="F122" s="19">
        <v>8028</v>
      </c>
      <c r="G122" s="19">
        <v>1335</v>
      </c>
      <c r="H122" s="16" t="s">
        <v>30</v>
      </c>
    </row>
    <row r="123" spans="1:8">
      <c r="A123" s="30">
        <v>18</v>
      </c>
      <c r="B123" s="23">
        <v>10381</v>
      </c>
      <c r="C123" s="24">
        <v>1.2999999999999999E-2</v>
      </c>
      <c r="D123" s="23">
        <v>15</v>
      </c>
      <c r="E123" s="25">
        <v>0.85</v>
      </c>
      <c r="F123" s="23">
        <v>6312</v>
      </c>
      <c r="G123" s="23">
        <v>1022</v>
      </c>
      <c r="H123" s="17" t="s">
        <v>30</v>
      </c>
    </row>
    <row r="124" spans="1:8">
      <c r="A124" s="18">
        <v>19</v>
      </c>
      <c r="B124" s="19">
        <v>11930</v>
      </c>
      <c r="C124" s="20">
        <v>3.5299999999999998E-2</v>
      </c>
      <c r="D124" s="19">
        <v>22</v>
      </c>
      <c r="E124" s="21">
        <v>0.87</v>
      </c>
      <c r="F124" s="19">
        <v>8514</v>
      </c>
      <c r="G124" s="19">
        <v>1205</v>
      </c>
      <c r="H124" s="16" t="s">
        <v>30</v>
      </c>
    </row>
    <row r="125" spans="1:8">
      <c r="A125" s="30">
        <v>20</v>
      </c>
      <c r="B125" s="23">
        <v>12510</v>
      </c>
      <c r="C125" s="24">
        <v>3.1300000000000001E-2</v>
      </c>
      <c r="D125" s="23">
        <v>29</v>
      </c>
      <c r="E125" s="25">
        <v>0.78</v>
      </c>
      <c r="F125" s="23">
        <v>7637</v>
      </c>
      <c r="G125" s="23">
        <v>1211</v>
      </c>
      <c r="H125" s="17" t="s">
        <v>30</v>
      </c>
    </row>
    <row r="126" spans="1:8">
      <c r="A126" s="18">
        <v>21</v>
      </c>
      <c r="B126" s="19">
        <v>10815</v>
      </c>
      <c r="C126" s="20">
        <v>1.7399999999999999E-2</v>
      </c>
      <c r="D126" s="19">
        <v>10</v>
      </c>
      <c r="E126" s="21">
        <v>0.86</v>
      </c>
      <c r="F126" s="19">
        <v>7244</v>
      </c>
      <c r="G126" s="19">
        <v>1052</v>
      </c>
      <c r="H126" s="16" t="s">
        <v>30</v>
      </c>
    </row>
    <row r="127" spans="1:8">
      <c r="A127" s="30">
        <v>22</v>
      </c>
      <c r="B127" s="23">
        <v>11020</v>
      </c>
      <c r="C127" s="24">
        <v>4.2799999999999998E-2</v>
      </c>
      <c r="D127" s="23">
        <v>18</v>
      </c>
      <c r="E127" s="25">
        <v>0.81</v>
      </c>
      <c r="F127" s="23">
        <v>7598</v>
      </c>
      <c r="G127" s="23">
        <v>1063</v>
      </c>
      <c r="H127" s="17" t="s">
        <v>30</v>
      </c>
    </row>
    <row r="128" spans="1:8">
      <c r="A128" s="30">
        <v>23</v>
      </c>
      <c r="B128" s="19">
        <v>10264</v>
      </c>
      <c r="C128" s="20">
        <v>1.6199999999999999E-2</v>
      </c>
      <c r="D128" s="19">
        <v>32</v>
      </c>
      <c r="E128" s="21">
        <v>0.79</v>
      </c>
      <c r="F128" s="19">
        <v>6896</v>
      </c>
      <c r="G128" s="19">
        <v>685</v>
      </c>
      <c r="H128" s="16" t="s">
        <v>30</v>
      </c>
    </row>
    <row r="129" spans="1:8">
      <c r="A129" s="30">
        <v>24</v>
      </c>
      <c r="B129" s="23">
        <v>14445</v>
      </c>
      <c r="C129" s="24">
        <v>3.5099999999999999E-2</v>
      </c>
      <c r="D129" s="23">
        <v>24</v>
      </c>
      <c r="E129" s="25">
        <v>0.83</v>
      </c>
      <c r="F129" s="23">
        <v>8174</v>
      </c>
      <c r="G129" s="23">
        <v>1599</v>
      </c>
      <c r="H129" s="17" t="s">
        <v>30</v>
      </c>
    </row>
    <row r="130" spans="1:8">
      <c r="A130" s="18">
        <v>25</v>
      </c>
      <c r="B130" s="19">
        <v>11965</v>
      </c>
      <c r="C130" s="20">
        <v>1.2999999999999999E-2</v>
      </c>
      <c r="D130" s="19">
        <v>19</v>
      </c>
      <c r="E130" s="21">
        <v>0.87</v>
      </c>
      <c r="F130" s="19">
        <v>8536</v>
      </c>
      <c r="G130" s="19">
        <v>1646</v>
      </c>
      <c r="H130" s="16" t="s">
        <v>30</v>
      </c>
    </row>
    <row r="131" spans="1:8">
      <c r="A131" s="30">
        <v>26</v>
      </c>
      <c r="B131" s="23">
        <v>10519</v>
      </c>
      <c r="C131" s="24">
        <v>3.8600000000000002E-2</v>
      </c>
      <c r="D131" s="23">
        <v>18</v>
      </c>
      <c r="E131" s="25">
        <v>0.8</v>
      </c>
      <c r="F131" s="23">
        <v>8738</v>
      </c>
      <c r="G131" s="23">
        <v>1255</v>
      </c>
      <c r="H131" s="17" t="s">
        <v>30</v>
      </c>
    </row>
    <row r="132" spans="1:8">
      <c r="A132" s="18">
        <v>27</v>
      </c>
      <c r="B132" s="19">
        <v>10853</v>
      </c>
      <c r="C132" s="20">
        <v>1.03E-2</v>
      </c>
      <c r="D132" s="19">
        <v>16</v>
      </c>
      <c r="E132" s="21">
        <v>0.9</v>
      </c>
      <c r="F132" s="19">
        <v>9179</v>
      </c>
      <c r="G132" s="19">
        <v>1522</v>
      </c>
      <c r="H132" s="16" t="s">
        <v>30</v>
      </c>
    </row>
    <row r="133" spans="1:8">
      <c r="A133" s="30">
        <v>28</v>
      </c>
      <c r="B133" s="23">
        <v>9244</v>
      </c>
      <c r="C133" s="24">
        <v>2.5000000000000001E-2</v>
      </c>
      <c r="D133" s="23">
        <v>17</v>
      </c>
      <c r="E133" s="25">
        <v>0.93</v>
      </c>
      <c r="F133" s="23">
        <v>7539</v>
      </c>
      <c r="G133" s="23">
        <v>1572</v>
      </c>
      <c r="H133" s="17" t="s">
        <v>30</v>
      </c>
    </row>
    <row r="134" spans="1:8">
      <c r="A134" s="30">
        <v>29</v>
      </c>
      <c r="B134" s="19">
        <v>12520</v>
      </c>
      <c r="C134" s="20">
        <v>2.4500000000000001E-2</v>
      </c>
      <c r="D134" s="19">
        <v>16</v>
      </c>
      <c r="E134" s="21">
        <v>0.89</v>
      </c>
      <c r="F134" s="19">
        <v>8419</v>
      </c>
      <c r="G134" s="19">
        <v>770</v>
      </c>
      <c r="H134" s="16" t="s">
        <v>30</v>
      </c>
    </row>
    <row r="135" spans="1:8">
      <c r="A135" s="30">
        <v>30</v>
      </c>
      <c r="B135" s="23">
        <v>10467</v>
      </c>
      <c r="C135" s="24">
        <v>1.6E-2</v>
      </c>
      <c r="D135" s="23">
        <v>9</v>
      </c>
      <c r="E135" s="25">
        <v>0.79</v>
      </c>
      <c r="F135" s="23">
        <v>8708</v>
      </c>
      <c r="G135" s="23">
        <v>1442</v>
      </c>
      <c r="H135" s="17" t="s">
        <v>30</v>
      </c>
    </row>
    <row r="136" spans="1:8">
      <c r="A136" s="18">
        <v>31</v>
      </c>
      <c r="B136" s="19">
        <v>10222</v>
      </c>
      <c r="C136" s="20">
        <v>8.5000000000000006E-3</v>
      </c>
      <c r="D136" s="19">
        <v>34</v>
      </c>
      <c r="E136" s="21">
        <v>0.84</v>
      </c>
      <c r="F136" s="19">
        <v>7340</v>
      </c>
      <c r="G136" s="19">
        <v>1182</v>
      </c>
      <c r="H136" s="16" t="s">
        <v>30</v>
      </c>
    </row>
    <row r="137" spans="1:8">
      <c r="A137" s="30">
        <v>32</v>
      </c>
      <c r="B137" s="23">
        <v>11013</v>
      </c>
      <c r="C137" s="24">
        <v>1.34E-2</v>
      </c>
      <c r="D137" s="23">
        <v>23</v>
      </c>
      <c r="E137" s="25">
        <v>0.92</v>
      </c>
      <c r="F137" s="23">
        <v>7154</v>
      </c>
      <c r="G137" s="23">
        <v>1057</v>
      </c>
      <c r="H137" s="17" t="s">
        <v>30</v>
      </c>
    </row>
    <row r="138" spans="1:8">
      <c r="A138" s="18">
        <v>33</v>
      </c>
      <c r="B138" s="19">
        <v>10576</v>
      </c>
      <c r="C138" s="20">
        <v>4.4299999999999999E-2</v>
      </c>
      <c r="D138" s="19">
        <v>29</v>
      </c>
      <c r="E138" s="21">
        <v>0.87</v>
      </c>
      <c r="F138" s="19">
        <v>8484</v>
      </c>
      <c r="G138" s="19">
        <v>1350</v>
      </c>
      <c r="H138" s="16" t="s">
        <v>30</v>
      </c>
    </row>
    <row r="139" spans="1:8">
      <c r="A139" s="30">
        <v>34</v>
      </c>
      <c r="B139" s="23">
        <v>10525</v>
      </c>
      <c r="C139" s="24">
        <v>8.5000000000000006E-3</v>
      </c>
      <c r="D139" s="23">
        <v>13</v>
      </c>
      <c r="E139" s="25">
        <v>0.79</v>
      </c>
      <c r="F139" s="23">
        <v>7260</v>
      </c>
      <c r="G139" s="23">
        <v>759</v>
      </c>
      <c r="H139" s="17" t="s">
        <v>30</v>
      </c>
    </row>
    <row r="140" spans="1:8">
      <c r="A140" s="30">
        <v>35</v>
      </c>
      <c r="B140" s="19">
        <v>11200</v>
      </c>
      <c r="C140" s="20">
        <v>1.6500000000000001E-2</v>
      </c>
      <c r="D140" s="19">
        <v>26</v>
      </c>
      <c r="E140" s="21">
        <v>0.87</v>
      </c>
      <c r="F140" s="19">
        <v>6075</v>
      </c>
      <c r="G140" s="19">
        <v>1052</v>
      </c>
      <c r="H140" s="16" t="s">
        <v>30</v>
      </c>
    </row>
    <row r="141" spans="1:8">
      <c r="A141" s="30">
        <v>36</v>
      </c>
      <c r="B141" s="23">
        <v>11042</v>
      </c>
      <c r="C141" s="24">
        <v>2.86E-2</v>
      </c>
      <c r="D141" s="23">
        <v>22</v>
      </c>
      <c r="E141" s="25">
        <v>0.88</v>
      </c>
      <c r="F141" s="23">
        <v>8651</v>
      </c>
      <c r="G141" s="23">
        <v>811</v>
      </c>
      <c r="H141" s="17" t="s">
        <v>30</v>
      </c>
    </row>
    <row r="142" spans="1:8">
      <c r="A142" s="18">
        <v>37</v>
      </c>
      <c r="B142" s="19">
        <v>9770</v>
      </c>
      <c r="C142" s="20">
        <v>2.53E-2</v>
      </c>
      <c r="D142" s="19">
        <v>10</v>
      </c>
      <c r="E142" s="21">
        <v>0.86</v>
      </c>
      <c r="F142" s="19">
        <v>9793</v>
      </c>
      <c r="G142" s="19">
        <v>1135</v>
      </c>
      <c r="H142" s="16" t="s">
        <v>30</v>
      </c>
    </row>
    <row r="143" spans="1:8">
      <c r="A143" s="30">
        <v>38</v>
      </c>
      <c r="B143" s="23">
        <v>11608</v>
      </c>
      <c r="C143" s="24">
        <v>1.9800000000000002E-2</v>
      </c>
      <c r="D143" s="23">
        <v>16</v>
      </c>
      <c r="E143" s="25">
        <v>0.86</v>
      </c>
      <c r="F143" s="23">
        <v>7626</v>
      </c>
      <c r="G143" s="23">
        <v>870</v>
      </c>
      <c r="H143" s="17" t="s">
        <v>30</v>
      </c>
    </row>
    <row r="144" spans="1:8">
      <c r="A144" s="18">
        <v>39</v>
      </c>
      <c r="B144" s="19">
        <v>9958</v>
      </c>
      <c r="C144" s="20">
        <v>3.39E-2</v>
      </c>
      <c r="D144" s="19">
        <v>29</v>
      </c>
      <c r="E144" s="21">
        <v>0.88</v>
      </c>
      <c r="F144" s="19">
        <v>8823</v>
      </c>
      <c r="G144" s="19">
        <v>1704</v>
      </c>
      <c r="H144" s="16" t="s">
        <v>30</v>
      </c>
    </row>
    <row r="145" spans="1:8">
      <c r="A145" s="30">
        <v>40</v>
      </c>
      <c r="B145" s="23">
        <v>8253</v>
      </c>
      <c r="C145" s="24">
        <v>2.63E-2</v>
      </c>
      <c r="D145" s="23">
        <v>27</v>
      </c>
      <c r="E145" s="25">
        <v>0.9</v>
      </c>
      <c r="F145" s="23">
        <v>6938</v>
      </c>
      <c r="G145" s="23">
        <v>647</v>
      </c>
      <c r="H145" s="17" t="s">
        <v>30</v>
      </c>
    </row>
    <row r="146" spans="1:8">
      <c r="A146" s="30">
        <v>41</v>
      </c>
      <c r="B146" s="19">
        <v>13255</v>
      </c>
      <c r="C146" s="20">
        <v>1.46E-2</v>
      </c>
      <c r="D146" s="19">
        <v>20</v>
      </c>
      <c r="E146" s="21">
        <v>0.84</v>
      </c>
      <c r="F146" s="19">
        <v>7822</v>
      </c>
      <c r="G146" s="19">
        <v>1248</v>
      </c>
      <c r="H146" s="16" t="s">
        <v>30</v>
      </c>
    </row>
    <row r="147" spans="1:8">
      <c r="A147" s="30">
        <v>42</v>
      </c>
      <c r="B147" s="23">
        <v>11850</v>
      </c>
      <c r="C147" s="24">
        <v>1.83E-2</v>
      </c>
      <c r="D147" s="23">
        <v>12</v>
      </c>
      <c r="E147" s="25">
        <v>0.83</v>
      </c>
      <c r="F147" s="23">
        <v>9075</v>
      </c>
      <c r="G147" s="23">
        <v>1293</v>
      </c>
      <c r="H147" s="17" t="s">
        <v>30</v>
      </c>
    </row>
    <row r="148" spans="1:8">
      <c r="A148" s="18">
        <v>43</v>
      </c>
      <c r="B148" s="19">
        <v>12962</v>
      </c>
      <c r="C148" s="20">
        <v>2.2100000000000002E-2</v>
      </c>
      <c r="D148" s="19">
        <v>16</v>
      </c>
      <c r="E148" s="21">
        <v>0.87</v>
      </c>
      <c r="F148" s="19">
        <v>7772</v>
      </c>
      <c r="G148" s="19">
        <v>855</v>
      </c>
      <c r="H148" s="16" t="s">
        <v>30</v>
      </c>
    </row>
    <row r="149" spans="1:8">
      <c r="A149" s="30">
        <v>44</v>
      </c>
      <c r="B149" s="23">
        <v>14118</v>
      </c>
      <c r="C149" s="24">
        <v>1.6299999999999999E-2</v>
      </c>
      <c r="D149" s="23">
        <v>25</v>
      </c>
      <c r="E149" s="25">
        <v>0.85</v>
      </c>
      <c r="F149" s="23">
        <v>7266</v>
      </c>
      <c r="G149" s="23">
        <v>1432</v>
      </c>
      <c r="H149" s="17" t="s">
        <v>30</v>
      </c>
    </row>
    <row r="150" spans="1:8">
      <c r="A150" s="18">
        <v>45</v>
      </c>
      <c r="B150" s="19">
        <v>13056</v>
      </c>
      <c r="C150" s="20">
        <v>0.03</v>
      </c>
      <c r="D150" s="19">
        <v>25</v>
      </c>
      <c r="E150" s="21">
        <v>0.84</v>
      </c>
      <c r="F150" s="19">
        <v>8580</v>
      </c>
      <c r="G150" s="19">
        <v>1200</v>
      </c>
      <c r="H150" s="16" t="s">
        <v>30</v>
      </c>
    </row>
    <row r="151" spans="1:8">
      <c r="A151" s="30">
        <v>46</v>
      </c>
      <c r="B151" s="23">
        <v>15399</v>
      </c>
      <c r="C151" s="24">
        <v>4.4200000000000003E-2</v>
      </c>
      <c r="D151" s="23">
        <v>33</v>
      </c>
      <c r="E151" s="25">
        <v>0.78</v>
      </c>
      <c r="F151" s="23">
        <v>8307</v>
      </c>
      <c r="G151" s="23">
        <v>1085</v>
      </c>
      <c r="H151" s="17" t="s">
        <v>30</v>
      </c>
    </row>
    <row r="152" spans="1:8">
      <c r="A152" s="30">
        <v>47</v>
      </c>
      <c r="B152" s="19">
        <v>14359</v>
      </c>
      <c r="C152" s="20">
        <v>1.5299999999999999E-2</v>
      </c>
      <c r="D152" s="19">
        <v>36</v>
      </c>
      <c r="E152" s="21">
        <v>0.78</v>
      </c>
      <c r="F152" s="19">
        <v>9560</v>
      </c>
      <c r="G152" s="19">
        <v>1488</v>
      </c>
      <c r="H152" s="16" t="s">
        <v>30</v>
      </c>
    </row>
    <row r="153" spans="1:8">
      <c r="A153" s="30">
        <v>48</v>
      </c>
      <c r="B153" s="23">
        <v>13800</v>
      </c>
      <c r="C153" s="24">
        <v>3.2000000000000001E-2</v>
      </c>
      <c r="D153" s="23">
        <v>34</v>
      </c>
      <c r="E153" s="25">
        <v>0.91</v>
      </c>
      <c r="F153" s="23">
        <v>10631</v>
      </c>
      <c r="G153" s="23">
        <v>1623</v>
      </c>
      <c r="H153" s="17" t="s">
        <v>30</v>
      </c>
    </row>
    <row r="154" spans="1:8">
      <c r="A154" s="18">
        <v>49</v>
      </c>
      <c r="B154" s="19">
        <v>15299</v>
      </c>
      <c r="C154" s="20">
        <v>2.4799999999999999E-2</v>
      </c>
      <c r="D154" s="19">
        <v>23</v>
      </c>
      <c r="E154" s="21">
        <v>0.91</v>
      </c>
      <c r="F154" s="19">
        <v>9520</v>
      </c>
      <c r="G154" s="19">
        <v>1287</v>
      </c>
      <c r="H154" s="16" t="s">
        <v>30</v>
      </c>
    </row>
    <row r="155" spans="1:8">
      <c r="A155" s="30">
        <v>50</v>
      </c>
      <c r="B155" s="23">
        <v>16520</v>
      </c>
      <c r="C155" s="24">
        <v>3.0200000000000001E-2</v>
      </c>
      <c r="D155" s="23">
        <v>26</v>
      </c>
      <c r="E155" s="25">
        <v>0.93</v>
      </c>
      <c r="F155" s="23">
        <v>9000</v>
      </c>
      <c r="G155" s="23">
        <v>1100</v>
      </c>
      <c r="H155" s="17" t="s">
        <v>30</v>
      </c>
    </row>
    <row r="156" spans="1:8">
      <c r="A156" s="18">
        <v>51</v>
      </c>
      <c r="B156" s="19">
        <v>15290</v>
      </c>
      <c r="C156" s="20">
        <v>1.3299999999999999E-2</v>
      </c>
      <c r="D156" s="19">
        <v>28</v>
      </c>
      <c r="E156" s="21">
        <v>0.96</v>
      </c>
      <c r="F156" s="19">
        <v>9250</v>
      </c>
      <c r="G156" s="19">
        <v>1361</v>
      </c>
      <c r="H156" s="16" t="s">
        <v>30</v>
      </c>
    </row>
    <row r="157" spans="1:8">
      <c r="A157" s="30">
        <v>52</v>
      </c>
      <c r="B157" s="23">
        <v>15200</v>
      </c>
      <c r="C157" s="24">
        <v>1.7500000000000002E-2</v>
      </c>
      <c r="D157" s="23">
        <v>27</v>
      </c>
      <c r="E157" s="25">
        <v>0.92</v>
      </c>
      <c r="F157" s="23">
        <v>8800</v>
      </c>
      <c r="G157" s="23">
        <v>1420</v>
      </c>
      <c r="H157" s="17" t="s">
        <v>30</v>
      </c>
    </row>
    <row r="158" spans="1:8">
      <c r="A158" s="18">
        <v>1</v>
      </c>
      <c r="B158" s="19">
        <v>14808</v>
      </c>
      <c r="C158" s="20">
        <v>0.04</v>
      </c>
      <c r="D158" s="19">
        <v>27</v>
      </c>
      <c r="E158" s="21">
        <v>0.82</v>
      </c>
      <c r="F158" s="19">
        <v>9660</v>
      </c>
      <c r="G158" s="19">
        <v>1449</v>
      </c>
      <c r="H158" s="16" t="s">
        <v>31</v>
      </c>
    </row>
    <row r="159" spans="1:8">
      <c r="A159" s="22">
        <v>2</v>
      </c>
      <c r="B159" s="23">
        <v>12451</v>
      </c>
      <c r="C159" s="24">
        <v>2.52E-2</v>
      </c>
      <c r="D159" s="23">
        <v>33</v>
      </c>
      <c r="E159" s="25">
        <v>0.79</v>
      </c>
      <c r="F159" s="23">
        <v>9933</v>
      </c>
      <c r="G159" s="23">
        <v>1482</v>
      </c>
      <c r="H159" s="17" t="s">
        <v>31</v>
      </c>
    </row>
    <row r="160" spans="1:8">
      <c r="A160" s="18">
        <v>3</v>
      </c>
      <c r="B160" s="19">
        <v>14945</v>
      </c>
      <c r="C160" s="20">
        <v>2.8000000000000001E-2</v>
      </c>
      <c r="D160" s="19">
        <v>18</v>
      </c>
      <c r="E160" s="21">
        <v>0.8</v>
      </c>
      <c r="F160" s="19">
        <v>8073</v>
      </c>
      <c r="G160" s="19">
        <v>1725</v>
      </c>
      <c r="H160" s="16" t="s">
        <v>31</v>
      </c>
    </row>
    <row r="161" spans="1:8">
      <c r="A161" s="30">
        <v>4</v>
      </c>
      <c r="B161" s="23">
        <v>12695</v>
      </c>
      <c r="C161" s="24">
        <v>3.4599999999999999E-2</v>
      </c>
      <c r="D161" s="23">
        <v>14</v>
      </c>
      <c r="E161" s="25">
        <v>0.83</v>
      </c>
      <c r="F161" s="23">
        <v>8471</v>
      </c>
      <c r="G161" s="23">
        <v>1362</v>
      </c>
      <c r="H161" s="17" t="s">
        <v>31</v>
      </c>
    </row>
    <row r="162" spans="1:8">
      <c r="A162" s="22">
        <v>5</v>
      </c>
      <c r="B162" s="19">
        <v>12032</v>
      </c>
      <c r="C162" s="20">
        <v>2.41E-2</v>
      </c>
      <c r="D162" s="19">
        <v>14</v>
      </c>
      <c r="E162" s="21">
        <v>0.88</v>
      </c>
      <c r="F162" s="19">
        <v>8593</v>
      </c>
      <c r="G162" s="19">
        <v>1748</v>
      </c>
      <c r="H162" s="16" t="s">
        <v>31</v>
      </c>
    </row>
    <row r="163" spans="1:8">
      <c r="A163" s="30">
        <v>6</v>
      </c>
      <c r="B163" s="23">
        <v>14871</v>
      </c>
      <c r="C163" s="24">
        <v>2.1999999999999999E-2</v>
      </c>
      <c r="D163" s="23">
        <v>35</v>
      </c>
      <c r="E163" s="25">
        <v>0.78</v>
      </c>
      <c r="F163" s="23">
        <v>8078</v>
      </c>
      <c r="G163" s="23">
        <v>1378</v>
      </c>
      <c r="H163" s="17" t="s">
        <v>31</v>
      </c>
    </row>
    <row r="164" spans="1:8">
      <c r="A164" s="18">
        <v>7</v>
      </c>
      <c r="B164" s="19">
        <v>11400</v>
      </c>
      <c r="C164" s="20">
        <v>2.4400000000000002E-2</v>
      </c>
      <c r="D164" s="19">
        <v>21</v>
      </c>
      <c r="E164" s="21">
        <v>0.82</v>
      </c>
      <c r="F164" s="19">
        <v>7350</v>
      </c>
      <c r="G164" s="19">
        <v>1424</v>
      </c>
      <c r="H164" s="16" t="s">
        <v>31</v>
      </c>
    </row>
    <row r="165" spans="1:8">
      <c r="A165" s="22">
        <v>8</v>
      </c>
      <c r="B165" s="23">
        <v>17714</v>
      </c>
      <c r="C165" s="24">
        <v>2.0199999999999999E-2</v>
      </c>
      <c r="D165" s="23">
        <v>16</v>
      </c>
      <c r="E165" s="25">
        <v>0.79</v>
      </c>
      <c r="F165" s="23">
        <v>8695</v>
      </c>
      <c r="G165" s="23">
        <v>832</v>
      </c>
      <c r="H165" s="17" t="s">
        <v>31</v>
      </c>
    </row>
    <row r="166" spans="1:8">
      <c r="A166" s="18">
        <v>9</v>
      </c>
      <c r="B166" s="19">
        <v>12389</v>
      </c>
      <c r="C166" s="20">
        <v>2.8299999999999999E-2</v>
      </c>
      <c r="D166" s="19">
        <v>28</v>
      </c>
      <c r="E166" s="21">
        <v>0.78</v>
      </c>
      <c r="F166" s="19">
        <v>8345</v>
      </c>
      <c r="G166" s="19">
        <v>1705</v>
      </c>
      <c r="H166" s="16" t="s">
        <v>31</v>
      </c>
    </row>
    <row r="167" spans="1:8">
      <c r="A167" s="30">
        <v>10</v>
      </c>
      <c r="B167" s="23">
        <v>17247</v>
      </c>
      <c r="C167" s="24">
        <v>2.3300000000000001E-2</v>
      </c>
      <c r="D167" s="23">
        <v>19</v>
      </c>
      <c r="E167" s="25">
        <v>0.79</v>
      </c>
      <c r="F167" s="23">
        <v>7688</v>
      </c>
      <c r="G167" s="23">
        <v>1030</v>
      </c>
      <c r="H167" s="17" t="s">
        <v>31</v>
      </c>
    </row>
    <row r="168" spans="1:8">
      <c r="A168" s="22">
        <v>11</v>
      </c>
      <c r="B168" s="19">
        <v>10419</v>
      </c>
      <c r="C168" s="20">
        <v>2.1000000000000001E-2</v>
      </c>
      <c r="D168" s="19">
        <v>35</v>
      </c>
      <c r="E168" s="21">
        <v>0.82</v>
      </c>
      <c r="F168" s="19">
        <v>8459</v>
      </c>
      <c r="G168" s="19">
        <v>1582</v>
      </c>
      <c r="H168" s="16" t="s">
        <v>31</v>
      </c>
    </row>
    <row r="169" spans="1:8">
      <c r="A169" s="30">
        <v>12</v>
      </c>
      <c r="B169" s="23">
        <v>12246</v>
      </c>
      <c r="C169" s="24">
        <v>2.2100000000000002E-2</v>
      </c>
      <c r="D169" s="23">
        <v>36</v>
      </c>
      <c r="E169" s="25">
        <v>0.8</v>
      </c>
      <c r="F169" s="23">
        <v>9974</v>
      </c>
      <c r="G169" s="23">
        <v>1542</v>
      </c>
      <c r="H169" s="17" t="s">
        <v>31</v>
      </c>
    </row>
    <row r="170" spans="1:8">
      <c r="A170" s="18">
        <v>13</v>
      </c>
      <c r="B170" s="19">
        <v>13380</v>
      </c>
      <c r="C170" s="20">
        <v>2.8199999999999999E-2</v>
      </c>
      <c r="D170" s="19">
        <v>25</v>
      </c>
      <c r="E170" s="21">
        <v>0.85</v>
      </c>
      <c r="F170" s="19">
        <v>10597</v>
      </c>
      <c r="G170" s="19">
        <v>1608</v>
      </c>
      <c r="H170" s="16" t="s">
        <v>31</v>
      </c>
    </row>
    <row r="171" spans="1:8">
      <c r="A171" s="22">
        <v>14</v>
      </c>
      <c r="B171" s="23">
        <v>14774</v>
      </c>
      <c r="C171" s="24">
        <v>3.39E-2</v>
      </c>
      <c r="D171" s="23">
        <v>31</v>
      </c>
      <c r="E171" s="25">
        <v>0.88</v>
      </c>
      <c r="F171" s="23">
        <v>6722</v>
      </c>
      <c r="G171" s="23">
        <v>1167</v>
      </c>
      <c r="H171" s="17" t="s">
        <v>31</v>
      </c>
    </row>
    <row r="172" spans="1:8">
      <c r="A172" s="18">
        <v>15</v>
      </c>
      <c r="B172" s="19">
        <v>10520</v>
      </c>
      <c r="C172" s="20">
        <v>3.5999999999999997E-2</v>
      </c>
      <c r="D172" s="19">
        <v>18</v>
      </c>
      <c r="E172" s="21">
        <v>0.87</v>
      </c>
      <c r="F172" s="19">
        <v>6455</v>
      </c>
      <c r="G172" s="19">
        <v>1418</v>
      </c>
      <c r="H172" s="16" t="s">
        <v>31</v>
      </c>
    </row>
    <row r="173" spans="1:8">
      <c r="A173" s="30">
        <v>16</v>
      </c>
      <c r="B173" s="23">
        <v>13498</v>
      </c>
      <c r="C173" s="24">
        <v>2.52E-2</v>
      </c>
      <c r="D173" s="23">
        <v>37</v>
      </c>
      <c r="E173" s="25">
        <v>0.78</v>
      </c>
      <c r="F173" s="23">
        <v>6776</v>
      </c>
      <c r="G173" s="23">
        <v>1260</v>
      </c>
      <c r="H173" s="17" t="s">
        <v>31</v>
      </c>
    </row>
    <row r="174" spans="1:8">
      <c r="A174" s="22">
        <v>17</v>
      </c>
      <c r="B174" s="19">
        <v>13808</v>
      </c>
      <c r="C174" s="20">
        <v>1.7600000000000001E-2</v>
      </c>
      <c r="D174" s="19">
        <v>39</v>
      </c>
      <c r="E174" s="21">
        <v>0.86</v>
      </c>
      <c r="F174" s="19">
        <v>7305</v>
      </c>
      <c r="G174" s="19">
        <v>1522</v>
      </c>
      <c r="H174" s="16" t="s">
        <v>31</v>
      </c>
    </row>
    <row r="175" spans="1:8">
      <c r="A175" s="30">
        <v>18</v>
      </c>
      <c r="B175" s="23">
        <v>11419</v>
      </c>
      <c r="C175" s="24">
        <v>0.03</v>
      </c>
      <c r="D175" s="23">
        <v>15</v>
      </c>
      <c r="E175" s="25">
        <v>0.85</v>
      </c>
      <c r="F175" s="23">
        <v>6249</v>
      </c>
      <c r="G175" s="23">
        <v>1134</v>
      </c>
      <c r="H175" s="17" t="s">
        <v>31</v>
      </c>
    </row>
    <row r="176" spans="1:8">
      <c r="A176" s="18">
        <v>19</v>
      </c>
      <c r="B176" s="19">
        <v>13720</v>
      </c>
      <c r="C176" s="20">
        <v>3.5299999999999998E-2</v>
      </c>
      <c r="D176" s="19">
        <v>22</v>
      </c>
      <c r="E176" s="21">
        <v>0.87</v>
      </c>
      <c r="F176" s="19">
        <v>8344</v>
      </c>
      <c r="G176" s="19">
        <v>1687</v>
      </c>
      <c r="H176" s="16" t="s">
        <v>31</v>
      </c>
    </row>
    <row r="177" spans="1:8">
      <c r="A177" s="22">
        <v>20</v>
      </c>
      <c r="B177" s="23">
        <v>15638</v>
      </c>
      <c r="C177" s="24">
        <v>3.1300000000000001E-2</v>
      </c>
      <c r="D177" s="23">
        <v>35</v>
      </c>
      <c r="E177" s="25">
        <v>0.78</v>
      </c>
      <c r="F177" s="23">
        <v>7408</v>
      </c>
      <c r="G177" s="23">
        <v>1272</v>
      </c>
      <c r="H177" s="17" t="s">
        <v>31</v>
      </c>
    </row>
    <row r="178" spans="1:8">
      <c r="A178" s="18">
        <v>21</v>
      </c>
      <c r="B178" s="19">
        <v>11572</v>
      </c>
      <c r="C178" s="20">
        <v>1.7399999999999999E-2</v>
      </c>
      <c r="D178" s="19">
        <v>12</v>
      </c>
      <c r="E178" s="21">
        <v>0.86</v>
      </c>
      <c r="F178" s="19">
        <v>6592</v>
      </c>
      <c r="G178" s="19">
        <v>1252</v>
      </c>
      <c r="H178" s="16" t="s">
        <v>31</v>
      </c>
    </row>
    <row r="179" spans="1:8">
      <c r="A179" s="30">
        <v>22</v>
      </c>
      <c r="B179" s="23">
        <v>13224</v>
      </c>
      <c r="C179" s="24">
        <v>4.2799999999999998E-2</v>
      </c>
      <c r="D179" s="23">
        <v>19</v>
      </c>
      <c r="E179" s="25">
        <v>0.81</v>
      </c>
      <c r="F179" s="23">
        <v>7294</v>
      </c>
      <c r="G179" s="23">
        <v>1212</v>
      </c>
      <c r="H179" s="17" t="s">
        <v>31</v>
      </c>
    </row>
    <row r="180" spans="1:8">
      <c r="A180" s="22">
        <v>23</v>
      </c>
      <c r="B180" s="19">
        <v>11598</v>
      </c>
      <c r="C180" s="20">
        <v>2.5000000000000001E-2</v>
      </c>
      <c r="D180" s="19">
        <v>39</v>
      </c>
      <c r="E180" s="21">
        <v>0.79</v>
      </c>
      <c r="F180" s="19">
        <v>7172</v>
      </c>
      <c r="G180" s="19">
        <v>884</v>
      </c>
      <c r="H180" s="16" t="s">
        <v>31</v>
      </c>
    </row>
    <row r="181" spans="1:8">
      <c r="A181" s="30">
        <v>24</v>
      </c>
      <c r="B181" s="23">
        <v>16178</v>
      </c>
      <c r="C181" s="24">
        <v>3.5099999999999999E-2</v>
      </c>
      <c r="D181" s="23">
        <v>29</v>
      </c>
      <c r="E181" s="25">
        <v>0.83</v>
      </c>
      <c r="F181" s="23">
        <v>7847</v>
      </c>
      <c r="G181" s="23">
        <v>1855</v>
      </c>
      <c r="H181" s="17" t="s">
        <v>31</v>
      </c>
    </row>
    <row r="182" spans="1:8">
      <c r="A182" s="18">
        <v>25</v>
      </c>
      <c r="B182" s="19">
        <v>15794</v>
      </c>
      <c r="C182" s="20">
        <v>1.2999999999999999E-2</v>
      </c>
      <c r="D182" s="19">
        <v>20</v>
      </c>
      <c r="E182" s="21">
        <v>0.87</v>
      </c>
      <c r="F182" s="19">
        <v>7682</v>
      </c>
      <c r="G182" s="19">
        <v>2222</v>
      </c>
      <c r="H182" s="16" t="s">
        <v>31</v>
      </c>
    </row>
    <row r="183" spans="1:8">
      <c r="A183" s="22">
        <v>26</v>
      </c>
      <c r="B183" s="23">
        <v>11361</v>
      </c>
      <c r="C183" s="24">
        <v>3.8600000000000002E-2</v>
      </c>
      <c r="D183" s="23">
        <v>20</v>
      </c>
      <c r="E183" s="25">
        <v>0.8</v>
      </c>
      <c r="F183" s="23">
        <v>8388</v>
      </c>
      <c r="G183" s="23">
        <v>1544</v>
      </c>
      <c r="H183" s="17" t="s">
        <v>31</v>
      </c>
    </row>
    <row r="184" spans="1:8">
      <c r="A184" s="18">
        <v>27</v>
      </c>
      <c r="B184" s="19">
        <v>11504</v>
      </c>
      <c r="C184" s="20">
        <v>0.03</v>
      </c>
      <c r="D184" s="19">
        <v>19</v>
      </c>
      <c r="E184" s="21">
        <v>0.9</v>
      </c>
      <c r="F184" s="19">
        <v>9913</v>
      </c>
      <c r="G184" s="19">
        <v>1552</v>
      </c>
      <c r="H184" s="16" t="s">
        <v>31</v>
      </c>
    </row>
    <row r="185" spans="1:8">
      <c r="A185" s="30">
        <v>28</v>
      </c>
      <c r="B185" s="23">
        <v>11555</v>
      </c>
      <c r="C185" s="24">
        <v>2.5000000000000001E-2</v>
      </c>
      <c r="D185" s="23">
        <v>20</v>
      </c>
      <c r="E185" s="25">
        <v>0.93</v>
      </c>
      <c r="F185" s="23">
        <v>7237</v>
      </c>
      <c r="G185" s="23">
        <v>1981</v>
      </c>
      <c r="H185" s="17" t="s">
        <v>31</v>
      </c>
    </row>
    <row r="186" spans="1:8">
      <c r="A186" s="22">
        <v>29</v>
      </c>
      <c r="B186" s="19">
        <v>15274</v>
      </c>
      <c r="C186" s="20">
        <v>2.4500000000000001E-2</v>
      </c>
      <c r="D186" s="19">
        <v>20</v>
      </c>
      <c r="E186" s="21">
        <v>0.89</v>
      </c>
      <c r="F186" s="19">
        <v>7661</v>
      </c>
      <c r="G186" s="19">
        <v>978</v>
      </c>
      <c r="H186" s="16" t="s">
        <v>31</v>
      </c>
    </row>
    <row r="187" spans="1:8">
      <c r="A187" s="30">
        <v>30</v>
      </c>
      <c r="B187" s="23">
        <v>13502</v>
      </c>
      <c r="C187" s="24">
        <v>1.6E-2</v>
      </c>
      <c r="D187" s="23">
        <v>11</v>
      </c>
      <c r="E187" s="25">
        <v>0.85</v>
      </c>
      <c r="F187" s="23">
        <v>8360</v>
      </c>
      <c r="G187" s="23">
        <v>1413</v>
      </c>
      <c r="H187" s="17" t="s">
        <v>31</v>
      </c>
    </row>
    <row r="188" spans="1:8">
      <c r="A188" s="18">
        <v>31</v>
      </c>
      <c r="B188" s="19">
        <v>12062</v>
      </c>
      <c r="C188" s="20">
        <v>0.04</v>
      </c>
      <c r="D188" s="19">
        <v>35</v>
      </c>
      <c r="E188" s="21">
        <v>0.8</v>
      </c>
      <c r="F188" s="19">
        <v>6973</v>
      </c>
      <c r="G188" s="19">
        <v>1430</v>
      </c>
      <c r="H188" s="16" t="s">
        <v>31</v>
      </c>
    </row>
    <row r="189" spans="1:8">
      <c r="A189" s="22">
        <v>32</v>
      </c>
      <c r="B189" s="23">
        <v>14317</v>
      </c>
      <c r="C189" s="24">
        <v>2.8000000000000001E-2</v>
      </c>
      <c r="D189" s="23">
        <v>24</v>
      </c>
      <c r="E189" s="25">
        <v>0.92</v>
      </c>
      <c r="F189" s="23">
        <v>7297</v>
      </c>
      <c r="G189" s="23">
        <v>1194</v>
      </c>
      <c r="H189" s="17" t="s">
        <v>31</v>
      </c>
    </row>
    <row r="190" spans="1:8">
      <c r="A190" s="18">
        <v>33</v>
      </c>
      <c r="B190" s="19">
        <v>13749</v>
      </c>
      <c r="C190" s="20">
        <v>4.4299999999999999E-2</v>
      </c>
      <c r="D190" s="19">
        <v>29</v>
      </c>
      <c r="E190" s="21">
        <v>0.87</v>
      </c>
      <c r="F190" s="19">
        <v>7890</v>
      </c>
      <c r="G190" s="19">
        <v>1323</v>
      </c>
      <c r="H190" s="16" t="s">
        <v>31</v>
      </c>
    </row>
    <row r="191" spans="1:8">
      <c r="A191" s="30">
        <v>34</v>
      </c>
      <c r="B191" s="23">
        <v>13472</v>
      </c>
      <c r="C191" s="24">
        <v>8.5000000000000006E-3</v>
      </c>
      <c r="D191" s="23">
        <v>16</v>
      </c>
      <c r="E191" s="25">
        <v>0.79</v>
      </c>
      <c r="F191" s="23">
        <v>6824</v>
      </c>
      <c r="G191" s="23">
        <v>1009</v>
      </c>
      <c r="H191" s="17" t="s">
        <v>31</v>
      </c>
    </row>
    <row r="192" spans="1:8">
      <c r="A192" s="22">
        <v>35</v>
      </c>
      <c r="B192" s="19">
        <v>11872</v>
      </c>
      <c r="C192" s="20">
        <v>1.6500000000000001E-2</v>
      </c>
      <c r="D192" s="19">
        <v>31</v>
      </c>
      <c r="E192" s="21">
        <v>0.87</v>
      </c>
      <c r="F192" s="19">
        <v>5650</v>
      </c>
      <c r="G192" s="19">
        <v>1326</v>
      </c>
      <c r="H192" s="16" t="s">
        <v>31</v>
      </c>
    </row>
    <row r="193" spans="1:8">
      <c r="A193" s="30">
        <v>36</v>
      </c>
      <c r="B193" s="23">
        <v>13250</v>
      </c>
      <c r="C193" s="24">
        <v>2.86E-2</v>
      </c>
      <c r="D193" s="23">
        <v>22</v>
      </c>
      <c r="E193" s="25">
        <v>0.88</v>
      </c>
      <c r="F193" s="23">
        <v>8305</v>
      </c>
      <c r="G193" s="23">
        <v>892</v>
      </c>
      <c r="H193" s="17" t="s">
        <v>31</v>
      </c>
    </row>
    <row r="194" spans="1:8">
      <c r="A194" s="18">
        <v>37</v>
      </c>
      <c r="B194" s="19">
        <v>11138</v>
      </c>
      <c r="C194" s="20">
        <v>2.53E-2</v>
      </c>
      <c r="D194" s="19">
        <v>11</v>
      </c>
      <c r="E194" s="21">
        <v>0.86</v>
      </c>
      <c r="F194" s="19">
        <v>9597</v>
      </c>
      <c r="G194" s="19">
        <v>1578</v>
      </c>
      <c r="H194" s="16" t="s">
        <v>31</v>
      </c>
    </row>
    <row r="195" spans="1:8">
      <c r="A195" s="22">
        <v>38</v>
      </c>
      <c r="B195" s="23">
        <v>14858</v>
      </c>
      <c r="C195" s="24">
        <v>1.9800000000000002E-2</v>
      </c>
      <c r="D195" s="23">
        <v>19</v>
      </c>
      <c r="E195" s="25">
        <v>0.86</v>
      </c>
      <c r="F195" s="23">
        <v>6863</v>
      </c>
      <c r="G195" s="23">
        <v>931</v>
      </c>
      <c r="H195" s="17" t="s">
        <v>31</v>
      </c>
    </row>
    <row r="196" spans="1:8">
      <c r="A196" s="18">
        <v>39</v>
      </c>
      <c r="B196" s="19">
        <v>12448</v>
      </c>
      <c r="C196" s="20">
        <v>3.39E-2</v>
      </c>
      <c r="D196" s="19">
        <v>34</v>
      </c>
      <c r="E196" s="21">
        <v>0.88</v>
      </c>
      <c r="F196" s="19">
        <v>9176</v>
      </c>
      <c r="G196" s="19">
        <v>2300</v>
      </c>
      <c r="H196" s="16" t="s">
        <v>31</v>
      </c>
    </row>
    <row r="197" spans="1:8">
      <c r="A197" s="30">
        <v>40</v>
      </c>
      <c r="B197" s="23">
        <v>14500</v>
      </c>
      <c r="C197" s="24">
        <v>2.63E-2</v>
      </c>
      <c r="D197" s="23">
        <v>31</v>
      </c>
      <c r="E197" s="25">
        <v>0.9</v>
      </c>
      <c r="F197" s="23">
        <v>7077</v>
      </c>
      <c r="G197" s="23">
        <v>906</v>
      </c>
      <c r="H197" s="17" t="s">
        <v>31</v>
      </c>
    </row>
    <row r="198" spans="1:8">
      <c r="A198" s="22">
        <v>41</v>
      </c>
      <c r="B198" s="19">
        <v>15243</v>
      </c>
      <c r="C198" s="20">
        <v>1.46E-2</v>
      </c>
      <c r="D198" s="19">
        <v>22</v>
      </c>
      <c r="E198" s="21">
        <v>0.84</v>
      </c>
      <c r="F198" s="19">
        <v>7509</v>
      </c>
      <c r="G198" s="19">
        <v>1560</v>
      </c>
      <c r="H198" s="16" t="s">
        <v>31</v>
      </c>
    </row>
    <row r="199" spans="1:8">
      <c r="A199" s="30">
        <v>42</v>
      </c>
      <c r="B199" s="23">
        <v>15405</v>
      </c>
      <c r="C199" s="24">
        <v>1.83E-2</v>
      </c>
      <c r="D199" s="23">
        <v>13</v>
      </c>
      <c r="E199" s="25">
        <v>0.83</v>
      </c>
      <c r="F199" s="23">
        <v>8621</v>
      </c>
      <c r="G199" s="23">
        <v>1771</v>
      </c>
      <c r="H199" s="17" t="s">
        <v>31</v>
      </c>
    </row>
    <row r="200" spans="1:8">
      <c r="A200" s="18">
        <v>43</v>
      </c>
      <c r="B200" s="19">
        <v>15820</v>
      </c>
      <c r="C200" s="20">
        <v>2.2100000000000002E-2</v>
      </c>
      <c r="D200" s="19">
        <v>18</v>
      </c>
      <c r="E200" s="21">
        <v>0.87</v>
      </c>
      <c r="F200" s="19">
        <v>8316</v>
      </c>
      <c r="G200" s="19">
        <v>1350</v>
      </c>
      <c r="H200" s="16" t="s">
        <v>31</v>
      </c>
    </row>
    <row r="201" spans="1:8">
      <c r="A201" s="22">
        <v>44</v>
      </c>
      <c r="B201" s="23">
        <v>18777</v>
      </c>
      <c r="C201" s="24">
        <v>0.02</v>
      </c>
      <c r="D201" s="23">
        <v>28</v>
      </c>
      <c r="E201" s="25">
        <v>0.85</v>
      </c>
      <c r="F201" s="23">
        <v>8400</v>
      </c>
      <c r="G201" s="23">
        <v>1690</v>
      </c>
      <c r="H201" s="17" t="s">
        <v>31</v>
      </c>
    </row>
    <row r="202" spans="1:8">
      <c r="A202" s="18">
        <v>45</v>
      </c>
      <c r="B202" s="19">
        <v>16059</v>
      </c>
      <c r="C202" s="20">
        <v>0.03</v>
      </c>
      <c r="D202" s="19">
        <v>27</v>
      </c>
      <c r="E202" s="21">
        <v>0.84</v>
      </c>
      <c r="F202" s="19">
        <v>9095</v>
      </c>
      <c r="G202" s="19">
        <v>1404</v>
      </c>
      <c r="H202" s="16" t="s">
        <v>31</v>
      </c>
    </row>
    <row r="203" spans="1:8">
      <c r="A203" s="30">
        <v>46</v>
      </c>
      <c r="B203" s="23">
        <v>18017</v>
      </c>
      <c r="C203" s="24">
        <v>4.4200000000000003E-2</v>
      </c>
      <c r="D203" s="23">
        <v>40</v>
      </c>
      <c r="E203" s="25">
        <v>0.85</v>
      </c>
      <c r="F203" s="23">
        <v>9500</v>
      </c>
      <c r="G203" s="23">
        <v>1350</v>
      </c>
      <c r="H203" s="17" t="s">
        <v>31</v>
      </c>
    </row>
    <row r="204" spans="1:8">
      <c r="A204" s="22">
        <v>47</v>
      </c>
      <c r="B204" s="19">
        <v>17231</v>
      </c>
      <c r="C204" s="20">
        <v>2.3E-2</v>
      </c>
      <c r="D204" s="19">
        <v>37</v>
      </c>
      <c r="E204" s="21">
        <v>0.9</v>
      </c>
      <c r="F204" s="19">
        <v>9082</v>
      </c>
      <c r="G204" s="19">
        <v>2068</v>
      </c>
      <c r="H204" s="16" t="s">
        <v>31</v>
      </c>
    </row>
    <row r="205" spans="1:8">
      <c r="A205" s="30">
        <v>48</v>
      </c>
      <c r="B205" s="23">
        <v>17664</v>
      </c>
      <c r="C205" s="24">
        <v>3.2000000000000001E-2</v>
      </c>
      <c r="D205" s="23">
        <v>36</v>
      </c>
      <c r="E205" s="25">
        <v>0.91</v>
      </c>
      <c r="F205" s="23">
        <v>9568</v>
      </c>
      <c r="G205" s="23">
        <v>2094</v>
      </c>
      <c r="H205" s="17" t="s">
        <v>31</v>
      </c>
    </row>
    <row r="206" spans="1:8">
      <c r="A206" s="18">
        <v>49</v>
      </c>
      <c r="B206" s="19">
        <v>18359</v>
      </c>
      <c r="C206" s="20">
        <v>2.4799999999999999E-2</v>
      </c>
      <c r="D206" s="19">
        <v>25</v>
      </c>
      <c r="E206" s="21">
        <v>0.91</v>
      </c>
      <c r="F206" s="19">
        <v>10186</v>
      </c>
      <c r="G206" s="19">
        <v>1493</v>
      </c>
      <c r="H206" s="16" t="s">
        <v>31</v>
      </c>
    </row>
    <row r="207" spans="1:8">
      <c r="A207" s="22">
        <v>50</v>
      </c>
      <c r="B207" s="23">
        <v>17200</v>
      </c>
      <c r="C207" s="24">
        <v>3.0200000000000001E-2</v>
      </c>
      <c r="D207" s="23">
        <v>31</v>
      </c>
      <c r="E207" s="25">
        <v>0.93</v>
      </c>
      <c r="F207" s="23">
        <v>9800</v>
      </c>
      <c r="G207" s="23">
        <v>1496</v>
      </c>
      <c r="H207" s="17" t="s">
        <v>31</v>
      </c>
    </row>
    <row r="208" spans="1:8">
      <c r="A208" s="18">
        <v>51</v>
      </c>
      <c r="B208" s="19">
        <v>18500</v>
      </c>
      <c r="C208" s="20">
        <v>0.02</v>
      </c>
      <c r="D208" s="19">
        <v>27</v>
      </c>
      <c r="E208" s="21">
        <v>0.96</v>
      </c>
      <c r="F208" s="19">
        <v>9713</v>
      </c>
      <c r="G208" s="19">
        <v>1552</v>
      </c>
      <c r="H208" s="16" t="s">
        <v>31</v>
      </c>
    </row>
    <row r="209" spans="1:8">
      <c r="A209" s="30">
        <v>52</v>
      </c>
      <c r="B209" s="31">
        <v>16112</v>
      </c>
      <c r="C209" s="32">
        <v>0.03</v>
      </c>
      <c r="D209" s="31">
        <v>27</v>
      </c>
      <c r="E209" s="33">
        <v>0.92</v>
      </c>
      <c r="F209" s="31">
        <v>9328</v>
      </c>
      <c r="G209" s="31">
        <v>1874</v>
      </c>
      <c r="H209" s="34" t="s">
        <v>31</v>
      </c>
    </row>
  </sheetData>
  <mergeCells count="1">
    <mergeCell ref="J2:K2"/>
  </mergeCells>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19AD6A-2951-4A8E-8AD1-EFCEEC85F333}">
  <dimension ref="A2:R129"/>
  <sheetViews>
    <sheetView topLeftCell="A21" zoomScale="40" zoomScaleNormal="40" workbookViewId="0">
      <selection activeCell="M70" sqref="M70"/>
    </sheetView>
  </sheetViews>
  <sheetFormatPr defaultRowHeight="14.4"/>
  <cols>
    <col min="1" max="2" width="17.33203125" bestFit="1" customWidth="1"/>
    <col min="3" max="3" width="20.109375" bestFit="1" customWidth="1"/>
    <col min="4" max="4" width="25.109375" bestFit="1" customWidth="1"/>
    <col min="5" max="5" width="29.5546875" bestFit="1" customWidth="1"/>
    <col min="6" max="6" width="17.33203125" bestFit="1" customWidth="1"/>
    <col min="7" max="7" width="20.109375" bestFit="1" customWidth="1"/>
    <col min="8" max="8" width="25.109375" bestFit="1" customWidth="1"/>
    <col min="9" max="9" width="29.5546875" bestFit="1" customWidth="1"/>
    <col min="10" max="10" width="28.44140625" bestFit="1" customWidth="1"/>
    <col min="11" max="11" width="18.44140625" bestFit="1" customWidth="1"/>
    <col min="12" max="12" width="23.77734375" bestFit="1" customWidth="1"/>
    <col min="13" max="13" width="28.44140625" bestFit="1" customWidth="1"/>
  </cols>
  <sheetData>
    <row r="2" spans="1:16" ht="15.6">
      <c r="L2" s="14" t="s">
        <v>8</v>
      </c>
      <c r="M2" s="14"/>
      <c r="N2" s="14"/>
      <c r="O2" s="14"/>
      <c r="P2" s="14"/>
    </row>
    <row r="3" spans="1:16">
      <c r="A3" s="29" t="s">
        <v>36</v>
      </c>
      <c r="B3" s="45" t="s">
        <v>34</v>
      </c>
      <c r="C3" t="s">
        <v>39</v>
      </c>
      <c r="D3" t="s">
        <v>40</v>
      </c>
      <c r="E3" s="45" t="s">
        <v>42</v>
      </c>
      <c r="F3" t="s">
        <v>43</v>
      </c>
      <c r="G3" s="45" t="s">
        <v>44</v>
      </c>
      <c r="H3" s="26" t="s">
        <v>51</v>
      </c>
      <c r="L3" s="8" t="s">
        <v>10</v>
      </c>
      <c r="M3" s="11" t="s">
        <v>11</v>
      </c>
      <c r="N3" s="11"/>
      <c r="O3" s="11"/>
      <c r="P3" s="11"/>
    </row>
    <row r="4" spans="1:16">
      <c r="A4" s="26" t="s">
        <v>28</v>
      </c>
      <c r="B4" s="46">
        <v>842</v>
      </c>
      <c r="C4" s="41">
        <v>414739</v>
      </c>
      <c r="D4" s="41">
        <v>23516</v>
      </c>
      <c r="E4" s="46">
        <v>2.2218406593406587E-2</v>
      </c>
      <c r="F4" s="41">
        <v>0.84288461538461523</v>
      </c>
      <c r="G4" s="46">
        <v>525047</v>
      </c>
      <c r="H4" s="44">
        <f>GETPIVOTDATA("Sum of Audience Growth Rate",$A$3,"Platform","Facebook")+M13</f>
        <v>26292</v>
      </c>
      <c r="L4" s="8" t="s">
        <v>13</v>
      </c>
      <c r="M4" s="11" t="s">
        <v>14</v>
      </c>
      <c r="N4" s="11"/>
      <c r="O4" s="11"/>
      <c r="P4" s="11"/>
    </row>
    <row r="5" spans="1:16">
      <c r="A5" s="26" t="s">
        <v>30</v>
      </c>
      <c r="B5" s="46">
        <v>1193</v>
      </c>
      <c r="C5" s="41">
        <v>431067</v>
      </c>
      <c r="D5" s="41">
        <v>62610</v>
      </c>
      <c r="E5" s="46">
        <v>2.3603846153846149E-2</v>
      </c>
      <c r="F5" s="41">
        <v>0.85115384615384615</v>
      </c>
      <c r="G5" s="46">
        <v>612149</v>
      </c>
      <c r="H5" s="44">
        <f>GETPIVOTDATA("Sum of Audience Growth Rate",$A$3,"Platform","Instagram")+M15</f>
        <v>29693</v>
      </c>
      <c r="L5" s="8" t="s">
        <v>16</v>
      </c>
      <c r="M5" s="11" t="s">
        <v>17</v>
      </c>
      <c r="N5" s="11"/>
      <c r="O5" s="11"/>
      <c r="P5" s="11"/>
    </row>
    <row r="6" spans="1:16">
      <c r="A6" s="26" t="s">
        <v>33</v>
      </c>
      <c r="B6" s="46">
        <v>850</v>
      </c>
      <c r="C6" s="41">
        <v>371601</v>
      </c>
      <c r="D6" s="41">
        <v>54101</v>
      </c>
      <c r="E6" s="46">
        <v>2.1253846153846154E-2</v>
      </c>
      <c r="F6" s="41">
        <v>0.85057692307692301</v>
      </c>
      <c r="G6" s="46">
        <v>466294</v>
      </c>
      <c r="H6" s="44">
        <f>GETPIVOTDATA("Sum of Audience Growth Rate",$A$3,"Platform","Linkedin")+M14</f>
        <v>19350</v>
      </c>
      <c r="L6" s="8" t="s">
        <v>5</v>
      </c>
      <c r="M6" s="11" t="s">
        <v>19</v>
      </c>
      <c r="N6" s="11"/>
      <c r="O6" s="11"/>
      <c r="P6" s="11"/>
    </row>
    <row r="7" spans="1:16">
      <c r="A7" s="26" t="s">
        <v>31</v>
      </c>
      <c r="B7" s="46">
        <v>1310</v>
      </c>
      <c r="C7" s="41">
        <v>426091</v>
      </c>
      <c r="D7" s="41">
        <v>75811</v>
      </c>
      <c r="E7" s="46">
        <v>2.6894230769230767E-2</v>
      </c>
      <c r="F7" s="41">
        <v>0.85019230769230769</v>
      </c>
      <c r="G7" s="46">
        <v>737589</v>
      </c>
      <c r="H7" s="44">
        <f>GETPIVOTDATA("Sum of Audience Growth Rate",$A$3,"Platform","X")+M16</f>
        <v>36818</v>
      </c>
      <c r="L7" s="8" t="s">
        <v>6</v>
      </c>
      <c r="M7" s="11" t="s">
        <v>21</v>
      </c>
      <c r="N7" s="11"/>
      <c r="O7" s="11"/>
      <c r="P7" s="11"/>
    </row>
    <row r="8" spans="1:16">
      <c r="A8" s="26" t="s">
        <v>37</v>
      </c>
      <c r="B8" s="46">
        <v>4195</v>
      </c>
      <c r="C8" s="41">
        <v>1643498</v>
      </c>
      <c r="D8" s="41">
        <v>216038</v>
      </c>
      <c r="E8" s="46">
        <v>2.3492582417582397E-2</v>
      </c>
      <c r="F8" s="41">
        <v>0.84870192307692349</v>
      </c>
      <c r="G8" s="46">
        <v>2341079</v>
      </c>
      <c r="L8" s="8" t="s">
        <v>23</v>
      </c>
      <c r="M8" s="11" t="s">
        <v>23</v>
      </c>
      <c r="N8" s="11"/>
      <c r="O8" s="11"/>
      <c r="P8" s="11"/>
    </row>
    <row r="9" spans="1:16">
      <c r="L9" s="8" t="s">
        <v>25</v>
      </c>
      <c r="M9" s="11" t="s">
        <v>25</v>
      </c>
      <c r="N9" s="11"/>
      <c r="O9" s="11"/>
      <c r="P9" s="11"/>
    </row>
    <row r="10" spans="1:16">
      <c r="L10" s="8" t="s">
        <v>1</v>
      </c>
      <c r="M10" s="11" t="s">
        <v>26</v>
      </c>
      <c r="N10" s="11"/>
      <c r="O10" s="11"/>
      <c r="P10" s="11"/>
    </row>
    <row r="11" spans="1:16">
      <c r="B11" s="26">
        <f>GETPIVOTDATA("Sum of Audience Growth Rate",$A$3,"Platform","Facebook")</f>
        <v>842</v>
      </c>
      <c r="D11" s="42">
        <f>GETPIVOTDATA("Sum of Likes",$A$3,"Platform","Facebook")</f>
        <v>23516</v>
      </c>
      <c r="E11" s="36">
        <f>GETPIVOTDATA("Average of Engagement Rate",$A$3,"Platform","Facebook")</f>
        <v>2.2218406593406587E-2</v>
      </c>
      <c r="G11" s="26">
        <f>GETPIVOTDATA("Sum of Impressions",$A$3,"Platform","Facebook")</f>
        <v>525047</v>
      </c>
    </row>
    <row r="12" spans="1:16" ht="15.6">
      <c r="B12" s="26">
        <f>GETPIVOTDATA("Sum of Audience Growth Rate",$A$3,"Platform","Instagram")</f>
        <v>1193</v>
      </c>
      <c r="D12" s="42">
        <f>GETPIVOTDATA("Sum of Likes",$A$3,"Platform","Instagram")</f>
        <v>62610</v>
      </c>
      <c r="E12" s="36">
        <f>GETPIVOTDATA("Average of Engagement Rate",$A$3,"Platform","Instagram")</f>
        <v>2.3603846153846149E-2</v>
      </c>
      <c r="G12" s="26">
        <f>GETPIVOTDATA("Sum of Impressions",$A$3,"Platform","Instagram")</f>
        <v>612149</v>
      </c>
      <c r="L12" s="12" t="s">
        <v>27</v>
      </c>
      <c r="M12" s="13"/>
    </row>
    <row r="13" spans="1:16">
      <c r="B13" s="26">
        <f>GETPIVOTDATA("Sum of Audience Growth Rate",$A$3,"Platform","Linkedin")</f>
        <v>850</v>
      </c>
      <c r="D13" s="42">
        <f>GETPIVOTDATA("Sum of Likes",$A$3,"Platform","Linkedin")</f>
        <v>54101</v>
      </c>
      <c r="E13" s="36">
        <f>GETPIVOTDATA("Average of Engagement Rate",$A$3,"Platform","Linkedin")</f>
        <v>2.1253846153846154E-2</v>
      </c>
      <c r="G13" s="26">
        <f>GETPIVOTDATA("Sum of Impressions",$A$3,"Platform","Linkedin")</f>
        <v>466294</v>
      </c>
      <c r="L13" s="9" t="s">
        <v>28</v>
      </c>
      <c r="M13" s="10">
        <v>25450</v>
      </c>
    </row>
    <row r="14" spans="1:16">
      <c r="B14" s="26">
        <f>GETPIVOTDATA("Sum of Audience Growth Rate",$A$3,"Platform","X")</f>
        <v>1310</v>
      </c>
      <c r="D14" s="42">
        <f>GETPIVOTDATA("Sum of Likes",$A$3,"Platform","X")</f>
        <v>75811</v>
      </c>
      <c r="E14" s="36">
        <f>GETPIVOTDATA("Average of Engagement Rate",$A$3,"Platform","X")</f>
        <v>2.6894230769230767E-2</v>
      </c>
      <c r="G14" s="26">
        <f>GETPIVOTDATA("Sum of Impressions",$A$3,"Platform","X")</f>
        <v>737589</v>
      </c>
      <c r="L14" s="9" t="s">
        <v>29</v>
      </c>
      <c r="M14" s="10">
        <v>18500</v>
      </c>
    </row>
    <row r="15" spans="1:16">
      <c r="B15" s="26">
        <f>GETPIVOTDATA("Sum of Audience Growth Rate",$A$3)</f>
        <v>4195</v>
      </c>
      <c r="C15" s="42">
        <f>GETPIVOTDATA("Sum of Post Reach",$A$3)</f>
        <v>1643498</v>
      </c>
      <c r="D15" s="42">
        <f>GETPIVOTDATA("Sum of Likes",$A$3)</f>
        <v>216038</v>
      </c>
      <c r="E15" s="36">
        <f>GETPIVOTDATA("Average of Engagement Rate",$A$3)</f>
        <v>2.3492582417582397E-2</v>
      </c>
      <c r="F15" s="36">
        <f>GETPIVOTDATA("Average of Response Rate",$A$3)</f>
        <v>0.84870192307692349</v>
      </c>
      <c r="G15" s="42">
        <f>GETPIVOTDATA("Sum of Impressions",$A$3)</f>
        <v>2341079</v>
      </c>
      <c r="L15" s="9" t="s">
        <v>30</v>
      </c>
      <c r="M15" s="10">
        <v>28500</v>
      </c>
    </row>
    <row r="16" spans="1:16">
      <c r="L16" s="9" t="s">
        <v>31</v>
      </c>
      <c r="M16" s="10">
        <v>35508</v>
      </c>
    </row>
    <row r="17" spans="1:10">
      <c r="A17" s="39" t="s">
        <v>30</v>
      </c>
    </row>
    <row r="18" spans="1:10">
      <c r="A18" s="40" t="s">
        <v>10</v>
      </c>
      <c r="B18" s="40" t="s">
        <v>38</v>
      </c>
      <c r="C18" s="40" t="s">
        <v>16</v>
      </c>
      <c r="D18" s="40" t="s">
        <v>5</v>
      </c>
      <c r="E18" s="40" t="s">
        <v>6</v>
      </c>
      <c r="F18" s="40" t="s">
        <v>45</v>
      </c>
      <c r="G18" s="40" t="s">
        <v>46</v>
      </c>
      <c r="H18" s="40" t="s">
        <v>1</v>
      </c>
    </row>
    <row r="19" spans="1:10">
      <c r="A19" s="37">
        <f>IF(A17=L13,GETPIVOTDATA("Sum of Audience Growth Rate",$A$3,"Platform","Facebook"),IF(A17=L14,GETPIVOTDATA("Sum of Audience Growth Rate",$A$3,"Platform","Linkedin"),IF(A17=L15,GETPIVOTDATA("Sum of Audience Growth Rate",$A$3,"Platform","Instagram"),IF(A17=L16,GETPIVOTDATA("Sum of Audience Growth Rate",$A$3,"Platform","X"),0))))</f>
        <v>1193</v>
      </c>
      <c r="B19" s="37">
        <f>A19+VLOOKUP(A17,$L$13:$M$16,2,0)</f>
        <v>29693</v>
      </c>
      <c r="C19" s="38">
        <f>A19/B19</f>
        <v>4.0177819688141984E-2</v>
      </c>
      <c r="D19" s="37">
        <f>VLOOKUP($A$17,$A$4:$G$7,3,0)</f>
        <v>431067</v>
      </c>
      <c r="E19" s="37">
        <f>VLOOKUP($A$17,$A$4:$G$7,4,0)</f>
        <v>62610</v>
      </c>
      <c r="F19" s="37">
        <f>VLOOKUP($A$17,$A$4:$G$7,5,0)</f>
        <v>2.3603846153846149E-2</v>
      </c>
      <c r="G19" s="37">
        <f>VLOOKUP($A$17,$A$4:$G$7,6,0)</f>
        <v>0.85115384615384615</v>
      </c>
      <c r="H19" s="37">
        <f>VLOOKUP($A$17,$A$4:$G$7,7,0)</f>
        <v>612149</v>
      </c>
    </row>
    <row r="25" spans="1:10" ht="15" thickBot="1"/>
    <row r="26" spans="1:10">
      <c r="A26" s="62"/>
      <c r="B26" s="63"/>
      <c r="C26" s="63"/>
      <c r="D26" s="63"/>
      <c r="E26" s="63"/>
      <c r="F26" s="63"/>
      <c r="G26" s="63"/>
      <c r="H26" s="63"/>
      <c r="I26" s="63"/>
      <c r="J26" s="64"/>
    </row>
    <row r="27" spans="1:10">
      <c r="A27" s="65"/>
      <c r="B27" s="68" t="s">
        <v>34</v>
      </c>
      <c r="C27" s="68" t="s">
        <v>52</v>
      </c>
      <c r="D27" s="66"/>
      <c r="E27" s="66"/>
      <c r="F27" s="66"/>
      <c r="G27" s="66"/>
      <c r="H27" s="66"/>
      <c r="I27" s="66"/>
      <c r="J27" s="67"/>
    </row>
    <row r="28" spans="1:10">
      <c r="A28" s="65"/>
      <c r="B28" s="68" t="s">
        <v>36</v>
      </c>
      <c r="C28" s="66" t="s">
        <v>28</v>
      </c>
      <c r="D28" s="66" t="s">
        <v>30</v>
      </c>
      <c r="E28" s="66" t="s">
        <v>33</v>
      </c>
      <c r="F28" s="72" t="s">
        <v>31</v>
      </c>
      <c r="G28" s="66"/>
      <c r="H28" s="66"/>
      <c r="I28" s="66"/>
      <c r="J28" s="67"/>
    </row>
    <row r="29" spans="1:10">
      <c r="A29" s="65"/>
      <c r="B29" s="69" t="s">
        <v>47</v>
      </c>
      <c r="C29" s="70">
        <v>210</v>
      </c>
      <c r="D29" s="70">
        <v>298</v>
      </c>
      <c r="E29" s="70">
        <v>201</v>
      </c>
      <c r="F29" s="70">
        <v>321</v>
      </c>
      <c r="G29" s="66"/>
      <c r="H29" s="66"/>
      <c r="I29" s="66"/>
      <c r="J29" s="67"/>
    </row>
    <row r="30" spans="1:10">
      <c r="A30" s="65"/>
      <c r="B30" s="69" t="s">
        <v>48</v>
      </c>
      <c r="C30" s="70">
        <v>223</v>
      </c>
      <c r="D30" s="70">
        <v>303</v>
      </c>
      <c r="E30" s="70">
        <v>220</v>
      </c>
      <c r="F30" s="70">
        <v>336</v>
      </c>
      <c r="G30" s="66"/>
      <c r="H30" s="66"/>
      <c r="I30" s="66"/>
      <c r="J30" s="67"/>
    </row>
    <row r="31" spans="1:10">
      <c r="A31" s="65"/>
      <c r="B31" s="69" t="s">
        <v>49</v>
      </c>
      <c r="C31" s="70">
        <v>201</v>
      </c>
      <c r="D31" s="70">
        <v>260</v>
      </c>
      <c r="E31" s="70">
        <v>193</v>
      </c>
      <c r="F31" s="70">
        <v>291</v>
      </c>
      <c r="G31" s="66"/>
      <c r="H31" s="66"/>
      <c r="I31" s="66"/>
      <c r="J31" s="67"/>
    </row>
    <row r="32" spans="1:10">
      <c r="A32" s="65"/>
      <c r="B32" s="69" t="s">
        <v>50</v>
      </c>
      <c r="C32" s="70">
        <v>208</v>
      </c>
      <c r="D32" s="70">
        <v>332</v>
      </c>
      <c r="E32" s="70">
        <v>236</v>
      </c>
      <c r="F32" s="70">
        <v>362</v>
      </c>
      <c r="G32" s="66"/>
      <c r="H32" s="66"/>
      <c r="I32" s="66"/>
      <c r="J32" s="67"/>
    </row>
    <row r="33" spans="1:10">
      <c r="A33" s="65"/>
      <c r="B33" s="72" t="s">
        <v>37</v>
      </c>
      <c r="C33" s="70">
        <v>842</v>
      </c>
      <c r="D33" s="70">
        <v>1193</v>
      </c>
      <c r="E33" s="70">
        <v>850</v>
      </c>
      <c r="F33" s="70">
        <v>1310</v>
      </c>
      <c r="G33" s="66"/>
      <c r="H33" s="66"/>
      <c r="I33" s="66"/>
      <c r="J33" s="67"/>
    </row>
    <row r="34" spans="1:10">
      <c r="A34" s="65"/>
      <c r="B34" s="66"/>
      <c r="C34" s="66"/>
      <c r="D34" s="66"/>
      <c r="E34" s="66"/>
      <c r="F34" s="66"/>
      <c r="G34" s="66"/>
      <c r="H34" s="66"/>
      <c r="I34" s="66"/>
      <c r="J34" s="67"/>
    </row>
    <row r="35" spans="1:10">
      <c r="A35" s="65"/>
      <c r="B35" s="68" t="s">
        <v>34</v>
      </c>
      <c r="C35" s="68" t="s">
        <v>52</v>
      </c>
      <c r="D35" s="66"/>
      <c r="E35" s="68" t="s">
        <v>34</v>
      </c>
      <c r="F35" s="68" t="s">
        <v>52</v>
      </c>
      <c r="G35" s="66"/>
      <c r="H35" s="68" t="s">
        <v>34</v>
      </c>
      <c r="I35" s="68" t="s">
        <v>52</v>
      </c>
      <c r="J35" s="67"/>
    </row>
    <row r="36" spans="1:10">
      <c r="A36" s="65"/>
      <c r="B36" s="68" t="s">
        <v>36</v>
      </c>
      <c r="C36" s="66" t="s">
        <v>30</v>
      </c>
      <c r="D36" s="66"/>
      <c r="E36" s="68" t="s">
        <v>36</v>
      </c>
      <c r="F36" s="66" t="s">
        <v>33</v>
      </c>
      <c r="G36" s="66"/>
      <c r="H36" s="68" t="s">
        <v>36</v>
      </c>
      <c r="I36" s="72" t="s">
        <v>31</v>
      </c>
      <c r="J36" s="67"/>
    </row>
    <row r="37" spans="1:10">
      <c r="A37" s="65"/>
      <c r="B37" s="69" t="s">
        <v>47</v>
      </c>
      <c r="C37" s="70">
        <v>298</v>
      </c>
      <c r="D37" s="66"/>
      <c r="E37" s="69" t="s">
        <v>47</v>
      </c>
      <c r="F37" s="70">
        <v>201</v>
      </c>
      <c r="G37" s="66"/>
      <c r="H37" s="69" t="s">
        <v>47</v>
      </c>
      <c r="I37" s="70">
        <v>321</v>
      </c>
      <c r="J37" s="67"/>
    </row>
    <row r="38" spans="1:10">
      <c r="A38" s="65"/>
      <c r="B38" s="69" t="s">
        <v>48</v>
      </c>
      <c r="C38" s="70">
        <v>303</v>
      </c>
      <c r="D38" s="66"/>
      <c r="E38" s="69" t="s">
        <v>48</v>
      </c>
      <c r="F38" s="70">
        <v>220</v>
      </c>
      <c r="G38" s="66"/>
      <c r="H38" s="69" t="s">
        <v>48</v>
      </c>
      <c r="I38" s="70">
        <v>336</v>
      </c>
      <c r="J38" s="67"/>
    </row>
    <row r="39" spans="1:10">
      <c r="A39" s="65"/>
      <c r="B39" s="69" t="s">
        <v>49</v>
      </c>
      <c r="C39" s="70">
        <v>260</v>
      </c>
      <c r="D39" s="66"/>
      <c r="E39" s="69" t="s">
        <v>49</v>
      </c>
      <c r="F39" s="70">
        <v>193</v>
      </c>
      <c r="G39" s="66"/>
      <c r="H39" s="69" t="s">
        <v>49</v>
      </c>
      <c r="I39" s="70">
        <v>291</v>
      </c>
      <c r="J39" s="67"/>
    </row>
    <row r="40" spans="1:10">
      <c r="A40" s="65"/>
      <c r="B40" s="69" t="s">
        <v>50</v>
      </c>
      <c r="C40" s="70">
        <v>332</v>
      </c>
      <c r="D40" s="66"/>
      <c r="E40" s="69" t="s">
        <v>50</v>
      </c>
      <c r="F40" s="70">
        <v>236</v>
      </c>
      <c r="G40" s="66"/>
      <c r="H40" s="69" t="s">
        <v>50</v>
      </c>
      <c r="I40" s="70">
        <v>362</v>
      </c>
      <c r="J40" s="67"/>
    </row>
    <row r="41" spans="1:10">
      <c r="A41" s="65"/>
      <c r="B41" s="72" t="s">
        <v>37</v>
      </c>
      <c r="C41" s="70">
        <v>1193</v>
      </c>
      <c r="D41" s="66"/>
      <c r="E41" s="72" t="s">
        <v>37</v>
      </c>
      <c r="F41" s="70">
        <v>850</v>
      </c>
      <c r="G41" s="66"/>
      <c r="H41" s="72" t="s">
        <v>37</v>
      </c>
      <c r="I41" s="70">
        <v>1310</v>
      </c>
      <c r="J41" s="67"/>
    </row>
    <row r="42" spans="1:10">
      <c r="A42" s="65"/>
      <c r="B42" s="66"/>
      <c r="C42" s="66"/>
      <c r="D42" s="66"/>
      <c r="E42" s="66"/>
      <c r="F42" s="66"/>
      <c r="G42" s="66"/>
      <c r="H42" s="66"/>
      <c r="I42" s="66"/>
      <c r="J42" s="67"/>
    </row>
    <row r="43" spans="1:10" ht="15" thickBot="1">
      <c r="A43" s="76"/>
      <c r="B43" s="77"/>
      <c r="C43" s="77"/>
      <c r="D43" s="77"/>
      <c r="E43" s="77"/>
      <c r="F43" s="77"/>
      <c r="G43" s="77"/>
      <c r="H43" s="77"/>
      <c r="I43" s="77"/>
      <c r="J43" s="78"/>
    </row>
    <row r="50" spans="1:12" ht="15" thickBot="1"/>
    <row r="51" spans="1:12" ht="15" thickBot="1">
      <c r="A51" s="62"/>
      <c r="B51" s="63"/>
      <c r="C51" s="63"/>
      <c r="D51" s="63"/>
      <c r="E51" s="63"/>
      <c r="F51" s="63"/>
      <c r="G51" s="63"/>
      <c r="H51" s="63"/>
      <c r="I51" s="63"/>
      <c r="J51" s="63"/>
      <c r="K51" s="63"/>
      <c r="L51" s="64"/>
    </row>
    <row r="52" spans="1:12" ht="15" thickBot="1">
      <c r="A52" s="65"/>
      <c r="B52" s="88" t="s">
        <v>36</v>
      </c>
      <c r="C52" s="94" t="s">
        <v>44</v>
      </c>
      <c r="D52" s="95" t="s">
        <v>41</v>
      </c>
      <c r="E52" s="96" t="s">
        <v>34</v>
      </c>
      <c r="F52" s="66"/>
      <c r="G52" s="66"/>
      <c r="H52" s="66"/>
      <c r="I52" s="66"/>
      <c r="J52" s="66"/>
      <c r="K52" s="66"/>
      <c r="L52" s="67"/>
    </row>
    <row r="53" spans="1:12" ht="15" thickBot="1">
      <c r="A53" s="65"/>
      <c r="B53" s="89" t="s">
        <v>47</v>
      </c>
      <c r="C53" s="99"/>
      <c r="D53" s="103"/>
      <c r="E53" s="100"/>
      <c r="F53" s="66"/>
      <c r="G53" s="75" t="s">
        <v>64</v>
      </c>
      <c r="H53" s="55" t="s">
        <v>28</v>
      </c>
      <c r="I53" s="55" t="s">
        <v>30</v>
      </c>
      <c r="J53" s="55" t="s">
        <v>33</v>
      </c>
      <c r="K53" s="56" t="s">
        <v>31</v>
      </c>
      <c r="L53" s="67"/>
    </row>
    <row r="54" spans="1:12">
      <c r="A54" s="65"/>
      <c r="B54" s="91" t="s">
        <v>28</v>
      </c>
      <c r="C54" s="101">
        <v>0.22765649637269086</v>
      </c>
      <c r="D54" s="74">
        <v>0.23635469019084104</v>
      </c>
      <c r="E54" s="97">
        <v>0.20388349514563106</v>
      </c>
      <c r="F54" s="66"/>
      <c r="G54" s="56" t="s">
        <v>60</v>
      </c>
      <c r="H54" s="57">
        <f>($C$54)*0.2+($D$54)*0.45+($E$54)*0.35</f>
        <v>0.22325013316138753</v>
      </c>
      <c r="I54" s="57">
        <f>($C$55)*0.2+($D$55)*0.45+($E$55)*0.35</f>
        <v>0.2683090011976631</v>
      </c>
      <c r="J54" s="57">
        <f>($C$56)*0.2+($D$56)*0.45+($E$56)*0.35</f>
        <v>0.2112905187635008</v>
      </c>
      <c r="K54" s="58">
        <f>($C$57)*0.2+($D$57)*0.45+($E$57)*0.35</f>
        <v>0.29715034687744862</v>
      </c>
      <c r="L54" s="67"/>
    </row>
    <row r="55" spans="1:12">
      <c r="A55" s="65"/>
      <c r="B55" s="92" t="s">
        <v>30</v>
      </c>
      <c r="C55" s="101">
        <v>0.26213131439198845</v>
      </c>
      <c r="D55" s="74">
        <v>0.25471244977096735</v>
      </c>
      <c r="E55" s="97">
        <v>0.28932038834951457</v>
      </c>
      <c r="F55" s="66"/>
      <c r="G55" s="56" t="s">
        <v>61</v>
      </c>
      <c r="H55" s="57">
        <f>($C$59)*0.2+($D$59)*0.45+($E$59)*0.35</f>
        <v>0.22765574860702109</v>
      </c>
      <c r="I55" s="57">
        <f>($C$60)*0.2+($D$60)*0.45+($E$60)*0.35</f>
        <v>0.26215915438649601</v>
      </c>
      <c r="J55" s="57">
        <f>($C$61)*0.2+($D$61)*0.45+($E$61)*0.35</f>
        <v>0.21253820336062673</v>
      </c>
      <c r="K55" s="58">
        <f>($C$62)*0.2+($D$62)*0.45+($E$62)*0.35</f>
        <v>0.29764689364585623</v>
      </c>
      <c r="L55" s="67"/>
    </row>
    <row r="56" spans="1:12">
      <c r="A56" s="65"/>
      <c r="B56" s="92" t="s">
        <v>33</v>
      </c>
      <c r="C56" s="101">
        <v>0.19978237902963547</v>
      </c>
      <c r="D56" s="74">
        <v>0.22896238240841621</v>
      </c>
      <c r="E56" s="97">
        <v>0.19514563106796118</v>
      </c>
      <c r="F56" s="66"/>
      <c r="G56" s="56" t="s">
        <v>62</v>
      </c>
      <c r="H56" s="57">
        <f>($C$64)*0.2+($D$64)*0.45+($E$64)*0.35</f>
        <v>0.22281563410118388</v>
      </c>
      <c r="I56" s="57">
        <f>($C$65)*0.2+($D$65)*0.45+($E$65)*0.35</f>
        <v>0.2582334272521653</v>
      </c>
      <c r="J56" s="57">
        <f>($C$66)*0.2+($D$66)*0.45+($E$66)*0.35</f>
        <v>0.21165323637610353</v>
      </c>
      <c r="K56" s="58">
        <f>($C$67)*0.2+($D$67)*0.45+($E$67)*0.35</f>
        <v>0.30729770227054731</v>
      </c>
      <c r="L56" s="67"/>
    </row>
    <row r="57" spans="1:12" ht="15" thickBot="1">
      <c r="A57" s="65"/>
      <c r="B57" s="93" t="s">
        <v>31</v>
      </c>
      <c r="C57" s="101">
        <v>0.31042981020568522</v>
      </c>
      <c r="D57" s="74">
        <v>0.2799704776297755</v>
      </c>
      <c r="E57" s="97">
        <v>0.31165048543689322</v>
      </c>
      <c r="F57" s="66"/>
      <c r="G57" s="59" t="s">
        <v>63</v>
      </c>
      <c r="H57" s="60">
        <f>($C$69)*0.2+($D$69)*0.45+($E$69)*0.35</f>
        <v>0.21294158561813442</v>
      </c>
      <c r="I57" s="60">
        <f>($C$70)*0.2+($D$70)*0.45+($E$70)*0.35</f>
        <v>0.2699861871916428</v>
      </c>
      <c r="J57" s="60">
        <f>($C$71)*0.2+($D$71)*0.45+($E$71)*0.35</f>
        <v>0.21462305882403604</v>
      </c>
      <c r="K57" s="61">
        <f>($C$72)*0.2+($D$72)*0.45+($E$72)*0.35</f>
        <v>0.30244916836618674</v>
      </c>
      <c r="L57" s="67"/>
    </row>
    <row r="58" spans="1:12" ht="15" thickBot="1">
      <c r="A58" s="65"/>
      <c r="B58" s="89" t="s">
        <v>48</v>
      </c>
      <c r="C58" s="101"/>
      <c r="D58" s="74"/>
      <c r="E58" s="97"/>
      <c r="F58" s="66"/>
      <c r="G58" s="66"/>
      <c r="H58" s="66"/>
      <c r="I58" s="66"/>
      <c r="J58" s="66"/>
      <c r="K58" s="66"/>
      <c r="L58" s="67"/>
    </row>
    <row r="59" spans="1:12">
      <c r="A59" s="65"/>
      <c r="B59" s="91" t="s">
        <v>28</v>
      </c>
      <c r="C59" s="101">
        <v>0.22874244616715919</v>
      </c>
      <c r="D59" s="74">
        <v>0.24393849793021882</v>
      </c>
      <c r="E59" s="97">
        <v>0.20609981515711645</v>
      </c>
      <c r="F59" s="66"/>
      <c r="G59" s="66"/>
      <c r="H59" s="66"/>
      <c r="I59" s="66"/>
      <c r="J59" s="66"/>
      <c r="K59" s="66"/>
      <c r="L59" s="67"/>
    </row>
    <row r="60" spans="1:12">
      <c r="A60" s="65"/>
      <c r="B60" s="92" t="s">
        <v>30</v>
      </c>
      <c r="C60" s="101">
        <v>0.25972797225144612</v>
      </c>
      <c r="D60" s="74">
        <v>0.24933471318746306</v>
      </c>
      <c r="E60" s="97">
        <v>0.28003696857670979</v>
      </c>
      <c r="F60" s="66"/>
      <c r="G60" s="66"/>
      <c r="H60" s="66"/>
      <c r="I60" s="66"/>
      <c r="J60" s="66"/>
      <c r="K60" s="66"/>
      <c r="L60" s="67"/>
    </row>
    <row r="61" spans="1:12">
      <c r="A61" s="65"/>
      <c r="B61" s="92" t="s">
        <v>33</v>
      </c>
      <c r="C61" s="101">
        <v>0.20075152333384799</v>
      </c>
      <c r="D61" s="74">
        <v>0.22494086339444117</v>
      </c>
      <c r="E61" s="97">
        <v>0.20332717190388169</v>
      </c>
      <c r="F61" s="66"/>
      <c r="G61" s="66"/>
      <c r="H61" s="66"/>
      <c r="I61" s="66"/>
      <c r="J61" s="66"/>
      <c r="K61" s="66"/>
      <c r="L61" s="67"/>
    </row>
    <row r="62" spans="1:12" ht="15" thickBot="1">
      <c r="A62" s="65"/>
      <c r="B62" s="93" t="s">
        <v>31</v>
      </c>
      <c r="C62" s="101">
        <v>0.31077805824754667</v>
      </c>
      <c r="D62" s="74">
        <v>0.28178592548787701</v>
      </c>
      <c r="E62" s="97">
        <v>0.31053604436229204</v>
      </c>
      <c r="F62" s="66"/>
      <c r="G62" s="66"/>
      <c r="H62" s="66"/>
      <c r="I62" s="66"/>
      <c r="J62" s="66"/>
      <c r="K62" s="66"/>
      <c r="L62" s="67"/>
    </row>
    <row r="63" spans="1:12" ht="15" thickBot="1">
      <c r="A63" s="65"/>
      <c r="B63" s="89" t="s">
        <v>49</v>
      </c>
      <c r="C63" s="101"/>
      <c r="D63" s="74"/>
      <c r="E63" s="97"/>
      <c r="F63" s="66"/>
      <c r="G63" s="66"/>
      <c r="H63" s="66"/>
      <c r="I63" s="66"/>
      <c r="J63" s="66"/>
      <c r="K63" s="66"/>
      <c r="L63" s="67"/>
    </row>
    <row r="64" spans="1:12">
      <c r="A64" s="65"/>
      <c r="B64" s="91" t="s">
        <v>28</v>
      </c>
      <c r="C64" s="101">
        <v>0.22843312949175087</v>
      </c>
      <c r="D64" s="74">
        <v>0.22818791946308722</v>
      </c>
      <c r="E64" s="97">
        <v>0.21269841269841269</v>
      </c>
      <c r="F64" s="66"/>
      <c r="G64" s="66"/>
      <c r="H64" s="66"/>
      <c r="I64" s="66"/>
      <c r="J64" s="66"/>
      <c r="K64" s="66"/>
      <c r="L64" s="67"/>
    </row>
    <row r="65" spans="1:12">
      <c r="A65" s="65"/>
      <c r="B65" s="92" t="s">
        <v>30</v>
      </c>
      <c r="C65" s="101">
        <v>0.25679974873907663</v>
      </c>
      <c r="D65" s="74">
        <v>0.24572706935123045</v>
      </c>
      <c r="E65" s="97">
        <v>0.27513227513227512</v>
      </c>
      <c r="F65" s="66"/>
      <c r="G65" s="66"/>
      <c r="H65" s="66"/>
      <c r="I65" s="66"/>
      <c r="J65" s="66"/>
      <c r="K65" s="66"/>
      <c r="L65" s="67"/>
    </row>
    <row r="66" spans="1:12">
      <c r="A66" s="65"/>
      <c r="B66" s="92" t="s">
        <v>33</v>
      </c>
      <c r="C66" s="101">
        <v>0.20253662682210358</v>
      </c>
      <c r="D66" s="74">
        <v>0.22147651006711405</v>
      </c>
      <c r="E66" s="97">
        <v>0.20423280423280424</v>
      </c>
      <c r="F66" s="66"/>
      <c r="G66" s="66"/>
      <c r="H66" s="66"/>
      <c r="I66" s="66"/>
      <c r="J66" s="66"/>
      <c r="K66" s="66"/>
      <c r="L66" s="67"/>
    </row>
    <row r="67" spans="1:12" ht="15" thickBot="1">
      <c r="A67" s="65"/>
      <c r="B67" s="93" t="s">
        <v>31</v>
      </c>
      <c r="C67" s="101">
        <v>0.31223049494706895</v>
      </c>
      <c r="D67" s="74">
        <v>0.30460850111856819</v>
      </c>
      <c r="E67" s="97">
        <v>0.30793650793650795</v>
      </c>
      <c r="F67" s="79"/>
      <c r="G67" s="66"/>
      <c r="H67" s="66"/>
      <c r="I67" s="66"/>
      <c r="J67" s="66"/>
      <c r="K67" s="66"/>
      <c r="L67" s="67"/>
    </row>
    <row r="68" spans="1:12" ht="15" thickBot="1">
      <c r="A68" s="65"/>
      <c r="B68" s="89" t="s">
        <v>50</v>
      </c>
      <c r="C68" s="101"/>
      <c r="D68" s="74"/>
      <c r="E68" s="97"/>
      <c r="F68" s="66"/>
      <c r="G68" s="66"/>
      <c r="H68" s="66"/>
      <c r="I68" s="66"/>
      <c r="J68" s="66"/>
      <c r="K68" s="66"/>
      <c r="L68" s="67"/>
    </row>
    <row r="69" spans="1:12">
      <c r="A69" s="65"/>
      <c r="B69" s="91" t="s">
        <v>28</v>
      </c>
      <c r="C69" s="101">
        <v>0.21439085480941583</v>
      </c>
      <c r="D69" s="74">
        <v>0.23575896480924419</v>
      </c>
      <c r="E69" s="97">
        <v>0.18277680140597541</v>
      </c>
      <c r="F69" s="38"/>
      <c r="G69" s="70"/>
      <c r="H69" s="66"/>
      <c r="I69" s="66"/>
      <c r="J69" s="66"/>
      <c r="K69" s="66"/>
      <c r="L69" s="67"/>
    </row>
    <row r="70" spans="1:12">
      <c r="A70" s="65"/>
      <c r="B70" s="92" t="s">
        <v>30</v>
      </c>
      <c r="C70" s="101">
        <v>0.26614267399484809</v>
      </c>
      <c r="D70" s="74">
        <v>0.25477486511006064</v>
      </c>
      <c r="E70" s="97">
        <v>0.29173989455184535</v>
      </c>
      <c r="F70" s="38"/>
      <c r="G70" s="70"/>
      <c r="H70" s="66"/>
      <c r="I70" s="66"/>
      <c r="J70" s="66"/>
      <c r="K70" s="66"/>
      <c r="L70" s="67"/>
    </row>
    <row r="71" spans="1:12">
      <c r="A71" s="65"/>
      <c r="B71" s="92" t="s">
        <v>33</v>
      </c>
      <c r="C71" s="101">
        <v>0.19467361498557709</v>
      </c>
      <c r="D71" s="74">
        <v>0.22912190230625987</v>
      </c>
      <c r="E71" s="97">
        <v>0.20738137082601055</v>
      </c>
      <c r="F71" s="38"/>
      <c r="G71" s="70"/>
      <c r="H71" s="66"/>
      <c r="I71" s="66"/>
      <c r="J71" s="66"/>
      <c r="K71" s="66"/>
      <c r="L71" s="67"/>
    </row>
    <row r="72" spans="1:12" ht="15" thickBot="1">
      <c r="A72" s="65"/>
      <c r="B72" s="93" t="s">
        <v>31</v>
      </c>
      <c r="C72" s="101">
        <v>0.32479285621015896</v>
      </c>
      <c r="D72" s="74">
        <v>0.28034426777443539</v>
      </c>
      <c r="E72" s="97">
        <v>0.3181019332161687</v>
      </c>
      <c r="F72" s="38"/>
      <c r="G72" s="70"/>
      <c r="H72" s="66"/>
      <c r="I72" s="66"/>
      <c r="J72" s="66"/>
      <c r="K72" s="66"/>
      <c r="L72" s="67"/>
    </row>
    <row r="73" spans="1:12" ht="15" thickBot="1">
      <c r="A73" s="65"/>
      <c r="B73" s="90" t="s">
        <v>37</v>
      </c>
      <c r="C73" s="102">
        <v>1</v>
      </c>
      <c r="D73" s="82">
        <v>1</v>
      </c>
      <c r="E73" s="98">
        <v>1</v>
      </c>
      <c r="F73" s="66"/>
      <c r="G73" s="66"/>
      <c r="H73" s="66"/>
      <c r="I73" s="66"/>
      <c r="J73" s="66"/>
      <c r="K73" s="66"/>
      <c r="L73" s="67"/>
    </row>
    <row r="74" spans="1:12" ht="15" thickBot="1">
      <c r="A74" s="76"/>
      <c r="B74" s="77"/>
      <c r="C74" s="77"/>
      <c r="D74" s="77"/>
      <c r="E74" s="77"/>
      <c r="F74" s="80"/>
      <c r="G74" s="77"/>
      <c r="H74" s="77"/>
      <c r="I74" s="77"/>
      <c r="J74" s="77"/>
      <c r="K74" s="77"/>
      <c r="L74" s="78"/>
    </row>
    <row r="77" spans="1:12">
      <c r="A77" s="43"/>
      <c r="B77" s="41"/>
      <c r="C77" s="47"/>
      <c r="D77" s="41"/>
      <c r="E77" s="41"/>
    </row>
    <row r="78" spans="1:12">
      <c r="A78" s="43"/>
      <c r="B78" s="41"/>
      <c r="C78" s="47"/>
      <c r="D78" s="41"/>
      <c r="E78" s="41"/>
    </row>
    <row r="79" spans="1:12">
      <c r="A79" s="43"/>
    </row>
    <row r="80" spans="1:12">
      <c r="A80" s="48"/>
    </row>
    <row r="81" spans="1:1">
      <c r="A81" s="43"/>
    </row>
    <row r="82" spans="1:1">
      <c r="A82" s="43"/>
    </row>
    <row r="83" spans="1:1">
      <c r="A83" s="43"/>
    </row>
    <row r="84" spans="1:1">
      <c r="A84" s="43"/>
    </row>
    <row r="85" spans="1:1">
      <c r="A85" s="48"/>
    </row>
    <row r="86" spans="1:1">
      <c r="A86" s="43"/>
    </row>
    <row r="87" spans="1:1">
      <c r="A87" s="43"/>
    </row>
    <row r="88" spans="1:1">
      <c r="A88" s="43"/>
    </row>
    <row r="89" spans="1:1">
      <c r="A89" s="43"/>
    </row>
    <row r="90" spans="1:1">
      <c r="A90" s="48"/>
    </row>
    <row r="91" spans="1:1">
      <c r="A91" s="43"/>
    </row>
    <row r="92" spans="1:1">
      <c r="A92" s="43"/>
    </row>
    <row r="93" spans="1:1">
      <c r="A93" s="43"/>
    </row>
    <row r="94" spans="1:1">
      <c r="A94" s="43"/>
    </row>
    <row r="100" spans="5:18" ht="15" thickBot="1"/>
    <row r="101" spans="5:18">
      <c r="E101" s="62"/>
      <c r="F101" s="63"/>
      <c r="G101" s="63"/>
      <c r="H101" s="63"/>
      <c r="I101" s="63"/>
      <c r="J101" s="63"/>
      <c r="K101" s="63"/>
      <c r="L101" s="63"/>
      <c r="M101" s="63"/>
      <c r="N101" s="63"/>
      <c r="O101" s="63"/>
      <c r="P101" s="63"/>
      <c r="Q101" s="63"/>
      <c r="R101" s="64"/>
    </row>
    <row r="102" spans="5:18" ht="15" thickBot="1">
      <c r="E102" s="65"/>
      <c r="F102" s="38"/>
      <c r="G102" s="66"/>
      <c r="H102" s="66"/>
      <c r="I102" s="66"/>
      <c r="J102" s="66"/>
      <c r="K102" s="66"/>
      <c r="L102" s="66"/>
      <c r="M102" s="66"/>
      <c r="N102" s="66"/>
      <c r="O102" s="66"/>
      <c r="P102" s="66"/>
      <c r="Q102" s="66"/>
      <c r="R102" s="67"/>
    </row>
    <row r="103" spans="5:18" ht="15" thickBot="1">
      <c r="E103" s="65"/>
      <c r="F103" s="88" t="s">
        <v>36</v>
      </c>
      <c r="G103" s="94" t="s">
        <v>44</v>
      </c>
      <c r="H103" s="95" t="s">
        <v>41</v>
      </c>
      <c r="I103" s="96" t="s">
        <v>34</v>
      </c>
      <c r="J103" s="66"/>
      <c r="K103" s="66"/>
      <c r="L103" s="66"/>
      <c r="M103" s="66"/>
      <c r="N103" s="66"/>
      <c r="O103" s="66"/>
      <c r="P103" s="66"/>
      <c r="Q103" s="66"/>
      <c r="R103" s="67"/>
    </row>
    <row r="104" spans="5:18" ht="15" thickBot="1">
      <c r="E104" s="65"/>
      <c r="F104" s="89" t="s">
        <v>47</v>
      </c>
      <c r="G104" s="84"/>
      <c r="H104" s="103"/>
      <c r="I104" s="85"/>
      <c r="J104" s="66"/>
      <c r="K104" s="66"/>
      <c r="L104" s="66"/>
      <c r="M104" s="72"/>
      <c r="N104" s="66"/>
      <c r="O104" s="66"/>
      <c r="P104" s="66"/>
      <c r="Q104" s="66"/>
      <c r="R104" s="67"/>
    </row>
    <row r="105" spans="5:18">
      <c r="E105" s="65"/>
      <c r="F105" s="91" t="s">
        <v>28</v>
      </c>
      <c r="G105" s="86">
        <v>129509</v>
      </c>
      <c r="H105" s="74">
        <v>0.23635469019084104</v>
      </c>
      <c r="I105" s="81">
        <v>210</v>
      </c>
      <c r="J105" s="66"/>
      <c r="K105" s="66"/>
      <c r="L105" s="55" t="s">
        <v>56</v>
      </c>
      <c r="M105" s="54" t="s">
        <v>53</v>
      </c>
      <c r="N105" s="54" t="s">
        <v>41</v>
      </c>
      <c r="O105" s="54" t="s">
        <v>54</v>
      </c>
      <c r="P105" s="54" t="s">
        <v>55</v>
      </c>
      <c r="Q105" s="66"/>
      <c r="R105" s="67"/>
    </row>
    <row r="106" spans="5:18">
      <c r="E106" s="65"/>
      <c r="F106" s="92" t="s">
        <v>30</v>
      </c>
      <c r="G106" s="86">
        <v>149121</v>
      </c>
      <c r="H106" s="74">
        <v>0.25471244977096735</v>
      </c>
      <c r="I106" s="81">
        <v>298</v>
      </c>
      <c r="J106" s="66"/>
      <c r="K106" s="66"/>
      <c r="L106" s="54" t="s">
        <v>28</v>
      </c>
      <c r="M106" s="51">
        <f>(GETPIVOTDATA("Sum of Impressions",$F$103,"Week",1,"Platform","Facebook")-MIN($G$105:$G$108))/(MAX($G$105:$G$108)-MIN($G$105:$G$108))</f>
        <v>0.25191834140916675</v>
      </c>
      <c r="N106" s="51">
        <f>(GETPIVOTDATA("Sum of Engagement Rate",$F$103,"Week",1,"Platform","Facebook")-MIN($H$105:$H$108))/(MAX($H$105:$H$108)-MIN($H$105:$H$108))</f>
        <v>0.1449242076251723</v>
      </c>
      <c r="O106" s="52">
        <f>(GETPIVOTDATA("Sum of Audience Growth Rate",$F$103,"Week",1,"Platform","Facebook")-MIN($I$105:$I$108))/(MAX($I$105:$I$108)-MIN($I$105:$I$108))</f>
        <v>7.4999999999999997E-2</v>
      </c>
      <c r="P106" s="38">
        <f>(M106)*0.2+(N106)*0.45+(O106)*0.35</f>
        <v>0.1418495617131609</v>
      </c>
      <c r="Q106" s="66"/>
      <c r="R106" s="67"/>
    </row>
    <row r="107" spans="5:18">
      <c r="E107" s="65"/>
      <c r="F107" s="92" t="s">
        <v>33</v>
      </c>
      <c r="G107" s="86">
        <v>113652</v>
      </c>
      <c r="H107" s="74">
        <v>0.22896238240841621</v>
      </c>
      <c r="I107" s="81">
        <v>201</v>
      </c>
      <c r="J107" s="66"/>
      <c r="K107" s="66"/>
      <c r="L107" s="54" t="s">
        <v>30</v>
      </c>
      <c r="M107" s="51">
        <f>(GETPIVOTDATA("Sum of Impressions",$F$103,"Week",1,"Platform","Instagram")-MIN($G$105:$G$108))/(MAX($G$105:$G$108)-MIN($G$105:$G$108))</f>
        <v>0.56349193740567161</v>
      </c>
      <c r="N107" s="51">
        <f>(GETPIVOTDATA("Sum of Engagement Rate",$F$103,"Week",1,"Platform","Instagram")-MIN($H$105:$H$108))/(MAX($H$105:$H$108)-MIN($H$105:$H$108))</f>
        <v>0.50482315112540166</v>
      </c>
      <c r="O107" s="53">
        <f>(GETPIVOTDATA("Sum of Audience Growth Rate",$F$103,"Week",1,"Platform","Instagram")-MIN($I$105:$I$108))/(MAX($I$105:$I$108)-MIN($I$105:$I$108))</f>
        <v>0.80833333333333335</v>
      </c>
      <c r="P107" s="38">
        <f t="shared" ref="P107:P109" si="0">(M107)*0.2+(N107)*0.45+(O107)*0.35</f>
        <v>0.62278547215423175</v>
      </c>
      <c r="Q107" s="66"/>
      <c r="R107" s="67"/>
    </row>
    <row r="108" spans="5:18" ht="15" thickBot="1">
      <c r="E108" s="65"/>
      <c r="F108" s="93" t="s">
        <v>31</v>
      </c>
      <c r="G108" s="86">
        <v>176597</v>
      </c>
      <c r="H108" s="74">
        <v>0.2799704776297755</v>
      </c>
      <c r="I108" s="81">
        <v>321</v>
      </c>
      <c r="J108" s="66"/>
      <c r="K108" s="66"/>
      <c r="L108" s="54" t="s">
        <v>33</v>
      </c>
      <c r="M108" s="37">
        <f>(GETPIVOTDATA("Sum of Impressions",$F$103,"Week",1,"Platform","Linkedin")-MIN($G$105:$G$108))/(MAX($G$105:$G$108)-MIN($G$105:$G$108))</f>
        <v>0</v>
      </c>
      <c r="N108" s="52">
        <f>(GETPIVOTDATA("Sum of Engagement Rate",$F$103,"Week",1,"Platform","Linkedin")-MIN($H$105:$H$108))/(MAX($H$105:$H$108)-MIN($H$105:$H$108))</f>
        <v>0</v>
      </c>
      <c r="O108" s="52">
        <f>(GETPIVOTDATA("Sum of Audience Growth Rate",$F$103,"Week",1,"Platform","Linkedin")-MIN($I$105:$I$108))/(MAX($I$105:$I$108)-MIN($I$105:$I$108))</f>
        <v>0</v>
      </c>
      <c r="P108" s="38">
        <f t="shared" si="0"/>
        <v>0</v>
      </c>
      <c r="Q108" s="66"/>
      <c r="R108" s="67"/>
    </row>
    <row r="109" spans="5:18" ht="15" thickBot="1">
      <c r="E109" s="65"/>
      <c r="F109" s="89" t="s">
        <v>48</v>
      </c>
      <c r="G109" s="86"/>
      <c r="H109" s="74"/>
      <c r="I109" s="81"/>
      <c r="J109" s="66"/>
      <c r="K109" s="66"/>
      <c r="L109" s="54" t="s">
        <v>31</v>
      </c>
      <c r="M109" s="37">
        <f>(GETPIVOTDATA("Sum of Impressions",$F$103,"Week",1,"Platform","X")-MIN($G$105:$G$108))/(MAX($G$105:$G$108)-MIN($G$105:$G$108))</f>
        <v>1</v>
      </c>
      <c r="N109" s="52">
        <f>(GETPIVOTDATA("Sum of Engagement Rate",$F$103,"Week",1,"Platform","X")-MIN($H$105:$H$108))/(MAX($H$105:$H$108)-MIN($H$105:$H$108))</f>
        <v>1</v>
      </c>
      <c r="O109" s="52">
        <f>(GETPIVOTDATA("Sum of Audience Growth Rate",$F$103,"Week",1,"Platform","X")-MIN($I$105:$I$108))/(MAX($I$105:$I$108)-MIN($I$105:$I$108))</f>
        <v>1</v>
      </c>
      <c r="P109" s="38">
        <f t="shared" si="0"/>
        <v>1</v>
      </c>
      <c r="Q109" s="66"/>
      <c r="R109" s="67"/>
    </row>
    <row r="110" spans="5:18">
      <c r="E110" s="65"/>
      <c r="F110" s="91" t="s">
        <v>28</v>
      </c>
      <c r="G110" s="86">
        <v>127410</v>
      </c>
      <c r="H110" s="74">
        <v>0.24393849793021882</v>
      </c>
      <c r="I110" s="81">
        <v>223</v>
      </c>
      <c r="J110" s="66"/>
      <c r="K110" s="66"/>
      <c r="L110" s="66"/>
      <c r="M110" s="66"/>
      <c r="N110" s="66"/>
      <c r="O110" s="66"/>
      <c r="P110" s="66"/>
      <c r="Q110" s="66"/>
      <c r="R110" s="67"/>
    </row>
    <row r="111" spans="5:18">
      <c r="E111" s="65"/>
      <c r="F111" s="92" t="s">
        <v>30</v>
      </c>
      <c r="G111" s="86">
        <v>144669</v>
      </c>
      <c r="H111" s="74">
        <v>0.24933471318746306</v>
      </c>
      <c r="I111" s="81">
        <v>303</v>
      </c>
      <c r="J111" s="66"/>
      <c r="K111" s="66"/>
      <c r="L111" s="55" t="s">
        <v>57</v>
      </c>
      <c r="M111" s="54" t="s">
        <v>53</v>
      </c>
      <c r="N111" s="54" t="s">
        <v>41</v>
      </c>
      <c r="O111" s="54" t="s">
        <v>54</v>
      </c>
      <c r="P111" s="54" t="s">
        <v>55</v>
      </c>
      <c r="Q111" s="66"/>
      <c r="R111" s="67"/>
    </row>
    <row r="112" spans="5:18">
      <c r="E112" s="65"/>
      <c r="F112" s="92" t="s">
        <v>33</v>
      </c>
      <c r="G112" s="86">
        <v>111819</v>
      </c>
      <c r="H112" s="74">
        <v>0.22494086339444117</v>
      </c>
      <c r="I112" s="81">
        <v>220</v>
      </c>
      <c r="J112" s="66"/>
      <c r="K112" s="66"/>
      <c r="L112" s="54" t="s">
        <v>28</v>
      </c>
      <c r="M112" s="51">
        <f>(GETPIVOTDATA("Sum of Impressions",$F$103,"Week",1,"Platform","Facebook")-MIN($G$110:$G$113))/(MAX($G$110:$G$113)-MIN($G$110:$G$113))</f>
        <v>0.28865138288325037</v>
      </c>
      <c r="N112" s="51">
        <f>(GETPIVOTDATA("Sum of Engagement Rate",$F$103,"Week",1,"Platform","Facebook")-MIN($H$110:$H$113))/(MAX($H$110:$H$113)-MIN($H$110:$H$113))</f>
        <v>0.20078836008023088</v>
      </c>
      <c r="O112" s="52">
        <f>(GETPIVOTDATA("Sum of Audience Growth Rate",$F$103,"Week",14,"Platform","Facebook")-MIN($I$110:$I$113))/(MAX($I$110:$I$113)-MIN($I$110:$I$113))</f>
        <v>2.5862068965517241E-2</v>
      </c>
      <c r="P112" s="38">
        <f>(M112)*0.2+(N112)*0.45+(O112)*0.35</f>
        <v>0.15713676275068503</v>
      </c>
      <c r="Q112" s="66"/>
      <c r="R112" s="67"/>
    </row>
    <row r="113" spans="5:18" ht="15" thickBot="1">
      <c r="E113" s="65"/>
      <c r="F113" s="93" t="s">
        <v>31</v>
      </c>
      <c r="G113" s="86">
        <v>173104</v>
      </c>
      <c r="H113" s="74">
        <v>0.28178592548787701</v>
      </c>
      <c r="I113" s="81">
        <v>336</v>
      </c>
      <c r="J113" s="66"/>
      <c r="K113" s="66"/>
      <c r="L113" s="54" t="s">
        <v>30</v>
      </c>
      <c r="M113" s="51">
        <f>(GETPIVOTDATA("Sum of Impressions",$F$103,"Week",14,"Platform","Instagram")-MIN($G$110:$G$113))/(MAX($G$110:$G$113)-MIN($G$110:$G$113))</f>
        <v>0.53602023333605286</v>
      </c>
      <c r="N113" s="51">
        <f>(GETPIVOTDATA("Sum of Engagement Rate",$F$103,"Week",14,"Platform","Instagram")-MIN($H$110:$H$113))/(MAX($H$110:$H$113)-MIN($H$110:$H$113))</f>
        <v>0.42912873862158663</v>
      </c>
      <c r="O113" s="52">
        <f>(GETPIVOTDATA("Sum of Audience Growth Rate",$F$103,"Week",14,"Platform","Instagram")-MIN($I$110:$I$113))/(MAX($I$110:$I$113)-MIN($I$110:$I$113))</f>
        <v>0.71551724137931039</v>
      </c>
      <c r="P113" s="38">
        <f t="shared" ref="P113:P115" si="1">(M113)*0.2+(N113)*0.45+(O113)*0.35</f>
        <v>0.55074301352968313</v>
      </c>
      <c r="Q113" s="66"/>
      <c r="R113" s="67"/>
    </row>
    <row r="114" spans="5:18" ht="15" thickBot="1">
      <c r="E114" s="65"/>
      <c r="F114" s="89" t="s">
        <v>49</v>
      </c>
      <c r="G114" s="86"/>
      <c r="H114" s="74"/>
      <c r="I114" s="81"/>
      <c r="J114" s="66"/>
      <c r="K114" s="66"/>
      <c r="L114" s="54" t="s">
        <v>33</v>
      </c>
      <c r="M114" s="51">
        <f>(GETPIVOTDATA("Sum of Impressions",$F$103,"Week",14,"Platform","Linkedin")-MIN($G$110:$G$113))/(MAX($G$110:$G$113)-MIN($G$110:$G$113))</f>
        <v>0</v>
      </c>
      <c r="N114" s="52">
        <f>(GETPIVOTDATA("Sum of Engagement Rate",$F$103,"Week",14,"Platform","Linkedin")-MIN($H$110:$H$113))/(MAX($H$110:$H$113)-MIN($H$110:$H$113))</f>
        <v>0</v>
      </c>
      <c r="O114" s="52">
        <f>(GETPIVOTDATA("Sum of Audience Growth Rate",$F$103,"Week",14,"Platform","Linkedin")-MIN($I$110:$I$113))/(MAX($I$110:$I$113)-MIN($I$110:$I$113))</f>
        <v>0</v>
      </c>
      <c r="P114" s="38">
        <f t="shared" si="1"/>
        <v>0</v>
      </c>
      <c r="Q114" s="66"/>
      <c r="R114" s="67"/>
    </row>
    <row r="115" spans="5:18">
      <c r="E115" s="65"/>
      <c r="F115" s="91" t="s">
        <v>28</v>
      </c>
      <c r="G115" s="86">
        <v>123644</v>
      </c>
      <c r="H115" s="74">
        <v>0.22818791946308722</v>
      </c>
      <c r="I115" s="81">
        <v>201</v>
      </c>
      <c r="J115" s="66"/>
      <c r="K115" s="66"/>
      <c r="L115" s="54" t="s">
        <v>31</v>
      </c>
      <c r="M115" s="51">
        <f>(GETPIVOTDATA("Sum of Impressions",$F$103,"Week",14,"Platform","X")-MIN($G$110:$G$113))/(MAX($G$110:$G$113)-MIN($G$110:$G$113))</f>
        <v>1</v>
      </c>
      <c r="N115" s="52">
        <f>(GETPIVOTDATA("Sum of Engagement Rate",$F$103,"Week",14,"Platform","X")-MIN($H$110:$H$113))/(MAX($H$110:$H$113)-MIN($H$110:$H$113))</f>
        <v>1</v>
      </c>
      <c r="O115" s="52">
        <f>(GETPIVOTDATA("Sum of Audience Growth Rate",$F$103,"Week",14,"Platform","X")-MIN($I$110:$I$113))/(MAX($I$110:$I$113)-MIN($I$110:$I$113))</f>
        <v>1</v>
      </c>
      <c r="P115" s="38">
        <f t="shared" si="1"/>
        <v>1</v>
      </c>
      <c r="Q115" s="66"/>
      <c r="R115" s="67"/>
    </row>
    <row r="116" spans="5:18">
      <c r="E116" s="65"/>
      <c r="F116" s="92" t="s">
        <v>30</v>
      </c>
      <c r="G116" s="86">
        <v>138998</v>
      </c>
      <c r="H116" s="74">
        <v>0.24572706935123045</v>
      </c>
      <c r="I116" s="81">
        <v>260</v>
      </c>
      <c r="J116" s="66"/>
      <c r="K116" s="66"/>
      <c r="L116" s="66"/>
      <c r="M116" s="66"/>
      <c r="N116" s="66"/>
      <c r="O116" s="66"/>
      <c r="P116" s="66"/>
      <c r="Q116" s="66"/>
      <c r="R116" s="67"/>
    </row>
    <row r="117" spans="5:18">
      <c r="E117" s="65"/>
      <c r="F117" s="92" t="s">
        <v>33</v>
      </c>
      <c r="G117" s="86">
        <v>109627</v>
      </c>
      <c r="H117" s="74">
        <v>0.22147651006711405</v>
      </c>
      <c r="I117" s="81">
        <v>193</v>
      </c>
      <c r="J117" s="66"/>
      <c r="K117" s="66"/>
      <c r="L117" s="55" t="s">
        <v>58</v>
      </c>
      <c r="M117" s="54" t="s">
        <v>53</v>
      </c>
      <c r="N117" s="54" t="s">
        <v>41</v>
      </c>
      <c r="O117" s="54" t="s">
        <v>54</v>
      </c>
      <c r="P117" s="54" t="s">
        <v>55</v>
      </c>
      <c r="Q117" s="66"/>
      <c r="R117" s="67"/>
    </row>
    <row r="118" spans="5:18" ht="15" thickBot="1">
      <c r="E118" s="65"/>
      <c r="F118" s="93" t="s">
        <v>31</v>
      </c>
      <c r="G118" s="86">
        <v>169001</v>
      </c>
      <c r="H118" s="74">
        <v>0.30460850111856819</v>
      </c>
      <c r="I118" s="81">
        <v>291</v>
      </c>
      <c r="J118" s="66"/>
      <c r="K118" s="66"/>
      <c r="L118" s="54" t="s">
        <v>28</v>
      </c>
      <c r="M118" s="51">
        <f>(GETPIVOTDATA("Sum of Impressions",$F$103,"Week",1,"Platform","Facebook")-MIN($G$115:$G$118))/(MAX($G$115:$G$118)-MIN($G$115:$G$118))</f>
        <v>0.33486037659581636</v>
      </c>
      <c r="N118" s="51">
        <f>(GETPIVOTDATA("Sum of Engagement Rate",$F$103,"Week",1,"Platform","Facebook")-MIN($H$115:$H$118))/(MAX($H$115:$H$118)-MIN($H$115:$H$118))</f>
        <v>0.17897057360887958</v>
      </c>
      <c r="O118" s="52">
        <f>(GETPIVOTDATA("Sum of Audience Growth Rate",$F$103,"Week",27,"Platform","Facebook")-MIN($I$115:$I$118))/(MAX($I$115:$I$118)-MIN($I$115:$I$118))</f>
        <v>8.1632653061224483E-2</v>
      </c>
      <c r="P118" s="38">
        <f>(M118)*0.2+(N118)*0.45+(O118)*0.35</f>
        <v>0.17608026201458765</v>
      </c>
      <c r="Q118" s="66"/>
      <c r="R118" s="67"/>
    </row>
    <row r="119" spans="5:18" ht="15" thickBot="1">
      <c r="E119" s="65"/>
      <c r="F119" s="89" t="s">
        <v>50</v>
      </c>
      <c r="G119" s="86"/>
      <c r="H119" s="74"/>
      <c r="I119" s="81"/>
      <c r="J119" s="66"/>
      <c r="K119" s="66"/>
      <c r="L119" s="54" t="s">
        <v>30</v>
      </c>
      <c r="M119" s="51">
        <f>(GETPIVOTDATA("Sum of Impressions",$F$103,"Week",27,"Platform","Instagram")-MIN($G$115:$G$118))/(MAX($G$115:$G$118)-MIN($G$115:$G$118))</f>
        <v>0.49467780509987536</v>
      </c>
      <c r="N119" s="51">
        <f>(GETPIVOTDATA("Sum of Engagement Rate",$F$103,"Week",27,"Platform","Instagram")-MIN($H$115:$H$118))/(MAX($H$115:$H$118)-MIN($H$115:$H$118))</f>
        <v>0.29171151776103421</v>
      </c>
      <c r="O119" s="52">
        <f>(GETPIVOTDATA("Sum of Audience Growth Rate",$F$103,"Week",27,"Platform","Instagram")-MIN($I$115:$I$118))/(MAX($I$115:$I$118)-MIN($I$115:$I$118))</f>
        <v>0.68367346938775508</v>
      </c>
      <c r="P119" s="38">
        <f t="shared" ref="P119:P121" si="2">(M119)*0.2+(N119)*0.45+(O119)*0.35</f>
        <v>0.46949145829815475</v>
      </c>
      <c r="Q119" s="66"/>
      <c r="R119" s="67"/>
    </row>
    <row r="120" spans="5:18">
      <c r="E120" s="65"/>
      <c r="F120" s="91" t="s">
        <v>28</v>
      </c>
      <c r="G120" s="86">
        <v>144484</v>
      </c>
      <c r="H120" s="74">
        <v>0.23575896480924419</v>
      </c>
      <c r="I120" s="81">
        <v>208</v>
      </c>
      <c r="J120" s="66"/>
      <c r="K120" s="66"/>
      <c r="L120" s="54" t="s">
        <v>33</v>
      </c>
      <c r="M120" s="51">
        <f>(GETPIVOTDATA("Sum of Impressions",$F$103,"Week",27,"Platform","Linkedin")-MIN($G$115:$G$118))/(MAX($G$115:$G$118)-MIN($G$115:$G$118))</f>
        <v>0</v>
      </c>
      <c r="N120" s="52">
        <f>(GETPIVOTDATA("Sum of Engagement Rate",$F$103,"Week",27,"Platform","Linkedin")-MIN($H$115:$H$118))/(MAX($H$115:$H$118)-MIN($H$115:$H$118))</f>
        <v>0</v>
      </c>
      <c r="O120" s="52">
        <f>(GETPIVOTDATA("Sum of Audience Growth Rate",$F$103,"Week",27,"Platform","Linkedin")-MIN($I$115:$I$118))/(MAX($I$115:$I$118)-MIN($I$115:$I$118))</f>
        <v>0</v>
      </c>
      <c r="P120" s="38">
        <f t="shared" si="2"/>
        <v>0</v>
      </c>
      <c r="Q120" s="66"/>
      <c r="R120" s="67"/>
    </row>
    <row r="121" spans="5:18">
      <c r="E121" s="65"/>
      <c r="F121" s="92" t="s">
        <v>30</v>
      </c>
      <c r="G121" s="86">
        <v>179361</v>
      </c>
      <c r="H121" s="74">
        <v>0.25477486511006064</v>
      </c>
      <c r="I121" s="81">
        <v>332</v>
      </c>
      <c r="J121" s="66"/>
      <c r="K121" s="66"/>
      <c r="L121" s="54" t="s">
        <v>31</v>
      </c>
      <c r="M121" s="51">
        <f>(GETPIVOTDATA("Sum of Impressions",$F$103,"Week",27,"Platform","X")-MIN($G$115:$G$118))/(MAX($G$115:$G$118)-MIN($G$115:$G$118))</f>
        <v>1</v>
      </c>
      <c r="N121" s="52">
        <f>(GETPIVOTDATA("Sum of Engagement Rate",$F$103,"Week",27,"Platform","X")-MIN($H$115:$H$118))/(MAX($H$115:$H$118)-MIN($H$115:$H$118))</f>
        <v>1</v>
      </c>
      <c r="O121" s="52">
        <f>(GETPIVOTDATA("Sum of Audience Growth Rate",$F$103,"Week",27,"Platform","X")-MIN($I$115:$I$118))/(MAX($I$115:$I$118)-MIN($I$115:$I$118))</f>
        <v>1</v>
      </c>
      <c r="P121" s="38">
        <f t="shared" si="2"/>
        <v>1</v>
      </c>
      <c r="Q121" s="66"/>
      <c r="R121" s="67"/>
    </row>
    <row r="122" spans="5:18">
      <c r="E122" s="65"/>
      <c r="F122" s="92" t="s">
        <v>33</v>
      </c>
      <c r="G122" s="86">
        <v>131196</v>
      </c>
      <c r="H122" s="74">
        <v>0.22912190230625987</v>
      </c>
      <c r="I122" s="81">
        <v>236</v>
      </c>
      <c r="J122" s="66"/>
      <c r="K122" s="66"/>
      <c r="L122" s="66"/>
      <c r="M122" s="66"/>
      <c r="N122" s="66"/>
      <c r="O122" s="66"/>
      <c r="P122" s="66"/>
      <c r="Q122" s="66"/>
      <c r="R122" s="67"/>
    </row>
    <row r="123" spans="5:18" ht="15" thickBot="1">
      <c r="E123" s="65"/>
      <c r="F123" s="93" t="s">
        <v>31</v>
      </c>
      <c r="G123" s="86">
        <v>218887</v>
      </c>
      <c r="H123" s="74">
        <v>0.28034426777443539</v>
      </c>
      <c r="I123" s="81">
        <v>362</v>
      </c>
      <c r="J123" s="66"/>
      <c r="K123" s="66"/>
      <c r="L123" s="55" t="s">
        <v>59</v>
      </c>
      <c r="M123" s="54" t="s">
        <v>53</v>
      </c>
      <c r="N123" s="54" t="s">
        <v>41</v>
      </c>
      <c r="O123" s="54" t="s">
        <v>54</v>
      </c>
      <c r="P123" s="54" t="s">
        <v>55</v>
      </c>
      <c r="Q123" s="66"/>
      <c r="R123" s="67"/>
    </row>
    <row r="124" spans="5:18" ht="15" thickBot="1">
      <c r="E124" s="65"/>
      <c r="F124" s="90" t="s">
        <v>37</v>
      </c>
      <c r="G124" s="87">
        <v>2341079</v>
      </c>
      <c r="H124" s="82">
        <v>1</v>
      </c>
      <c r="I124" s="83">
        <v>4195</v>
      </c>
      <c r="J124" s="66"/>
      <c r="K124" s="66"/>
      <c r="L124" s="54" t="s">
        <v>28</v>
      </c>
      <c r="M124" s="51">
        <f>(GETPIVOTDATA("Sum of Impressions",$F$103,"Week",40,"Platform","Facebook")-MIN(G$120:G$123))/(MAX($G$120:$G$123)-MIN($G$120:$G$123))</f>
        <v>0.15153208425037917</v>
      </c>
      <c r="N124" s="51">
        <f>(GETPIVOTDATA("Sum of Engagement Rate",$F$103,"Week",40,"Platform","Facebook")-MIN($H$120:$H$123))/(MAX($H$120:$H$123)-MIN($H$120:$H$123))</f>
        <v>0.12957352598461955</v>
      </c>
      <c r="O124" s="52">
        <f>(GETPIVOTDATA("Sum of Audience Growth Rate",$F$103,"Week",40,"Platform","Facebook")-MIN($I$120:$I$123))/(MAX($I$120:$I$123)-MIN($I$120:$I$123))</f>
        <v>0</v>
      </c>
      <c r="P124" s="38">
        <f>(M124)*0.2+(N124)*0.45+(O124)*0.35</f>
        <v>8.861450354315463E-2</v>
      </c>
      <c r="Q124" s="66"/>
      <c r="R124" s="67"/>
    </row>
    <row r="125" spans="5:18">
      <c r="E125" s="65"/>
      <c r="F125" s="66"/>
      <c r="G125" s="66"/>
      <c r="H125" s="66"/>
      <c r="I125" s="66"/>
      <c r="J125" s="66"/>
      <c r="K125" s="66"/>
      <c r="L125" s="54" t="s">
        <v>30</v>
      </c>
      <c r="M125" s="51">
        <f>(GETPIVOTDATA("Sum of Impressions",$F$103,"Week",40,"Platform","Instagram")-MIN($G$120:$G$123))/(MAX($G$120:$G$123)-MIN($G$120:$G$123))</f>
        <v>0.54925819069231729</v>
      </c>
      <c r="N125" s="51">
        <f>(GETPIVOTDATA("Sum of Engagement Rate",$F$103,"Week",40,"Platform","Instagram")-MIN($H$120:$H$123))/(MAX($H$120:$H$123)-MIN($H$120:$H$123))</f>
        <v>0.50081566068515471</v>
      </c>
      <c r="O125" s="52">
        <f>(GETPIVOTDATA("Sum of Audience Growth Rate",$F$103,"Week",40,"Platform","Instagram")-MIN($I$120:$I$123))/(MAX($I$120:$I$123)-MIN($I$120:$I$123))</f>
        <v>0.80519480519480524</v>
      </c>
      <c r="P125" s="38">
        <f t="shared" ref="P125:P127" si="3">(M125)*0.2+(N125)*0.45+(O125)*0.35</f>
        <v>0.61703686726496487</v>
      </c>
      <c r="Q125" s="66"/>
      <c r="R125" s="67"/>
    </row>
    <row r="126" spans="5:18">
      <c r="E126" s="65"/>
      <c r="F126" s="66"/>
      <c r="G126" s="66"/>
      <c r="H126" s="66"/>
      <c r="I126" s="66"/>
      <c r="J126" s="66"/>
      <c r="K126" s="66"/>
      <c r="L126" s="54" t="s">
        <v>33</v>
      </c>
      <c r="M126" s="51">
        <f>(GETPIVOTDATA("Sum of Impressions",$F$103,"Week",40,"Platform","Linkedin")-MIN($G$120:$G$123))/(MAX($G$120:$G$123)-MIN($G$120:$G$123))</f>
        <v>0</v>
      </c>
      <c r="N126" s="52">
        <f>(GETPIVOTDATA("Sum of Engagement Rate",$F$103,"Week",40,"Platform","Linkedin")-MIN($H$120:$H$123))/(MAX($H$120:$H$123)-MIN($H$120:$H$123))</f>
        <v>0</v>
      </c>
      <c r="O126" s="52">
        <f>(GETPIVOTDATA("Sum of Audience Growth Rate",$F$103,"Week",40,"Platform","Linkedin")-MIN($I$120:$I$123))/(MAX($I$120:$I$123)-MIN($I$120:$I$123))</f>
        <v>0.18181818181818182</v>
      </c>
      <c r="P126" s="38">
        <f t="shared" si="3"/>
        <v>6.363636363636363E-2</v>
      </c>
      <c r="Q126" s="66"/>
      <c r="R126" s="67"/>
    </row>
    <row r="127" spans="5:18">
      <c r="E127" s="65"/>
      <c r="F127" s="48"/>
      <c r="G127" s="66"/>
      <c r="H127" s="50"/>
      <c r="I127" s="49"/>
      <c r="J127" s="49"/>
      <c r="K127" s="66"/>
      <c r="L127" s="54" t="s">
        <v>31</v>
      </c>
      <c r="M127" s="51">
        <f>(GETPIVOTDATA("Sum of Impressions",$F$103,"Week",40,"Platform","X")-MIN($G$120:$G$123))/(MAX($G$120:$G$123)-MIN($G$120:$G$123))</f>
        <v>1</v>
      </c>
      <c r="N127" s="52">
        <f>(GETPIVOTDATA("Sum of Engagement Rate",$F$103,"Week",40,"Platform","X")-MIN($H$120:$H$123))/(MAX($H$120:$H$123)-MIN($H$120:$H$123))</f>
        <v>1</v>
      </c>
      <c r="O127" s="52">
        <f>(GETPIVOTDATA("Sum of Audience Growth Rate",$F$103,"Week",40,"Platform","X")-MIN($I$120:$I$123))/(MAX($I$120:$I$123)-MIN($I$120:$I$123))</f>
        <v>1</v>
      </c>
      <c r="P127" s="38">
        <f t="shared" si="3"/>
        <v>1</v>
      </c>
      <c r="Q127" s="66"/>
      <c r="R127" s="67"/>
    </row>
    <row r="128" spans="5:18">
      <c r="E128" s="65"/>
      <c r="F128" s="73"/>
      <c r="G128" s="70"/>
      <c r="H128" s="71"/>
      <c r="I128" s="70"/>
      <c r="J128" s="70"/>
      <c r="K128" s="66"/>
      <c r="L128" s="66"/>
      <c r="M128" s="66"/>
      <c r="N128" s="66"/>
      <c r="O128" s="66"/>
      <c r="P128" s="66"/>
      <c r="Q128" s="66"/>
      <c r="R128" s="67"/>
    </row>
    <row r="129" spans="5:18" ht="15" thickBot="1">
      <c r="E129" s="76"/>
      <c r="F129" s="77"/>
      <c r="G129" s="77"/>
      <c r="H129" s="77"/>
      <c r="I129" s="77"/>
      <c r="J129" s="77"/>
      <c r="K129" s="77"/>
      <c r="L129" s="77"/>
      <c r="M129" s="77"/>
      <c r="N129" s="77"/>
      <c r="O129" s="77"/>
      <c r="P129" s="77"/>
      <c r="Q129" s="77"/>
      <c r="R129" s="78"/>
    </row>
  </sheetData>
  <mergeCells count="10">
    <mergeCell ref="M8:P8"/>
    <mergeCell ref="M9:P9"/>
    <mergeCell ref="M10:P10"/>
    <mergeCell ref="L12:M12"/>
    <mergeCell ref="L2:P2"/>
    <mergeCell ref="M3:P3"/>
    <mergeCell ref="M4:P4"/>
    <mergeCell ref="M5:P5"/>
    <mergeCell ref="M6:P6"/>
    <mergeCell ref="M7:P7"/>
  </mergeCells>
  <dataValidations count="1">
    <dataValidation type="list" allowBlank="1" showInputMessage="1" showErrorMessage="1" sqref="A17" xr:uid="{C017B962-FED9-40BC-97D9-24B51BA8A7C0}">
      <formula1>$L$13:$L$16</formula1>
    </dataValidation>
  </dataValidations>
  <pageMargins left="0.7" right="0.7" top="0.75" bottom="0.75" header="0.3" footer="0.3"/>
  <drawing r:id="rId8"/>
  <tableParts count="1">
    <tablePart r:id="rId9"/>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65670D-C665-4259-9BD7-4A5DE5ACC9C7}">
  <sheetPr>
    <pageSetUpPr fitToPage="1"/>
  </sheetPr>
  <dimension ref="A1"/>
  <sheetViews>
    <sheetView showGridLines="0" tabSelected="1" topLeftCell="A13" zoomScale="25" zoomScaleNormal="25" workbookViewId="0">
      <selection activeCell="AX82" sqref="AX82"/>
    </sheetView>
  </sheetViews>
  <sheetFormatPr defaultRowHeight="14.4"/>
  <sheetData/>
  <pageMargins left="0.25" right="0.25" top="0.75" bottom="0.75" header="0.3" footer="0.3"/>
  <pageSetup paperSize="145" scale="73" orientation="portrait" horizontalDpi="1200" verticalDpi="1200"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Facebook</vt:lpstr>
      <vt:lpstr>LINKEDIN</vt:lpstr>
      <vt:lpstr>INSTAGRAM</vt:lpstr>
      <vt:lpstr>X</vt:lpstr>
      <vt:lpstr>details</vt:lpstr>
      <vt:lpstr>Combined data</vt:lpstr>
      <vt:lpstr>Pivot tables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Bratislav Milojevic</dc:creator>
  <cp:lastModifiedBy>Saif Hany</cp:lastModifiedBy>
  <cp:lastPrinted>2026-01-17T09:19:42Z</cp:lastPrinted>
  <dcterms:created xsi:type="dcterms:W3CDTF">2024-05-27T11:02:34Z</dcterms:created>
  <dcterms:modified xsi:type="dcterms:W3CDTF">2026-01-17T09:20:28Z</dcterms:modified>
</cp:coreProperties>
</file>